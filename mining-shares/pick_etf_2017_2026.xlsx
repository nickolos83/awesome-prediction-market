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Year-end close" sheetId="2" state="visible" r:id="rId2"/>
    <sheet xmlns:r="http://schemas.openxmlformats.org/officeDocument/2006/relationships" name="Year-end close USD" sheetId="3" state="visible" r:id="rId3"/>
    <sheet xmlns:r="http://schemas.openxmlformats.org/officeDocument/2006/relationships" name="2y forward" sheetId="4" state="visible" r:id="rId4"/>
    <sheet xmlns:r="http://schemas.openxmlformats.org/officeDocument/2006/relationships" name="2y forward USD" sheetId="5" state="visible" r:id="rId5"/>
    <sheet xmlns:r="http://schemas.openxmlformats.org/officeDocument/2006/relationships" name="Dividend yield" sheetId="6" state="visible" r:id="rId6"/>
    <sheet xmlns:r="http://schemas.openxmlformats.org/officeDocument/2006/relationships" name="Rates 2y" sheetId="7" state="visible" r:id="rId7"/>
    <sheet xmlns:r="http://schemas.openxmlformats.org/officeDocument/2006/relationships" name="FX year-end" sheetId="8" state="visible" r:id="rId8"/>
    <sheet xmlns:r="http://schemas.openxmlformats.org/officeDocument/2006/relationships" name="FX 2y forward" sheetId="9" state="visible" r:id="rId9"/>
    <sheet xmlns:r="http://schemas.openxmlformats.org/officeDocument/2006/relationships" name="Detail" sheetId="10" state="visible" r:id="rId10"/>
    <sheet xmlns:r="http://schemas.openxmlformats.org/officeDocument/2006/relationships" name="Analyst targets (now)" sheetId="11" state="visible" r:id="rId11"/>
    <sheet xmlns:r="http://schemas.openxmlformats.org/officeDocument/2006/relationships" name="Ver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1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3" customWidth="1" min="3" max="3"/>
    <col width="14" customWidth="1" min="4" max="4"/>
    <col width="9" customWidth="1" min="5" max="5"/>
    <col width="60" customWidth="1" min="6" max="6"/>
  </cols>
  <sheetData>
    <row r="1">
      <c r="A1" s="1" t="inlineStr">
        <is>
          <t>entity</t>
        </is>
      </c>
      <c r="B1" s="1" t="inlineStr">
        <is>
          <t>listed_parent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cross_check</t>
        </is>
      </c>
      <c r="G1" s="1" t="inlineStr">
        <is>
          <t>note</t>
        </is>
      </c>
    </row>
    <row r="2">
      <c r="A2" t="inlineStr">
        <is>
          <t>iShares MSCI Global Metals &amp; Mining Producers ETF</t>
        </is>
      </c>
      <c r="B2" t="inlineStr">
        <is>
          <t>iShares MSCI Global Metals &amp; Mining Producers ETF</t>
        </is>
      </c>
      <c r="C2" t="inlineStr">
        <is>
          <t>PICK</t>
        </is>
      </c>
      <c r="D2" t="inlineStr">
        <is>
          <t>Cboe BZX</t>
        </is>
      </c>
      <c r="E2" t="inlineStr">
        <is>
          <t>USD</t>
        </is>
      </c>
      <c r="G2" t="inlineStr">
        <is>
          <t>ETF: no analyst price targets or revenue; tracks MSCI ACWI Select Metals &amp; Mining Producers ex Gold &amp; Silver IMI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PICK</t>
        </is>
      </c>
      <c r="B2" s="2" t="inlineStr">
        <is>
          <t>iShares MSCI Global Metals &amp; Mining Producers ETF</t>
        </is>
      </c>
      <c r="C2" s="2" t="inlineStr">
        <is>
          <t>USD</t>
        </is>
      </c>
      <c r="D2" s="3" t="n">
        <v>34.63</v>
      </c>
      <c r="E2" s="3" t="n">
        <v>26.98</v>
      </c>
      <c r="F2" s="3" t="n">
        <v>29.73</v>
      </c>
      <c r="G2" s="3" t="n">
        <v>36.85</v>
      </c>
      <c r="H2" s="3" t="n">
        <v>42.62</v>
      </c>
      <c r="I2" s="3" t="n">
        <v>41</v>
      </c>
      <c r="J2" s="3" t="n">
        <v>43.07</v>
      </c>
      <c r="K2" s="3" t="n">
        <v>34.99</v>
      </c>
      <c r="L2" s="3" t="n">
        <v>51.34</v>
      </c>
      <c r="M2" s="3" t="n">
        <v>61.14</v>
      </c>
    </row>
    <row r="3"/>
    <row r="4">
      <c r="A4" s="2" t="inlineStr">
        <is>
          <t>Last close of each year, in the currency the stock trades in (GBp = pence). 2026 = latest close. Highlighted cells were corrected to the as-traded price; hover for Yahoo's rescaled figure.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PICK</t>
        </is>
      </c>
      <c r="B2" s="2" t="inlineStr">
        <is>
          <t>iShares MSCI Global Metals &amp; Mining Producers ETF</t>
        </is>
      </c>
      <c r="C2" s="2" t="inlineStr">
        <is>
          <t>USD</t>
        </is>
      </c>
      <c r="D2" s="4">
        <f>IF('Year-end close'!D2="","",'Year-end close'!D2/IF('Year-end close'!$C2="GBp",100,1)/INDEX('FX year-end'!$B$2:$B$14,MATCH(IF('Year-end close'!$C2="GBp","GBP",'Year-end close'!$C2),'FX year-end'!$A$2:$A$14,0)))</f>
        <v>34.63</v>
      </c>
      <c r="E2" s="4">
        <f>IF('Year-end close'!E2="","",'Year-end close'!E2/IF('Year-end close'!$C2="GBp",100,1)/INDEX('FX year-end'!$C$2:$C$14,MATCH(IF('Year-end close'!$C2="GBp","GBP",'Year-end close'!$C2),'FX year-end'!$A$2:$A$14,0)))</f>
        <v>26.98</v>
      </c>
      <c r="F2" s="4">
        <f>IF('Year-end close'!F2="","",'Year-end close'!F2/IF('Year-end close'!$C2="GBp",100,1)/INDEX('FX year-end'!$D$2:$D$14,MATCH(IF('Year-end close'!$C2="GBp","GBP",'Year-end close'!$C2),'FX year-end'!$A$2:$A$14,0)))</f>
        <v>29.73</v>
      </c>
      <c r="G2" s="4">
        <f>IF('Year-end close'!G2="","",'Year-end close'!G2/IF('Year-end close'!$C2="GBp",100,1)/INDEX('FX year-end'!$E$2:$E$14,MATCH(IF('Year-end close'!$C2="GBp","GBP",'Year-end close'!$C2),'FX year-end'!$A$2:$A$14,0)))</f>
        <v>36.85</v>
      </c>
      <c r="H2" s="4">
        <f>IF('Year-end close'!H2="","",'Year-end close'!H2/IF('Year-end close'!$C2="GBp",100,1)/INDEX('FX year-end'!$F$2:$F$14,MATCH(IF('Year-end close'!$C2="GBp","GBP",'Year-end close'!$C2),'FX year-end'!$A$2:$A$14,0)))</f>
        <v>42.62</v>
      </c>
      <c r="I2" s="4">
        <f>IF('Year-end close'!I2="","",'Year-end close'!I2/IF('Year-end close'!$C2="GBp",100,1)/INDEX('FX year-end'!$G$2:$G$14,MATCH(IF('Year-end close'!$C2="GBp","GBP",'Year-end close'!$C2),'FX year-end'!$A$2:$A$14,0)))</f>
        <v>41.0</v>
      </c>
      <c r="J2" s="4">
        <f>IF('Year-end close'!J2="","",'Year-end close'!J2/IF('Year-end close'!$C2="GBp",100,1)/INDEX('FX year-end'!$H$2:$H$14,MATCH(IF('Year-end close'!$C2="GBp","GBP",'Year-end close'!$C2),'FX year-end'!$A$2:$A$14,0)))</f>
        <v>43.07</v>
      </c>
      <c r="K2" s="4">
        <f>IF('Year-end close'!K2="","",'Year-end close'!K2/IF('Year-end close'!$C2="GBp",100,1)/INDEX('FX year-end'!$I$2:$I$14,MATCH(IF('Year-end close'!$C2="GBp","GBP",'Year-end close'!$C2),'FX year-end'!$A$2:$A$14,0)))</f>
        <v>34.99</v>
      </c>
      <c r="L2" s="4">
        <f>IF('Year-end close'!L2="","",'Year-end close'!L2/IF('Year-end close'!$C2="GBp",100,1)/INDEX('FX year-end'!$J$2:$J$14,MATCH(IF('Year-end close'!$C2="GBp","GBP",'Year-end close'!$C2),'FX year-end'!$A$2:$A$14,0)))</f>
        <v>51.34</v>
      </c>
      <c r="M2" s="4">
        <f>IF('Year-end close'!M2="","",'Year-end close'!M2/IF('Year-end close'!$C2="GBp",100,1)/INDEX('FX year-end'!$K$2:$K$14,MATCH(IF('Year-end close'!$C2="GBp","GBP",'Year-end close'!$C2),'FX year-end'!$A$2:$A$14,0)))</f>
        <v>61.14</v>
      </c>
    </row>
    <row r="3"/>
    <row r="4">
      <c r="A4" s="2" t="inlineStr">
        <is>
          <t>Year-end close / year-end FX rate (pence divided by 100 first).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  <c r="L1" s="1" t="inlineStr">
        <is>
          <t>2027</t>
        </is>
      </c>
      <c r="M1" s="1" t="inlineStr">
        <is>
          <t>2028</t>
        </is>
      </c>
    </row>
    <row r="2">
      <c r="A2" s="2" t="inlineStr">
        <is>
          <t>PICK</t>
        </is>
      </c>
      <c r="B2" s="2" t="inlineStr">
        <is>
          <t>iShares MSCI Global Metals &amp; Mining Producers ETF</t>
        </is>
      </c>
      <c r="C2" s="2" t="inlineStr">
        <is>
          <t>USD</t>
        </is>
      </c>
      <c r="D2" s="5">
        <f>IF('Year-end close'!D2="","",'Year-end close'!D2*EXP((INDEX('Rates 2y'!$B$2:$B$14,MATCH(IF($C2="GBp","GBP",$C2),'Rates 2y'!$A$2:$A$14,0))-'Dividend yield'!D2)*2))</f>
        <v>34.2708918036316</v>
      </c>
      <c r="E2" s="5">
        <f>IF('Year-end close'!E2="","",'Year-end close'!E2*EXP((INDEX('Rates 2y'!$C$2:$C$14,MATCH(IF($C2="GBp","GBP",$C2),'Rates 2y'!$A$2:$A$14,0))-'Dividend yield'!E2)*2))</f>
        <v>25.779145491425858</v>
      </c>
      <c r="F2" s="5">
        <f>IF('Year-end close'!F2="","",'Year-end close'!F2*EXP((INDEX('Rates 2y'!$D$2:$D$14,MATCH(IF($C2="GBp","GBP",$C2),'Rates 2y'!$A$2:$A$14,0))-'Dividend yield'!F2)*2))</f>
        <v>27.482917697025677</v>
      </c>
      <c r="G2" s="5">
        <f>IF('Year-end close'!G2="","",'Year-end close'!G2*EXP((INDEX('Rates 2y'!$E$2:$E$14,MATCH(IF($C2="GBp","GBP",$C2),'Rates 2y'!$A$2:$A$14,0))-'Dividend yield'!G2)*2))</f>
        <v>35.30701320735236</v>
      </c>
      <c r="H2" s="5">
        <f>IF('Year-end close'!H2="","",'Year-end close'!H2*EXP((INDEX('Rates 2y'!$F$2:$F$14,MATCH(IF($C2="GBp","GBP",$C2),'Rates 2y'!$A$2:$A$14,0))-'Dividend yield'!H2)*2))</f>
        <v>38.441500825626356</v>
      </c>
      <c r="I2" s="5">
        <f>IF('Year-end close'!I2="","",'Year-end close'!I2*EXP((INDEX('Rates 2y'!$G$2:$G$14,MATCH(IF($C2="GBp","GBP",$C2),'Rates 2y'!$A$2:$A$14,0))-'Dividend yield'!I2)*2))</f>
        <v>38.997208502319886</v>
      </c>
      <c r="J2" s="5">
        <f>IF('Year-end close'!J2="","",'Year-end close'!J2*EXP((INDEX('Rates 2y'!$H$2:$H$14,MATCH(IF($C2="GBp","GBP",$C2),'Rates 2y'!$A$2:$A$14,0))-'Dividend yield'!J2)*2))</f>
        <v>43.11895532135781</v>
      </c>
      <c r="K2" s="5">
        <f>IF('Year-end close'!K2="","",'Year-end close'!K2*EXP((INDEX('Rates 2y'!$I$2:$I$14,MATCH(IF($C2="GBp","GBP",$C2),'Rates 2y'!$A$2:$A$14,0))-'Dividend yield'!K2)*2))</f>
        <v>35.68599469600305</v>
      </c>
      <c r="L2" s="5">
        <f>IF('Year-end close'!L2="","",'Year-end close'!L2*EXP((INDEX('Rates 2y'!$J$2:$J$14,MATCH(IF($C2="GBp","GBP",$C2),'Rates 2y'!$A$2:$A$14,0))-'Dividend yield'!L2)*2))</f>
        <v>51.96498754932309</v>
      </c>
      <c r="M2" s="5">
        <f>IF('Year-end close'!M2="","",'Year-end close'!M2*EXP((INDEX('Rates 2y'!$K$2:$K$14,MATCH(IF($C2="GBp","GBP",$C2),'Rates 2y'!$A$2:$A$14,0))-'Dividend yield'!M2)*2))</f>
        <v>64.39502100037556</v>
      </c>
    </row>
    <row r="3"/>
    <row r="4">
      <c r="A4" s="2" t="inlineStr">
        <is>
          <t>Price a 2-year future set at the end of (column year - 2) would have had: close x exp((2y rate - dividend yield) x 2). Carry only, not a forecast.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  <c r="L1" s="1" t="inlineStr">
        <is>
          <t>2027</t>
        </is>
      </c>
      <c r="M1" s="1" t="inlineStr">
        <is>
          <t>2028</t>
        </is>
      </c>
    </row>
    <row r="2">
      <c r="A2" s="2" t="inlineStr">
        <is>
          <t>PICK</t>
        </is>
      </c>
      <c r="B2" s="2" t="inlineStr">
        <is>
          <t>iShares MSCI Global Metals &amp; Mining Producers ETF</t>
        </is>
      </c>
      <c r="C2" s="2" t="inlineStr">
        <is>
          <t>USD</t>
        </is>
      </c>
      <c r="D2" s="5">
        <f>IF('2y forward'!D2="","",'2y forward'!D2/IF('2y forward'!$C2="GBp",100,1)/INDEX('FX 2y forward'!$B$2:$B$14,MATCH(IF('2y forward'!$C2="GBp","GBP",'2y forward'!$C2),'FX 2y forward'!$A$2:$A$14,0)))</f>
        <v>34.2708918036316</v>
      </c>
      <c r="E2" s="5">
        <f>IF('2y forward'!E2="","",'2y forward'!E2/IF('2y forward'!$C2="GBp",100,1)/INDEX('FX 2y forward'!$C$2:$C$14,MATCH(IF('2y forward'!$C2="GBp","GBP",'2y forward'!$C2),'FX 2y forward'!$A$2:$A$14,0)))</f>
        <v>25.779145491425858</v>
      </c>
      <c r="F2" s="5">
        <f>IF('2y forward'!F2="","",'2y forward'!F2/IF('2y forward'!$C2="GBp",100,1)/INDEX('FX 2y forward'!$D$2:$D$14,MATCH(IF('2y forward'!$C2="GBp","GBP",'2y forward'!$C2),'FX 2y forward'!$A$2:$A$14,0)))</f>
        <v>27.482917697025677</v>
      </c>
      <c r="G2" s="5">
        <f>IF('2y forward'!G2="","",'2y forward'!G2/IF('2y forward'!$C2="GBp",100,1)/INDEX('FX 2y forward'!$E$2:$E$14,MATCH(IF('2y forward'!$C2="GBp","GBP",'2y forward'!$C2),'FX 2y forward'!$A$2:$A$14,0)))</f>
        <v>35.30701320735236</v>
      </c>
      <c r="H2" s="5">
        <f>IF('2y forward'!H2="","",'2y forward'!H2/IF('2y forward'!$C2="GBp",100,1)/INDEX('FX 2y forward'!$F$2:$F$14,MATCH(IF('2y forward'!$C2="GBp","GBP",'2y forward'!$C2),'FX 2y forward'!$A$2:$A$14,0)))</f>
        <v>38.441500825626356</v>
      </c>
      <c r="I2" s="5">
        <f>IF('2y forward'!I2="","",'2y forward'!I2/IF('2y forward'!$C2="GBp",100,1)/INDEX('FX 2y forward'!$G$2:$G$14,MATCH(IF('2y forward'!$C2="GBp","GBP",'2y forward'!$C2),'FX 2y forward'!$A$2:$A$14,0)))</f>
        <v>38.997208502319886</v>
      </c>
      <c r="J2" s="5">
        <f>IF('2y forward'!J2="","",'2y forward'!J2/IF('2y forward'!$C2="GBp",100,1)/INDEX('FX 2y forward'!$H$2:$H$14,MATCH(IF('2y forward'!$C2="GBp","GBP",'2y forward'!$C2),'FX 2y forward'!$A$2:$A$14,0)))</f>
        <v>43.11895532135781</v>
      </c>
      <c r="K2" s="5">
        <f>IF('2y forward'!K2="","",'2y forward'!K2/IF('2y forward'!$C2="GBp",100,1)/INDEX('FX 2y forward'!$I$2:$I$14,MATCH(IF('2y forward'!$C2="GBp","GBP",'2y forward'!$C2),'FX 2y forward'!$A$2:$A$14,0)))</f>
        <v>35.68599469600305</v>
      </c>
      <c r="L2" s="5">
        <f>IF('2y forward'!L2="","",'2y forward'!L2/IF('2y forward'!$C2="GBp",100,1)/INDEX('FX 2y forward'!$J$2:$J$14,MATCH(IF('2y forward'!$C2="GBp","GBP",'2y forward'!$C2),'FX 2y forward'!$A$2:$A$14,0)))</f>
        <v>51.96498754932309</v>
      </c>
      <c r="M2" s="5">
        <f>IF('2y forward'!M2="","",'2y forward'!M2/IF('2y forward'!$C2="GBp",100,1)/INDEX('FX 2y forward'!$K$2:$K$14,MATCH(IF('2y forward'!$C2="GBp","GBP",'2y forward'!$C2),'FX 2y forward'!$A$2:$A$14,0)))</f>
        <v>64.39502100037556</v>
      </c>
    </row>
    <row r="3"/>
    <row r="4">
      <c r="A4" s="2" t="inlineStr">
        <is>
          <t>2y forward (local) / 2-year FX forward from the 'FX 2y forward'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PICK</t>
        </is>
      </c>
      <c r="B2" s="2" t="inlineStr">
        <is>
          <t>iShares MSCI Global Metals &amp; Mining Producers ETF</t>
        </is>
      </c>
      <c r="C2" s="2" t="inlineStr">
        <is>
          <t>USD</t>
        </is>
      </c>
      <c r="D2" s="6" t="n">
        <v>0.024112</v>
      </c>
      <c r="E2" s="6" t="n">
        <v>0.047665</v>
      </c>
      <c r="F2" s="6" t="n">
        <v>0.055096</v>
      </c>
      <c r="G2" s="6" t="n">
        <v>0.022687</v>
      </c>
      <c r="H2" s="6" t="n">
        <v>0.058893</v>
      </c>
      <c r="I2" s="6" t="n">
        <v>0.069341</v>
      </c>
      <c r="J2" s="6" t="n">
        <v>0.041932</v>
      </c>
      <c r="K2" s="6" t="n">
        <v>0.032552</v>
      </c>
      <c r="L2" s="6" t="n">
        <v>0.02875</v>
      </c>
      <c r="M2" s="6" t="n">
        <v>0.008865</v>
      </c>
    </row>
    <row r="3"/>
    <row r="4">
      <c r="A4" s="2" t="inlineStr">
        <is>
          <t>Dividends paid during the year / year-end close.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currency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</row>
    <row r="2">
      <c r="A2" t="inlineStr">
        <is>
          <t>USD</t>
        </is>
      </c>
      <c r="B2" s="7" t="n">
        <v>0.0189</v>
      </c>
      <c r="C2" s="7" t="n">
        <v>0.0249</v>
      </c>
      <c r="D2" s="7" t="n">
        <v>0.0158</v>
      </c>
      <c r="E2" s="7" t="n">
        <v>0.0013</v>
      </c>
      <c r="F2" s="7" t="n">
        <v>0.0073</v>
      </c>
      <c r="G2" s="7" t="n">
        <v>0.0443</v>
      </c>
      <c r="H2" s="7" t="n">
        <v>0.0425</v>
      </c>
      <c r="I2" s="7" t="n">
        <v>0.0424</v>
      </c>
      <c r="J2" s="7" t="n">
        <v>0.0348</v>
      </c>
      <c r="K2" s="7" t="n">
        <v>0.0348</v>
      </c>
    </row>
    <row r="3">
      <c r="A3" t="inlineStr">
        <is>
          <t>CAD</t>
        </is>
      </c>
      <c r="B3" s="7" t="n">
        <v>0.0169</v>
      </c>
      <c r="C3" s="7" t="n">
        <v>0.0186</v>
      </c>
      <c r="D3" s="7" t="n">
        <v>0.017</v>
      </c>
      <c r="E3" s="7" t="n">
        <v>0.002</v>
      </c>
      <c r="F3" s="7" t="n">
        <v>0.0095</v>
      </c>
      <c r="G3" s="7" t="n">
        <v>0.0405</v>
      </c>
      <c r="H3" s="7" t="n">
        <v>0.0388</v>
      </c>
      <c r="I3" s="7" t="n">
        <v>0.0293</v>
      </c>
      <c r="J3" s="7" t="n">
        <v>0.026</v>
      </c>
      <c r="K3" s="7" t="n">
        <v>0.026</v>
      </c>
    </row>
    <row r="4">
      <c r="A4" t="inlineStr">
        <is>
          <t>AUD</t>
        </is>
      </c>
      <c r="B4" s="7" t="n">
        <v>0.02</v>
      </c>
      <c r="C4" s="7" t="n">
        <v>0.019</v>
      </c>
      <c r="D4" s="7" t="n">
        <v>0.009000000000000001</v>
      </c>
      <c r="E4" s="7" t="n">
        <v>0.001</v>
      </c>
      <c r="F4" s="7" t="n">
        <v>0.006</v>
      </c>
      <c r="G4" s="7" t="n">
        <v>0.035</v>
      </c>
      <c r="H4" s="7" t="n">
        <v>0.03700000000000001</v>
      </c>
      <c r="I4" s="7" t="n">
        <v>0.0385</v>
      </c>
      <c r="J4" s="7" t="n">
        <v>0.039</v>
      </c>
      <c r="K4" s="7" t="n">
        <v>0.039</v>
      </c>
    </row>
    <row r="5">
      <c r="A5" t="inlineStr">
        <is>
          <t>GBP</t>
        </is>
      </c>
      <c r="B5" s="7" t="n">
        <v>0.004500000000000001</v>
      </c>
      <c r="C5" s="7" t="n">
        <v>0.0075</v>
      </c>
      <c r="D5" s="7" t="n">
        <v>0.005500000000000001</v>
      </c>
      <c r="E5" s="7" t="n">
        <v>-0.0015</v>
      </c>
      <c r="F5" s="7" t="n">
        <v>0.006999999999999999</v>
      </c>
      <c r="G5" s="7" t="n">
        <v>0.036</v>
      </c>
      <c r="H5" s="7" t="n">
        <v>0.04</v>
      </c>
      <c r="I5" s="7" t="n">
        <v>0.044</v>
      </c>
      <c r="J5" s="7" t="n">
        <v>0.0375</v>
      </c>
      <c r="K5" s="7" t="n">
        <v>0.0375</v>
      </c>
    </row>
    <row r="6">
      <c r="A6" t="inlineStr">
        <is>
          <t>MXN</t>
        </is>
      </c>
      <c r="B6" s="7" t="n">
        <v>0.076</v>
      </c>
      <c r="C6" s="7" t="n">
        <v>0.08599999999999999</v>
      </c>
      <c r="D6" s="7" t="n">
        <v>0.06900000000000001</v>
      </c>
      <c r="E6" s="7" t="n">
        <v>0.043</v>
      </c>
      <c r="F6" s="7" t="n">
        <v>0.07200000000000001</v>
      </c>
      <c r="G6" s="7" t="n">
        <v>0.105</v>
      </c>
      <c r="H6" s="7" t="n">
        <v>0.103</v>
      </c>
      <c r="I6" s="7" t="n">
        <v>0.099</v>
      </c>
      <c r="J6" s="7" t="n">
        <v>0.073</v>
      </c>
      <c r="K6" s="7" t="n">
        <v>0.073</v>
      </c>
    </row>
    <row r="7">
      <c r="A7" t="inlineStr">
        <is>
          <t>BRL</t>
        </is>
      </c>
      <c r="B7" s="7" t="n">
        <v>0.075</v>
      </c>
      <c r="C7" s="7" t="n">
        <v>0.07200000000000001</v>
      </c>
      <c r="D7" s="7" t="n">
        <v>0.053</v>
      </c>
      <c r="E7" s="7" t="n">
        <v>0.043</v>
      </c>
      <c r="F7" s="7" t="n">
        <v>0.113</v>
      </c>
      <c r="G7" s="7" t="n">
        <v>0.134</v>
      </c>
      <c r="H7" s="7" t="n">
        <v>0.103</v>
      </c>
      <c r="I7" s="7" t="n">
        <v>0.154</v>
      </c>
      <c r="J7" s="7" t="n">
        <v>0.139</v>
      </c>
      <c r="K7" s="7" t="n">
        <v>0.139</v>
      </c>
    </row>
    <row r="8">
      <c r="A8" t="inlineStr">
        <is>
          <t>SAR</t>
        </is>
      </c>
      <c r="B8" s="7" t="n">
        <v>0.02</v>
      </c>
      <c r="C8" s="7" t="n">
        <v>0.029</v>
      </c>
      <c r="D8" s="7" t="n">
        <v>0.023</v>
      </c>
      <c r="E8" s="7" t="n">
        <v>0.009000000000000001</v>
      </c>
      <c r="F8" s="7" t="n">
        <v>0.012</v>
      </c>
      <c r="G8" s="7" t="n">
        <v>0.05</v>
      </c>
      <c r="H8" s="7" t="n">
        <v>0.05400000000000001</v>
      </c>
      <c r="I8" s="7" t="n">
        <v>0.052</v>
      </c>
      <c r="J8" s="7" t="n">
        <v>0.046</v>
      </c>
      <c r="K8" s="7" t="n">
        <v>0.046</v>
      </c>
    </row>
    <row r="9">
      <c r="A9" t="inlineStr">
        <is>
          <t>HKD</t>
        </is>
      </c>
      <c r="B9" s="7" t="n">
        <v>0.013</v>
      </c>
      <c r="C9" s="7" t="n">
        <v>0.018</v>
      </c>
      <c r="D9" s="7" t="n">
        <v>0.017</v>
      </c>
      <c r="E9" s="7" t="n">
        <v>0.002</v>
      </c>
      <c r="F9" s="7" t="n">
        <v>0.006</v>
      </c>
      <c r="G9" s="7" t="n">
        <v>0.04</v>
      </c>
      <c r="H9" s="7" t="n">
        <v>0.036</v>
      </c>
      <c r="I9" s="7" t="n">
        <v>0.034</v>
      </c>
      <c r="J9" s="7" t="n">
        <v>0.026</v>
      </c>
      <c r="K9" s="7" t="n">
        <v>0.026</v>
      </c>
    </row>
    <row r="10">
      <c r="A10" t="inlineStr">
        <is>
          <t>CNY</t>
        </is>
      </c>
      <c r="B10" s="7" t="n">
        <v>0.035</v>
      </c>
      <c r="C10" s="7" t="n">
        <v>0.027</v>
      </c>
      <c r="D10" s="7" t="n">
        <v>0.026</v>
      </c>
      <c r="E10" s="7" t="n">
        <v>0.027</v>
      </c>
      <c r="F10" s="7" t="n">
        <v>0.023</v>
      </c>
      <c r="G10" s="7" t="n">
        <v>0.023</v>
      </c>
      <c r="H10" s="7" t="n">
        <v>0.022</v>
      </c>
      <c r="I10" s="7" t="n">
        <v>0.011</v>
      </c>
      <c r="J10" s="7" t="n">
        <v>0.014</v>
      </c>
      <c r="K10" s="7" t="n">
        <v>0.014</v>
      </c>
    </row>
    <row r="11">
      <c r="A11" t="inlineStr">
        <is>
          <t>IDR</t>
        </is>
      </c>
      <c r="B11" s="7" t="n">
        <v>0.058</v>
      </c>
      <c r="C11" s="7" t="n">
        <v>0.077</v>
      </c>
      <c r="D11" s="7" t="n">
        <v>0.057</v>
      </c>
      <c r="E11" s="7" t="n">
        <v>0.04099999999999999</v>
      </c>
      <c r="F11" s="7" t="n">
        <v>0.039</v>
      </c>
      <c r="G11" s="7" t="n">
        <v>0.059</v>
      </c>
      <c r="H11" s="7" t="n">
        <v>0.064</v>
      </c>
      <c r="I11" s="7" t="n">
        <v>0.06900000000000001</v>
      </c>
      <c r="J11" s="7" t="n">
        <v>0.05</v>
      </c>
      <c r="K11" s="7" t="n">
        <v>0.05</v>
      </c>
    </row>
    <row r="12">
      <c r="A12" t="inlineStr">
        <is>
          <t>ZAR</t>
        </is>
      </c>
      <c r="B12" s="7" t="n">
        <v>0.07000000000000001</v>
      </c>
      <c r="C12" s="7" t="n">
        <v>0.073</v>
      </c>
      <c r="D12" s="7" t="n">
        <v>0.06900000000000001</v>
      </c>
      <c r="E12" s="7" t="n">
        <v>0.045</v>
      </c>
      <c r="F12" s="7" t="n">
        <v>0.05599999999999999</v>
      </c>
      <c r="G12" s="7" t="n">
        <v>0.08</v>
      </c>
      <c r="H12" s="7" t="n">
        <v>0.08199999999999999</v>
      </c>
      <c r="I12" s="7" t="n">
        <v>0.076</v>
      </c>
      <c r="J12" s="7" t="n">
        <v>0.07000000000000001</v>
      </c>
      <c r="K12" s="7" t="n">
        <v>0.07000000000000001</v>
      </c>
    </row>
    <row r="13">
      <c r="A13" t="inlineStr">
        <is>
          <t>SEK</t>
        </is>
      </c>
      <c r="B13" s="7" t="n">
        <v>-0.006</v>
      </c>
      <c r="C13" s="7" t="n">
        <v>-0.005</v>
      </c>
      <c r="D13" s="7" t="n">
        <v>-0.003</v>
      </c>
      <c r="E13" s="7" t="n">
        <v>-0.003</v>
      </c>
      <c r="F13" s="7" t="n">
        <v>0.003</v>
      </c>
      <c r="G13" s="7" t="n">
        <v>0.027</v>
      </c>
      <c r="H13" s="7" t="n">
        <v>0.029</v>
      </c>
      <c r="I13" s="7" t="n">
        <v>0.02</v>
      </c>
      <c r="J13" s="7" t="n">
        <v>0.019</v>
      </c>
      <c r="K13" s="7" t="n">
        <v>0.019</v>
      </c>
    </row>
    <row r="14">
      <c r="A14" t="inlineStr">
        <is>
          <t>EUR</t>
        </is>
      </c>
      <c r="B14" s="7" t="n">
        <v>-0.006</v>
      </c>
      <c r="C14" s="7" t="n">
        <v>-0.006</v>
      </c>
      <c r="D14" s="7" t="n">
        <v>-0.006</v>
      </c>
      <c r="E14" s="7" t="n">
        <v>-0.006999999999999999</v>
      </c>
      <c r="F14" s="7" t="n">
        <v>-0.006</v>
      </c>
      <c r="G14" s="7" t="n">
        <v>0.0275</v>
      </c>
      <c r="H14" s="7" t="n">
        <v>0.024</v>
      </c>
      <c r="I14" s="7" t="n">
        <v>0.021</v>
      </c>
      <c r="J14" s="7" t="n">
        <v>0.021</v>
      </c>
      <c r="K14" s="7" t="n">
        <v>0.021</v>
      </c>
    </row>
    <row r="15"/>
    <row r="16">
      <c r="A16" s="2" t="inlineStr">
        <is>
          <t>Approximate year-end 2-year government bond yields (SAR: interbank proxy). Entered from memory, not from a data source: replace with exact figures if needed. 2026 repeats 2025.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currency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</row>
    <row r="2">
      <c r="A2" t="inlineStr">
        <is>
          <t>USD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CAD</t>
        </is>
      </c>
      <c r="B3" t="n">
        <v>1.25655</v>
      </c>
      <c r="C3" t="n">
        <v>1.3622</v>
      </c>
      <c r="D3" t="n">
        <v>1.30606</v>
      </c>
      <c r="E3" t="n">
        <v>1.27507</v>
      </c>
      <c r="F3" t="n">
        <v>1.27444</v>
      </c>
      <c r="G3" t="n">
        <v>1.3552</v>
      </c>
      <c r="H3" t="n">
        <v>1.32296</v>
      </c>
      <c r="I3" t="n">
        <v>1.43498</v>
      </c>
      <c r="J3" t="n">
        <v>1.36947</v>
      </c>
      <c r="K3" t="n">
        <v>1.41538</v>
      </c>
    </row>
    <row r="4">
      <c r="A4" t="inlineStr">
        <is>
          <t>AUD</t>
        </is>
      </c>
      <c r="B4" t="n">
        <v>1.28299</v>
      </c>
      <c r="C4" t="n">
        <v>1.4195</v>
      </c>
      <c r="D4" t="n">
        <v>1.428286</v>
      </c>
      <c r="E4" t="n">
        <v>1.30051</v>
      </c>
      <c r="F4" t="n">
        <v>1.379348</v>
      </c>
      <c r="G4" t="n">
        <v>1.477978</v>
      </c>
      <c r="H4" t="n">
        <v>1.464922</v>
      </c>
      <c r="I4" t="n">
        <v>1.607717</v>
      </c>
      <c r="J4" t="n">
        <v>1.492983</v>
      </c>
      <c r="K4" t="n">
        <v>1.4255</v>
      </c>
    </row>
    <row r="5">
      <c r="A5" t="inlineStr">
        <is>
          <t>GBP</t>
        </is>
      </c>
      <c r="B5" t="n">
        <v>0.744</v>
      </c>
      <c r="C5" t="n">
        <v>0.7877999999999999</v>
      </c>
      <c r="D5" t="n">
        <v>0.7625999999999999</v>
      </c>
      <c r="E5" t="n">
        <v>0.73364</v>
      </c>
      <c r="F5" t="n">
        <v>0.74083</v>
      </c>
      <c r="G5" t="n">
        <v>0.82944</v>
      </c>
      <c r="H5" t="n">
        <v>0.7853</v>
      </c>
      <c r="I5" t="n">
        <v>0.79687</v>
      </c>
      <c r="J5" t="n">
        <v>0.742545</v>
      </c>
      <c r="K5" t="n">
        <v>0.75604</v>
      </c>
    </row>
    <row r="6">
      <c r="A6" t="inlineStr">
        <is>
          <t>MXN</t>
        </is>
      </c>
      <c r="B6" t="n">
        <v>19.65539</v>
      </c>
      <c r="C6" t="n">
        <v>19.64537</v>
      </c>
      <c r="D6" t="n">
        <v>18.9177</v>
      </c>
      <c r="E6" t="n">
        <v>19.8909</v>
      </c>
      <c r="F6" t="n">
        <v>20.459101</v>
      </c>
      <c r="G6" t="n">
        <v>19.4576</v>
      </c>
      <c r="H6" t="n">
        <v>16.9512</v>
      </c>
      <c r="I6" t="n">
        <v>20.6322</v>
      </c>
      <c r="J6" t="n">
        <v>17.9788</v>
      </c>
      <c r="K6" t="n">
        <v>17.740999</v>
      </c>
    </row>
    <row r="7">
      <c r="A7" t="inlineStr">
        <is>
          <t>BRL</t>
        </is>
      </c>
      <c r="B7" t="n">
        <v>3.3111</v>
      </c>
      <c r="C7" t="n">
        <v>3.8742</v>
      </c>
      <c r="D7" t="n">
        <v>4.015711</v>
      </c>
      <c r="E7" t="n">
        <v>5.190839</v>
      </c>
      <c r="F7" t="n">
        <v>5.5702</v>
      </c>
      <c r="G7" t="n">
        <v>5.2846</v>
      </c>
      <c r="H7" t="n">
        <v>4.8502</v>
      </c>
      <c r="I7" t="n">
        <v>6.1779</v>
      </c>
      <c r="J7" t="n">
        <v>5.4762</v>
      </c>
      <c r="K7" t="n">
        <v>5.1842</v>
      </c>
    </row>
    <row r="8">
      <c r="A8" t="inlineStr">
        <is>
          <t>SAR</t>
        </is>
      </c>
      <c r="B8" t="n">
        <v>3.7456</v>
      </c>
      <c r="C8" t="n">
        <v>3.7515</v>
      </c>
      <c r="D8" t="n">
        <v>3.74836</v>
      </c>
      <c r="E8" t="n">
        <v>3.747706</v>
      </c>
      <c r="F8" t="n">
        <v>3.749972</v>
      </c>
      <c r="G8" t="n">
        <v>3.754942</v>
      </c>
      <c r="H8" t="n">
        <v>3.745219</v>
      </c>
      <c r="I8" t="n">
        <v>3.751983</v>
      </c>
      <c r="J8" t="n">
        <v>3.7479</v>
      </c>
      <c r="K8" t="n">
        <v>3.7543</v>
      </c>
    </row>
    <row r="9">
      <c r="A9" t="inlineStr">
        <is>
          <t>HKD</t>
        </is>
      </c>
      <c r="B9" t="n">
        <v>7.8168</v>
      </c>
      <c r="C9" t="n">
        <v>7.8309</v>
      </c>
      <c r="D9" t="n">
        <v>7.7881</v>
      </c>
      <c r="E9" t="n">
        <v>7.75218</v>
      </c>
      <c r="F9" t="n">
        <v>7.79756</v>
      </c>
      <c r="G9" t="n">
        <v>7.7944</v>
      </c>
      <c r="H9" t="n">
        <v>7.8118</v>
      </c>
      <c r="I9" t="n">
        <v>7.7635</v>
      </c>
      <c r="J9" t="n">
        <v>7.78066</v>
      </c>
      <c r="K9" t="n">
        <v>7.84357</v>
      </c>
    </row>
    <row r="10">
      <c r="A10" t="inlineStr">
        <is>
          <t>CNY</t>
        </is>
      </c>
      <c r="B10" t="n">
        <v>6.5316</v>
      </c>
      <c r="C10" t="n">
        <v>6.8772</v>
      </c>
      <c r="D10" t="n">
        <v>6.9857</v>
      </c>
      <c r="E10" t="n">
        <v>6.5222</v>
      </c>
      <c r="F10" t="n">
        <v>6.3721</v>
      </c>
      <c r="G10" t="n">
        <v>6.9631</v>
      </c>
      <c r="H10" t="n">
        <v>7.107</v>
      </c>
      <c r="I10" t="n">
        <v>7.2981</v>
      </c>
      <c r="J10" t="n">
        <v>6.9961</v>
      </c>
      <c r="K10" t="n">
        <v>6.7037</v>
      </c>
    </row>
    <row r="11">
      <c r="A11" t="inlineStr">
        <is>
          <t>IDR</t>
        </is>
      </c>
      <c r="B11" t="n">
        <v>13558</v>
      </c>
      <c r="C11" t="n">
        <v>14553</v>
      </c>
      <c r="D11" t="n">
        <v>13919</v>
      </c>
      <c r="E11" t="n">
        <v>13832.55957</v>
      </c>
      <c r="F11" t="n">
        <v>14285.200195</v>
      </c>
      <c r="G11" t="n">
        <v>15620</v>
      </c>
      <c r="H11" t="n">
        <v>15425</v>
      </c>
      <c r="I11" t="n">
        <v>16085.599609</v>
      </c>
      <c r="J11" t="n">
        <v>16709</v>
      </c>
      <c r="K11" t="n">
        <v>17912</v>
      </c>
    </row>
    <row r="12">
      <c r="A12" t="inlineStr">
        <is>
          <t>ZAR</t>
        </is>
      </c>
      <c r="B12" t="n">
        <v>12.3955</v>
      </c>
      <c r="C12" t="n">
        <v>14.4153</v>
      </c>
      <c r="D12" t="n">
        <v>14.09859</v>
      </c>
      <c r="E12" t="n">
        <v>14.6413</v>
      </c>
      <c r="F12" t="n">
        <v>15.8891</v>
      </c>
      <c r="G12" t="n">
        <v>16.920601</v>
      </c>
      <c r="H12" t="n">
        <v>18.567301</v>
      </c>
      <c r="I12" t="n">
        <v>18.7649</v>
      </c>
      <c r="J12" t="n">
        <v>16.58547</v>
      </c>
      <c r="K12" t="n">
        <v>16.3232</v>
      </c>
    </row>
    <row r="13">
      <c r="A13" t="inlineStr">
        <is>
          <t>SEK</t>
        </is>
      </c>
      <c r="B13" t="n">
        <v>8.24572</v>
      </c>
      <c r="C13" t="n">
        <v>8.9801</v>
      </c>
      <c r="D13" t="n">
        <v>9.34468</v>
      </c>
      <c r="E13" t="n">
        <v>8.18877</v>
      </c>
      <c r="F13" t="n">
        <v>9.046810000000001</v>
      </c>
      <c r="G13" t="n">
        <v>10.4522</v>
      </c>
      <c r="H13" t="n">
        <v>9.97109</v>
      </c>
      <c r="I13" t="n">
        <v>11.02383</v>
      </c>
      <c r="J13" t="n">
        <v>9.194739999999999</v>
      </c>
      <c r="K13" t="n">
        <v>9.9316</v>
      </c>
    </row>
    <row r="14">
      <c r="A14" t="inlineStr">
        <is>
          <t>EUR</t>
        </is>
      </c>
      <c r="B14" t="n">
        <v>0.8374</v>
      </c>
      <c r="C14" t="n">
        <v>0.87413</v>
      </c>
      <c r="D14" t="n">
        <v>0.892674</v>
      </c>
      <c r="E14" t="n">
        <v>0.813015</v>
      </c>
      <c r="F14" t="n">
        <v>0.883</v>
      </c>
      <c r="G14" t="n">
        <v>0.93802</v>
      </c>
      <c r="H14" t="n">
        <v>0.90349</v>
      </c>
      <c r="I14" t="n">
        <v>0.96097</v>
      </c>
      <c r="J14" t="n">
        <v>0.85126</v>
      </c>
      <c r="K14" t="n">
        <v>0.8786</v>
      </c>
    </row>
    <row r="15"/>
    <row r="16">
      <c r="A16" s="2" t="inlineStr">
        <is>
          <t>Units of currency per 1 USD at the last trading day of each year (2026: latest). Source: Yahoo Finance (CAD=X, GBP=X, ...).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currency</t>
        </is>
      </c>
      <c r="B1" s="1" t="inlineStr">
        <is>
          <t>2017-&gt;2019</t>
        </is>
      </c>
      <c r="C1" s="1" t="inlineStr">
        <is>
          <t>2018-&gt;2020</t>
        </is>
      </c>
      <c r="D1" s="1" t="inlineStr">
        <is>
          <t>2019-&gt;2021</t>
        </is>
      </c>
      <c r="E1" s="1" t="inlineStr">
        <is>
          <t>2020-&gt;2022</t>
        </is>
      </c>
      <c r="F1" s="1" t="inlineStr">
        <is>
          <t>2021-&gt;2023</t>
        </is>
      </c>
      <c r="G1" s="1" t="inlineStr">
        <is>
          <t>2022-&gt;2024</t>
        </is>
      </c>
      <c r="H1" s="1" t="inlineStr">
        <is>
          <t>2023-&gt;2025</t>
        </is>
      </c>
      <c r="I1" s="1" t="inlineStr">
        <is>
          <t>2024-&gt;2026</t>
        </is>
      </c>
      <c r="J1" s="1" t="inlineStr">
        <is>
          <t>2025-&gt;2027</t>
        </is>
      </c>
      <c r="K1" s="1" t="inlineStr">
        <is>
          <t>2026-&gt;2028</t>
        </is>
      </c>
    </row>
    <row r="2">
      <c r="A2" t="inlineStr">
        <is>
          <t>USD</t>
        </is>
      </c>
      <c r="B2">
        <f>'FX year-end'!B2*EXP((INDEX('Rates 2y'!$B$2:$B$14,MATCH($A2,'Rates 2y'!$A$2:$A$14,0))-INDEX('Rates 2y'!$B$2:$B$14,MATCH("USD",'Rates 2y'!$A$2:$A$14,0)))*2)</f>
        <v>1.0</v>
      </c>
      <c r="C2">
        <f>'FX year-end'!C2*EXP((INDEX('Rates 2y'!$C$2:$C$14,MATCH($A2,'Rates 2y'!$A$2:$A$14,0))-INDEX('Rates 2y'!$C$2:$C$14,MATCH("USD",'Rates 2y'!$A$2:$A$14,0)))*2)</f>
        <v>1.0</v>
      </c>
      <c r="D2">
        <f>'FX year-end'!D2*EXP((INDEX('Rates 2y'!$D$2:$D$14,MATCH($A2,'Rates 2y'!$A$2:$A$14,0))-INDEX('Rates 2y'!$D$2:$D$14,MATCH("USD",'Rates 2y'!$A$2:$A$14,0)))*2)</f>
        <v>1.0</v>
      </c>
      <c r="E2">
        <f>'FX year-end'!E2*EXP((INDEX('Rates 2y'!$E$2:$E$14,MATCH($A2,'Rates 2y'!$A$2:$A$14,0))-INDEX('Rates 2y'!$E$2:$E$14,MATCH("USD",'Rates 2y'!$A$2:$A$14,0)))*2)</f>
        <v>1.0</v>
      </c>
      <c r="F2">
        <f>'FX year-end'!F2*EXP((INDEX('Rates 2y'!$F$2:$F$14,MATCH($A2,'Rates 2y'!$A$2:$A$14,0))-INDEX('Rates 2y'!$F$2:$F$14,MATCH("USD",'Rates 2y'!$A$2:$A$14,0)))*2)</f>
        <v>1.0</v>
      </c>
      <c r="G2">
        <f>'FX year-end'!G2*EXP((INDEX('Rates 2y'!$G$2:$G$14,MATCH($A2,'Rates 2y'!$A$2:$A$14,0))-INDEX('Rates 2y'!$G$2:$G$14,MATCH("USD",'Rates 2y'!$A$2:$A$14,0)))*2)</f>
        <v>1.0</v>
      </c>
      <c r="H2">
        <f>'FX year-end'!H2*EXP((INDEX('Rates 2y'!$H$2:$H$14,MATCH($A2,'Rates 2y'!$A$2:$A$14,0))-INDEX('Rates 2y'!$H$2:$H$14,MATCH("USD",'Rates 2y'!$A$2:$A$14,0)))*2)</f>
        <v>1.0</v>
      </c>
      <c r="I2">
        <f>'FX year-end'!I2*EXP((INDEX('Rates 2y'!$I$2:$I$14,MATCH($A2,'Rates 2y'!$A$2:$A$14,0))-INDEX('Rates 2y'!$I$2:$I$14,MATCH("USD",'Rates 2y'!$A$2:$A$14,0)))*2)</f>
        <v>1.0</v>
      </c>
      <c r="J2">
        <f>'FX year-end'!J2*EXP((INDEX('Rates 2y'!$J$2:$J$14,MATCH($A2,'Rates 2y'!$A$2:$A$14,0))-INDEX('Rates 2y'!$J$2:$J$14,MATCH("USD",'Rates 2y'!$A$2:$A$14,0)))*2)</f>
        <v>1.0</v>
      </c>
      <c r="K2">
        <f>'FX year-end'!K2*EXP((INDEX('Rates 2y'!$K$2:$K$14,MATCH($A2,'Rates 2y'!$A$2:$A$14,0))-INDEX('Rates 2y'!$K$2:$K$14,MATCH("USD",'Rates 2y'!$A$2:$A$14,0)))*2)</f>
        <v>1.0</v>
      </c>
    </row>
    <row r="3">
      <c r="A3" t="inlineStr">
        <is>
          <t>CAD</t>
        </is>
      </c>
      <c r="B3">
        <f>'FX year-end'!B3*EXP((INDEX('Rates 2y'!$B$2:$B$14,MATCH($A3,'Rates 2y'!$A$2:$A$14,0))-INDEX('Rates 2y'!$B$2:$B$14,MATCH("USD",'Rates 2y'!$A$2:$A$14,0)))*2)</f>
        <v>1.2515338390101927</v>
      </c>
      <c r="C3">
        <f>'FX year-end'!C3*EXP((INDEX('Rates 2y'!$C$2:$C$14,MATCH($A3,'Rates 2y'!$A$2:$A$14,0))-INDEX('Rates 2y'!$C$2:$C$14,MATCH("USD",'Rates 2y'!$A$2:$A$14,0)))*2)</f>
        <v>1.3451439587109504</v>
      </c>
      <c r="D3">
        <f>'FX year-end'!D3*EXP((INDEX('Rates 2y'!$D$2:$D$14,MATCH($A3,'Rates 2y'!$A$2:$A$14,0))-INDEX('Rates 2y'!$D$2:$D$14,MATCH("USD",'Rates 2y'!$A$2:$A$14,0)))*2)</f>
        <v>1.3091983084637686</v>
      </c>
      <c r="E3">
        <f>'FX year-end'!E3*EXP((INDEX('Rates 2y'!$E$2:$E$14,MATCH($A3,'Rates 2y'!$A$2:$A$14,0))-INDEX('Rates 2y'!$E$2:$E$14,MATCH("USD",'Rates 2y'!$A$2:$A$14,0)))*2)</f>
        <v>1.2768563481519362</v>
      </c>
      <c r="F3">
        <f>'FX year-end'!F3*EXP((INDEX('Rates 2y'!$F$2:$F$14,MATCH($A3,'Rates 2y'!$A$2:$A$14,0))-INDEX('Rates 2y'!$F$2:$F$14,MATCH("USD",'Rates 2y'!$A$2:$A$14,0)))*2)</f>
        <v>1.28005989069277</v>
      </c>
      <c r="G3">
        <f>'FX year-end'!G3*EXP((INDEX('Rates 2y'!$G$2:$G$14,MATCH($A3,'Rates 2y'!$A$2:$A$14,0))-INDEX('Rates 2y'!$G$2:$G$14,MATCH("USD",'Rates 2y'!$A$2:$A$14,0)))*2)</f>
        <v>1.3449395192140532</v>
      </c>
      <c r="H3">
        <f>'FX year-end'!H3*EXP((INDEX('Rates 2y'!$H$2:$H$14,MATCH($A3,'Rates 2y'!$A$2:$A$14,0))-INDEX('Rates 2y'!$H$2:$H$14,MATCH("USD",'Rates 2y'!$A$2:$A$14,0)))*2)</f>
        <v>1.3132062294606612</v>
      </c>
      <c r="I3">
        <f>'FX year-end'!I3*EXP((INDEX('Rates 2y'!$I$2:$I$14,MATCH($A3,'Rates 2y'!$A$2:$A$14,0))-INDEX('Rates 2y'!$I$2:$I$14,MATCH("USD",'Rates 2y'!$A$2:$A$14,0)))*2)</f>
        <v>1.3978717645745489</v>
      </c>
      <c r="J3">
        <f>'FX year-end'!J3*EXP((INDEX('Rates 2y'!$J$2:$J$14,MATCH($A3,'Rates 2y'!$A$2:$A$14,0))-INDEX('Rates 2y'!$J$2:$J$14,MATCH("USD",'Rates 2y'!$A$2:$A$14,0)))*2)</f>
        <v>1.3455781926288697</v>
      </c>
      <c r="K3">
        <f>'FX year-end'!K3*EXP((INDEX('Rates 2y'!$K$2:$K$14,MATCH($A3,'Rates 2y'!$A$2:$A$14,0))-INDEX('Rates 2y'!$K$2:$K$14,MATCH("USD",'Rates 2y'!$A$2:$A$14,0)))*2)</f>
        <v>1.3906872456373995</v>
      </c>
    </row>
    <row r="4">
      <c r="A4" t="inlineStr">
        <is>
          <t>AUD</t>
        </is>
      </c>
      <c r="B4">
        <f>'FX year-end'!B4*EXP((INDEX('Rates 2y'!$B$2:$B$14,MATCH($A4,'Rates 2y'!$A$2:$A$14,0))-INDEX('Rates 2y'!$B$2:$B$14,MATCH("USD",'Rates 2y'!$A$2:$A$14,0)))*2)</f>
        <v>1.2858156851139324</v>
      </c>
      <c r="C4">
        <f>'FX year-end'!C4*EXP((INDEX('Rates 2y'!$C$2:$C$14,MATCH($A4,'Rates 2y'!$A$2:$A$14,0))-INDEX('Rates 2y'!$C$2:$C$14,MATCH("USD",'Rates 2y'!$A$2:$A$14,0)))*2)</f>
        <v>1.402848338020018</v>
      </c>
      <c r="D4">
        <f>'FX year-end'!D4*EXP((INDEX('Rates 2y'!$D$2:$D$14,MATCH($A4,'Rates 2y'!$A$2:$A$14,0))-INDEX('Rates 2y'!$D$2:$D$14,MATCH("USD",'Rates 2y'!$A$2:$A$14,0)))*2)</f>
        <v>1.408992801521238</v>
      </c>
      <c r="E4">
        <f>'FX year-end'!E4*EXP((INDEX('Rates 2y'!$E$2:$E$14,MATCH($A4,'Rates 2y'!$A$2:$A$14,0))-INDEX('Rates 2y'!$E$2:$E$14,MATCH("USD",'Rates 2y'!$A$2:$A$14,0)))*2)</f>
        <v>1.2997299280449888</v>
      </c>
      <c r="F4">
        <f>'FX year-end'!F4*EXP((INDEX('Rates 2y'!$F$2:$F$14,MATCH($A4,'Rates 2y'!$A$2:$A$14,0))-INDEX('Rates 2y'!$F$2:$F$14,MATCH("USD",'Rates 2y'!$A$2:$A$14,0)))*2)</f>
        <v>1.375766353358295</v>
      </c>
      <c r="G4">
        <f>'FX year-end'!G4*EXP((INDEX('Rates 2y'!$G$2:$G$14,MATCH($A4,'Rates 2y'!$A$2:$A$14,0))-INDEX('Rates 2y'!$G$2:$G$14,MATCH("USD",'Rates 2y'!$A$2:$A$14,0)))*2)</f>
        <v>1.4507416920818683</v>
      </c>
      <c r="H4">
        <f>'FX year-end'!H4*EXP((INDEX('Rates 2y'!$H$2:$H$14,MATCH($A4,'Rates 2y'!$A$2:$A$14,0))-INDEX('Rates 2y'!$H$2:$H$14,MATCH("USD",'Rates 2y'!$A$2:$A$14,0)))*2)</f>
        <v>1.4488961617041707</v>
      </c>
      <c r="I4">
        <f>'FX year-end'!I4*EXP((INDEX('Rates 2y'!$I$2:$I$14,MATCH($A4,'Rates 2y'!$A$2:$A$14,0))-INDEX('Rates 2y'!$I$2:$I$14,MATCH("USD",'Rates 2y'!$A$2:$A$14,0)))*2)</f>
        <v>1.595225587241158</v>
      </c>
      <c r="J4">
        <f>'FX year-end'!J4*EXP((INDEX('Rates 2y'!$J$2:$J$14,MATCH($A4,'Rates 2y'!$A$2:$A$14,0))-INDEX('Rates 2y'!$J$2:$J$14,MATCH("USD",'Rates 2y'!$A$2:$A$14,0)))*2)</f>
        <v>1.5055768774333078</v>
      </c>
      <c r="K4">
        <f>'FX year-end'!K4*EXP((INDEX('Rates 2y'!$K$2:$K$14,MATCH($A4,'Rates 2y'!$A$2:$A$14,0))-INDEX('Rates 2y'!$K$2:$K$14,MATCH("USD",'Rates 2y'!$A$2:$A$14,0)))*2)</f>
        <v>1.4375246327528044</v>
      </c>
    </row>
    <row r="5">
      <c r="A5" t="inlineStr">
        <is>
          <t>GBP</t>
        </is>
      </c>
      <c r="B5">
        <f>'FX year-end'!B5*EXP((INDEX('Rates 2y'!$B$2:$B$14,MATCH($A5,'Rates 2y'!$A$2:$A$14,0))-INDEX('Rates 2y'!$B$2:$B$14,MATCH("USD",'Rates 2y'!$A$2:$A$14,0)))*2)</f>
        <v>0.7228784107887073</v>
      </c>
      <c r="C5">
        <f>'FX year-end'!C5*EXP((INDEX('Rates 2y'!$C$2:$C$14,MATCH($A5,'Rates 2y'!$A$2:$A$14,0))-INDEX('Rates 2y'!$C$2:$C$14,MATCH("USD",'Rates 2y'!$A$2:$A$14,0)))*2)</f>
        <v>0.7608561029321896</v>
      </c>
      <c r="D5">
        <f>'FX year-end'!D5*EXP((INDEX('Rates 2y'!$D$2:$D$14,MATCH($A5,'Rates 2y'!$A$2:$A$14,0))-INDEX('Rates 2y'!$D$2:$D$14,MATCH("USD",'Rates 2y'!$A$2:$A$14,0)))*2)</f>
        <v>0.7470511430817788</v>
      </c>
      <c r="E5">
        <f>'FX year-end'!E5*EXP((INDEX('Rates 2y'!$E$2:$E$14,MATCH($A5,'Rates 2y'!$A$2:$A$14,0))-INDEX('Rates 2y'!$E$2:$E$14,MATCH("USD",'Rates 2y'!$A$2:$A$14,0)))*2)</f>
        <v>0.7295430980320751</v>
      </c>
      <c r="F5">
        <f>'FX year-end'!F5*EXP((INDEX('Rates 2y'!$F$2:$F$14,MATCH($A5,'Rates 2y'!$A$2:$A$14,0))-INDEX('Rates 2y'!$F$2:$F$14,MATCH("USD",'Rates 2y'!$A$2:$A$14,0)))*2)</f>
        <v>0.7403856353227342</v>
      </c>
      <c r="G5">
        <f>'FX year-end'!G5*EXP((INDEX('Rates 2y'!$G$2:$G$14,MATCH($A5,'Rates 2y'!$A$2:$A$14,0))-INDEX('Rates 2y'!$G$2:$G$14,MATCH("USD",'Rates 2y'!$A$2:$A$14,0)))*2)</f>
        <v>0.8157849465080877</v>
      </c>
      <c r="H5">
        <f>'FX year-end'!H5*EXP((INDEX('Rates 2y'!$H$2:$H$14,MATCH($A5,'Rates 2y'!$A$2:$A$14,0))-INDEX('Rates 2y'!$H$2:$H$14,MATCH("USD",'Rates 2y'!$A$2:$A$14,0)))*2)</f>
        <v>0.7813832999100134</v>
      </c>
      <c r="I5">
        <f>'FX year-end'!I5*EXP((INDEX('Rates 2y'!$I$2:$I$14,MATCH($A5,'Rates 2y'!$A$2:$A$14,0))-INDEX('Rates 2y'!$I$2:$I$14,MATCH("USD",'Rates 2y'!$A$2:$A$14,0)))*2)</f>
        <v>0.7994240683298566</v>
      </c>
      <c r="J5">
        <f>'FX year-end'!J5*EXP((INDEX('Rates 2y'!$J$2:$J$14,MATCH($A5,'Rates 2y'!$A$2:$A$14,0))-INDEX('Rates 2y'!$J$2:$J$14,MATCH("USD",'Rates 2y'!$A$2:$A$14,0)))*2)</f>
        <v>0.7465655888197874</v>
      </c>
      <c r="K5">
        <f>'FX year-end'!K5*EXP((INDEX('Rates 2y'!$K$2:$K$14,MATCH($A5,'Rates 2y'!$A$2:$A$14,0))-INDEX('Rates 2y'!$K$2:$K$14,MATCH("USD",'Rates 2y'!$A$2:$A$14,0)))*2)</f>
        <v>0.7601336589315288</v>
      </c>
    </row>
    <row r="6">
      <c r="A6" t="inlineStr">
        <is>
          <t>MXN</t>
        </is>
      </c>
      <c r="B6">
        <f>'FX year-end'!B6*EXP((INDEX('Rates 2y'!$B$2:$B$14,MATCH($A6,'Rates 2y'!$A$2:$A$14,0))-INDEX('Rates 2y'!$B$2:$B$14,MATCH("USD",'Rates 2y'!$A$2:$A$14,0)))*2)</f>
        <v>22.033226312554095</v>
      </c>
      <c r="C6">
        <f>'FX year-end'!C6*EXP((INDEX('Rates 2y'!$C$2:$C$14,MATCH($A6,'Rates 2y'!$A$2:$A$14,0))-INDEX('Rates 2y'!$C$2:$C$14,MATCH("USD",'Rates 2y'!$A$2:$A$14,0)))*2)</f>
        <v>22.19887666987806</v>
      </c>
      <c r="D6">
        <f>'FX year-end'!D6*EXP((INDEX('Rates 2y'!$D$2:$D$14,MATCH($A6,'Rates 2y'!$A$2:$A$14,0))-INDEX('Rates 2y'!$D$2:$D$14,MATCH("USD",'Rates 2y'!$A$2:$A$14,0)))*2)</f>
        <v>21.041527641146264</v>
      </c>
      <c r="E6">
        <f>'FX year-end'!E6*EXP((INDEX('Rates 2y'!$E$2:$E$14,MATCH($A6,'Rates 2y'!$A$2:$A$14,0))-INDEX('Rates 2y'!$E$2:$E$14,MATCH("USD",'Rates 2y'!$A$2:$A$14,0)))*2)</f>
        <v>21.620941106650115</v>
      </c>
      <c r="F6">
        <f>'FX year-end'!F6*EXP((INDEX('Rates 2y'!$F$2:$F$14,MATCH($A6,'Rates 2y'!$A$2:$A$14,0))-INDEX('Rates 2y'!$F$2:$F$14,MATCH("USD",'Rates 2y'!$A$2:$A$14,0)))*2)</f>
        <v>23.285429466209724</v>
      </c>
      <c r="G6">
        <f>'FX year-end'!G6*EXP((INDEX('Rates 2y'!$G$2:$G$14,MATCH($A6,'Rates 2y'!$A$2:$A$14,0))-INDEX('Rates 2y'!$G$2:$G$14,MATCH("USD",'Rates 2y'!$A$2:$A$14,0)))*2)</f>
        <v>21.96911798477762</v>
      </c>
      <c r="H6">
        <f>'FX year-end'!H6*EXP((INDEX('Rates 2y'!$H$2:$H$14,MATCH($A6,'Rates 2y'!$A$2:$A$14,0))-INDEX('Rates 2y'!$H$2:$H$14,MATCH("USD",'Rates 2y'!$A$2:$A$14,0)))*2)</f>
        <v>19.131546614521323</v>
      </c>
      <c r="I6">
        <f>'FX year-end'!I6*EXP((INDEX('Rates 2y'!$I$2:$I$14,MATCH($A6,'Rates 2y'!$A$2:$A$14,0))-INDEX('Rates 2y'!$I$2:$I$14,MATCH("USD",'Rates 2y'!$A$2:$A$14,0)))*2)</f>
        <v>23.105090523015416</v>
      </c>
      <c r="J6">
        <f>'FX year-end'!J6*EXP((INDEX('Rates 2y'!$J$2:$J$14,MATCH($A6,'Rates 2y'!$A$2:$A$14,0))-INDEX('Rates 2y'!$J$2:$J$14,MATCH("USD",'Rates 2y'!$A$2:$A$14,0)))*2)</f>
        <v>19.406213261273404</v>
      </c>
      <c r="K6">
        <f>'FX year-end'!K6*EXP((INDEX('Rates 2y'!$K$2:$K$14,MATCH($A6,'Rates 2y'!$A$2:$A$14,0))-INDEX('Rates 2y'!$K$2:$K$14,MATCH("USD",'Rates 2y'!$A$2:$A$14,0)))*2)</f>
        <v>19.149532230295577</v>
      </c>
    </row>
    <row r="7">
      <c r="A7" t="inlineStr">
        <is>
          <t>BRL</t>
        </is>
      </c>
      <c r="B7">
        <f>'FX year-end'!B7*EXP((INDEX('Rates 2y'!$B$2:$B$14,MATCH($A7,'Rates 2y'!$A$2:$A$14,0))-INDEX('Rates 2y'!$B$2:$B$14,MATCH("USD",'Rates 2y'!$A$2:$A$14,0)))*2)</f>
        <v>3.7042487085434828</v>
      </c>
      <c r="C7">
        <f>'FX year-end'!C7*EXP((INDEX('Rates 2y'!$C$2:$C$14,MATCH($A7,'Rates 2y'!$A$2:$A$14,0))-INDEX('Rates 2y'!$C$2:$C$14,MATCH("USD",'Rates 2y'!$A$2:$A$14,0)))*2)</f>
        <v>4.256891460792319</v>
      </c>
      <c r="D7">
        <f>'FX year-end'!D7*EXP((INDEX('Rates 2y'!$D$2:$D$14,MATCH($A7,'Rates 2y'!$A$2:$A$14,0))-INDEX('Rates 2y'!$D$2:$D$14,MATCH("USD",'Rates 2y'!$A$2:$A$14,0)))*2)</f>
        <v>4.325874937657236</v>
      </c>
      <c r="E7">
        <f>'FX year-end'!E7*EXP((INDEX('Rates 2y'!$E$2:$E$14,MATCH($A7,'Rates 2y'!$A$2:$A$14,0))-INDEX('Rates 2y'!$E$2:$E$14,MATCH("USD",'Rates 2y'!$A$2:$A$14,0)))*2)</f>
        <v>5.642320071645959</v>
      </c>
      <c r="F7">
        <f>'FX year-end'!F7*EXP((INDEX('Rates 2y'!$F$2:$F$14,MATCH($A7,'Rates 2y'!$A$2:$A$14,0))-INDEX('Rates 2y'!$F$2:$F$14,MATCH("USD",'Rates 2y'!$A$2:$A$14,0)))*2)</f>
        <v>6.881460834053128</v>
      </c>
      <c r="G7">
        <f>'FX year-end'!G7*EXP((INDEX('Rates 2y'!$G$2:$G$14,MATCH($A7,'Rates 2y'!$A$2:$A$14,0))-INDEX('Rates 2y'!$G$2:$G$14,MATCH("USD",'Rates 2y'!$A$2:$A$14,0)))*2)</f>
        <v>6.323019926826173</v>
      </c>
      <c r="H7">
        <f>'FX year-end'!H7*EXP((INDEX('Rates 2y'!$H$2:$H$14,MATCH($A7,'Rates 2y'!$A$2:$A$14,0))-INDEX('Rates 2y'!$H$2:$H$14,MATCH("USD",'Rates 2y'!$A$2:$A$14,0)))*2)</f>
        <v>5.474056549964092</v>
      </c>
      <c r="I7">
        <f>'FX year-end'!I7*EXP((INDEX('Rates 2y'!$I$2:$I$14,MATCH($A7,'Rates 2y'!$A$2:$A$14,0))-INDEX('Rates 2y'!$I$2:$I$14,MATCH("USD",'Rates 2y'!$A$2:$A$14,0)))*2)</f>
        <v>7.722810930223658</v>
      </c>
      <c r="J7">
        <f>'FX year-end'!J7*EXP((INDEX('Rates 2y'!$J$2:$J$14,MATCH($A7,'Rates 2y'!$A$2:$A$14,0))-INDEX('Rates 2y'!$J$2:$J$14,MATCH("USD",'Rates 2y'!$A$2:$A$14,0)))*2)</f>
        <v>6.745067046368634</v>
      </c>
      <c r="K7">
        <f>'FX year-end'!K7*EXP((INDEX('Rates 2y'!$K$2:$K$14,MATCH($A7,'Rates 2y'!$A$2:$A$14,0))-INDEX('Rates 2y'!$K$2:$K$14,MATCH("USD",'Rates 2y'!$A$2:$A$14,0)))*2)</f>
        <v>6.385408966397185</v>
      </c>
    </row>
    <row r="8">
      <c r="A8" t="inlineStr">
        <is>
          <t>SAR</t>
        </is>
      </c>
      <c r="B8">
        <f>'FX year-end'!B8*EXP((INDEX('Rates 2y'!$B$2:$B$14,MATCH($A8,'Rates 2y'!$A$2:$A$14,0))-INDEX('Rates 2y'!$B$2:$B$14,MATCH("USD",'Rates 2y'!$A$2:$A$14,0)))*2)</f>
        <v>3.753849391002849</v>
      </c>
      <c r="C8">
        <f>'FX year-end'!C8*EXP((INDEX('Rates 2y'!$C$2:$C$14,MATCH($A8,'Rates 2y'!$A$2:$A$14,0))-INDEX('Rates 2y'!$C$2:$C$14,MATCH("USD",'Rates 2y'!$A$2:$A$14,0)))*2)</f>
        <v>3.782388770880726</v>
      </c>
      <c r="D8">
        <f>'FX year-end'!D8*EXP((INDEX('Rates 2y'!$D$2:$D$14,MATCH($A8,'Rates 2y'!$A$2:$A$14,0))-INDEX('Rates 2y'!$D$2:$D$14,MATCH("USD",'Rates 2y'!$A$2:$A$14,0)))*2)</f>
        <v>3.8027268861235437</v>
      </c>
      <c r="E8">
        <f>'FX year-end'!E8*EXP((INDEX('Rates 2y'!$E$2:$E$14,MATCH($A8,'Rates 2y'!$A$2:$A$14,0))-INDEX('Rates 2y'!$E$2:$E$14,MATCH("USD",'Rates 2y'!$A$2:$A$14,0)))*2)</f>
        <v>3.805867365456103</v>
      </c>
      <c r="F8">
        <f>'FX year-end'!F8*EXP((INDEX('Rates 2y'!$F$2:$F$14,MATCH($A8,'Rates 2y'!$A$2:$A$14,0))-INDEX('Rates 2y'!$F$2:$F$14,MATCH("USD",'Rates 2y'!$A$2:$A$14,0)))*2)</f>
        <v>3.7853879308962926</v>
      </c>
      <c r="G8">
        <f>'FX year-end'!G8*EXP((INDEX('Rates 2y'!$G$2:$G$14,MATCH($A8,'Rates 2y'!$A$2:$A$14,0))-INDEX('Rates 2y'!$G$2:$G$14,MATCH("USD",'Rates 2y'!$A$2:$A$14,0)))*2)</f>
        <v>3.7979932647649726</v>
      </c>
      <c r="H8">
        <f>'FX year-end'!H8*EXP((INDEX('Rates 2y'!$H$2:$H$14,MATCH($A8,'Rates 2y'!$A$2:$A$14,0))-INDEX('Rates 2y'!$H$2:$H$14,MATCH("USD",'Rates 2y'!$A$2:$A$14,0)))*2)</f>
        <v>3.832357285976491</v>
      </c>
      <c r="I8">
        <f>'FX year-end'!I8*EXP((INDEX('Rates 2y'!$I$2:$I$14,MATCH($A8,'Rates 2y'!$A$2:$A$14,0))-INDEX('Rates 2y'!$I$2:$I$14,MATCH("USD",'Rates 2y'!$A$2:$A$14,0)))*2)</f>
        <v>3.824717086452537</v>
      </c>
      <c r="J8">
        <f>'FX year-end'!J8*EXP((INDEX('Rates 2y'!$J$2:$J$14,MATCH($A8,'Rates 2y'!$A$2:$A$14,0))-INDEX('Rates 2y'!$J$2:$J$14,MATCH("USD",'Rates 2y'!$A$2:$A$14,0)))*2)</f>
        <v>3.8328002933509513</v>
      </c>
      <c r="K8">
        <f>'FX year-end'!K8*EXP((INDEX('Rates 2y'!$K$2:$K$14,MATCH($A8,'Rates 2y'!$A$2:$A$14,0))-INDEX('Rates 2y'!$K$2:$K$14,MATCH("USD",'Rates 2y'!$A$2:$A$14,0)))*2)</f>
        <v>3.839345271039109</v>
      </c>
    </row>
    <row r="9">
      <c r="A9" t="inlineStr">
        <is>
          <t>HKD</t>
        </is>
      </c>
      <c r="B9">
        <f>'FX year-end'!B9*EXP((INDEX('Rates 2y'!$B$2:$B$14,MATCH($A9,'Rates 2y'!$A$2:$A$14,0))-INDEX('Rates 2y'!$B$2:$B$14,MATCH("USD",'Rates 2y'!$A$2:$A$14,0)))*2)</f>
        <v>7.7251038313736355</v>
      </c>
      <c r="C9">
        <f>'FX year-end'!C9*EXP((INDEX('Rates 2y'!$C$2:$C$14,MATCH($A9,'Rates 2y'!$A$2:$A$14,0))-INDEX('Rates 2y'!$C$2:$C$14,MATCH("USD",'Rates 2y'!$A$2:$A$14,0)))*2)</f>
        <v>7.723575820070841</v>
      </c>
      <c r="D9">
        <f>'FX year-end'!D9*EXP((INDEX('Rates 2y'!$D$2:$D$14,MATCH($A9,'Rates 2y'!$A$2:$A$14,0))-INDEX('Rates 2y'!$D$2:$D$14,MATCH("USD",'Rates 2y'!$A$2:$A$14,0)))*2)</f>
        <v>7.806813887682553</v>
      </c>
      <c r="E9">
        <f>'FX year-end'!E9*EXP((INDEX('Rates 2y'!$E$2:$E$14,MATCH($A9,'Rates 2y'!$A$2:$A$14,0))-INDEX('Rates 2y'!$E$2:$E$14,MATCH("USD",'Rates 2y'!$A$2:$A$14,0)))*2)</f>
        <v>7.763040652682972</v>
      </c>
      <c r="F9">
        <f>'FX year-end'!F9*EXP((INDEX('Rates 2y'!$F$2:$F$14,MATCH($A9,'Rates 2y'!$A$2:$A$14,0))-INDEX('Rates 2y'!$F$2:$F$14,MATCH("USD",'Rates 2y'!$A$2:$A$14,0)))*2)</f>
        <v>7.777312676925987</v>
      </c>
      <c r="G9">
        <f>'FX year-end'!G9*EXP((INDEX('Rates 2y'!$G$2:$G$14,MATCH($A9,'Rates 2y'!$A$2:$A$14,0))-INDEX('Rates 2y'!$G$2:$G$14,MATCH("USD",'Rates 2y'!$A$2:$A$14,0)))*2)</f>
        <v>7.727655572406301</v>
      </c>
      <c r="H9">
        <f>'FX year-end'!H9*EXP((INDEX('Rates 2y'!$H$2:$H$14,MATCH($A9,'Rates 2y'!$A$2:$A$14,0))-INDEX('Rates 2y'!$H$2:$H$14,MATCH("USD",'Rates 2y'!$A$2:$A$14,0)))*2)</f>
        <v>7.710903845951482</v>
      </c>
      <c r="I9">
        <f>'FX year-end'!I9*EXP((INDEX('Rates 2y'!$I$2:$I$14,MATCH($A9,'Rates 2y'!$A$2:$A$14,0))-INDEX('Rates 2y'!$I$2:$I$14,MATCH("USD",'Rates 2y'!$A$2:$A$14,0)))*2)</f>
        <v>7.63416267552515</v>
      </c>
      <c r="J9">
        <f>'FX year-end'!J9*EXP((INDEX('Rates 2y'!$J$2:$J$14,MATCH($A9,'Rates 2y'!$A$2:$A$14,0))-INDEX('Rates 2y'!$J$2:$J$14,MATCH("USD",'Rates 2y'!$A$2:$A$14,0)))*2)</f>
        <v>7.644918413882554</v>
      </c>
      <c r="K9">
        <f>'FX year-end'!K9*EXP((INDEX('Rates 2y'!$K$2:$K$14,MATCH($A9,'Rates 2y'!$A$2:$A$14,0))-INDEX('Rates 2y'!$K$2:$K$14,MATCH("USD",'Rates 2y'!$A$2:$A$14,0)))*2)</f>
        <v>7.706730884472112</v>
      </c>
    </row>
    <row r="10">
      <c r="A10" t="inlineStr">
        <is>
          <t>CNY</t>
        </is>
      </c>
      <c r="B10">
        <f>'FX year-end'!B10*EXP((INDEX('Rates 2y'!$B$2:$B$14,MATCH($A10,'Rates 2y'!$A$2:$A$14,0))-INDEX('Rates 2y'!$B$2:$B$14,MATCH("USD",'Rates 2y'!$A$2:$A$14,0)))*2)</f>
        <v>6.745340270807261</v>
      </c>
      <c r="C10">
        <f>'FX year-end'!C10*EXP((INDEX('Rates 2y'!$C$2:$C$14,MATCH($A10,'Rates 2y'!$A$2:$A$14,0))-INDEX('Rates 2y'!$C$2:$C$14,MATCH("USD",'Rates 2y'!$A$2:$A$14,0)))*2)</f>
        <v>6.906144981912907</v>
      </c>
      <c r="D10">
        <f>'FX year-end'!D10*EXP((INDEX('Rates 2y'!$D$2:$D$14,MATCH($A10,'Rates 2y'!$A$2:$A$14,0))-INDEX('Rates 2y'!$D$2:$D$14,MATCH("USD",'Rates 2y'!$A$2:$A$14,0)))*2)</f>
        <v>7.129671799446985</v>
      </c>
      <c r="E10">
        <f>'FX year-end'!E10*EXP((INDEX('Rates 2y'!$E$2:$E$14,MATCH($A10,'Rates 2y'!$A$2:$A$14,0))-INDEX('Rates 2y'!$E$2:$E$14,MATCH("USD",'Rates 2y'!$A$2:$A$14,0)))*2)</f>
        <v>6.866206307871589</v>
      </c>
      <c r="F10">
        <f>'FX year-end'!F10*EXP((INDEX('Rates 2y'!$F$2:$F$14,MATCH($A10,'Rates 2y'!$A$2:$A$14,0))-INDEX('Rates 2y'!$F$2:$F$14,MATCH("USD",'Rates 2y'!$A$2:$A$14,0)))*2)</f>
        <v>6.575358396715456</v>
      </c>
      <c r="G10">
        <f>'FX year-end'!G10*EXP((INDEX('Rates 2y'!$G$2:$G$14,MATCH($A10,'Rates 2y'!$A$2:$A$14,0))-INDEX('Rates 2y'!$G$2:$G$14,MATCH("USD",'Rates 2y'!$A$2:$A$14,0)))*2)</f>
        <v>6.672701346969589</v>
      </c>
      <c r="H10">
        <f>'FX year-end'!H10*EXP((INDEX('Rates 2y'!$H$2:$H$14,MATCH($A10,'Rates 2y'!$A$2:$A$14,0))-INDEX('Rates 2y'!$H$2:$H$14,MATCH("USD",'Rates 2y'!$A$2:$A$14,0)))*2)</f>
        <v>6.821505626539007</v>
      </c>
      <c r="I10">
        <f>'FX year-end'!I10*EXP((INDEX('Rates 2y'!$I$2:$I$14,MATCH($A10,'Rates 2y'!$A$2:$A$14,0))-INDEX('Rates 2y'!$I$2:$I$14,MATCH("USD",'Rates 2y'!$A$2:$A$14,0)))*2)</f>
        <v>6.853874003062934</v>
      </c>
      <c r="J10">
        <f>'FX year-end'!J10*EXP((INDEX('Rates 2y'!$J$2:$J$14,MATCH($A10,'Rates 2y'!$A$2:$A$14,0))-INDEX('Rates 2y'!$J$2:$J$14,MATCH("USD",'Rates 2y'!$A$2:$A$14,0)))*2)</f>
        <v>6.711032748151378</v>
      </c>
      <c r="K10">
        <f>'FX year-end'!K10*EXP((INDEX('Rates 2y'!$K$2:$K$14,MATCH($A10,'Rates 2y'!$A$2:$A$14,0))-INDEX('Rates 2y'!$K$2:$K$14,MATCH("USD",'Rates 2y'!$A$2:$A$14,0)))*2)</f>
        <v>6.430547052469574</v>
      </c>
    </row>
    <row r="11">
      <c r="A11" t="inlineStr">
        <is>
          <t>IDR</t>
        </is>
      </c>
      <c r="B11">
        <f>'FX year-end'!B11*EXP((INDEX('Rates 2y'!$B$2:$B$14,MATCH($A11,'Rates 2y'!$A$2:$A$14,0))-INDEX('Rates 2y'!$B$2:$B$14,MATCH("USD",'Rates 2y'!$A$2:$A$14,0)))*2)</f>
        <v>14660.792871627002</v>
      </c>
      <c r="C11">
        <f>'FX year-end'!C11*EXP((INDEX('Rates 2y'!$C$2:$C$14,MATCH($A11,'Rates 2y'!$A$2:$A$14,0))-INDEX('Rates 2y'!$C$2:$C$14,MATCH("USD",'Rates 2y'!$A$2:$A$14,0)))*2)</f>
        <v>16151.24534645239</v>
      </c>
      <c r="D11">
        <f>'FX year-end'!D11*EXP((INDEX('Rates 2y'!$D$2:$D$14,MATCH($A11,'Rates 2y'!$A$2:$A$14,0))-INDEX('Rates 2y'!$D$2:$D$14,MATCH("USD",'Rates 2y'!$A$2:$A$14,0)))*2)</f>
        <v>15114.504009622227</v>
      </c>
      <c r="E11">
        <f>'FX year-end'!E11*EXP((INDEX('Rates 2y'!$E$2:$E$14,MATCH($A11,'Rates 2y'!$A$2:$A$14,0))-INDEX('Rates 2y'!$E$2:$E$14,MATCH("USD",'Rates 2y'!$A$2:$A$14,0)))*2)</f>
        <v>14975.644811982023</v>
      </c>
      <c r="F11">
        <f>'FX year-end'!F11*EXP((INDEX('Rates 2y'!$F$2:$F$14,MATCH($A11,'Rates 2y'!$A$2:$A$14,0))-INDEX('Rates 2y'!$F$2:$F$14,MATCH("USD",'Rates 2y'!$A$2:$A$14,0)))*2)</f>
        <v>15220.208477403896</v>
      </c>
      <c r="G11">
        <f>'FX year-end'!G11*EXP((INDEX('Rates 2y'!$G$2:$G$14,MATCH($A11,'Rates 2y'!$A$2:$A$14,0))-INDEX('Rates 2y'!$G$2:$G$14,MATCH("USD",'Rates 2y'!$A$2:$A$14,0)))*2)</f>
        <v>16086.045297108329</v>
      </c>
      <c r="H11">
        <f>'FX year-end'!H11*EXP((INDEX('Rates 2y'!$H$2:$H$14,MATCH($A11,'Rates 2y'!$A$2:$A$14,0))-INDEX('Rates 2y'!$H$2:$H$14,MATCH("USD",'Rates 2y'!$A$2:$A$14,0)))*2)</f>
        <v>16102.7420280707</v>
      </c>
      <c r="I11">
        <f>'FX year-end'!I11*EXP((INDEX('Rates 2y'!$I$2:$I$14,MATCH($A11,'Rates 2y'!$A$2:$A$14,0))-INDEX('Rates 2y'!$I$2:$I$14,MATCH("USD",'Rates 2y'!$A$2:$A$14,0)))*2)</f>
        <v>16964.525653112647</v>
      </c>
      <c r="J11">
        <f>'FX year-end'!J11*EXP((INDEX('Rates 2y'!$J$2:$J$14,MATCH($A11,'Rates 2y'!$A$2:$A$14,0))-INDEX('Rates 2y'!$J$2:$J$14,MATCH("USD",'Rates 2y'!$A$2:$A$14,0)))*2)</f>
        <v>17224.753331365308</v>
      </c>
      <c r="K11">
        <f>'FX year-end'!K11*EXP((INDEX('Rates 2y'!$K$2:$K$14,MATCH($A11,'Rates 2y'!$A$2:$A$14,0))-INDEX('Rates 2y'!$K$2:$K$14,MATCH("USD",'Rates 2y'!$A$2:$A$14,0)))*2)</f>
        <v>18464.886089617296</v>
      </c>
    </row>
    <row r="12">
      <c r="A12" t="inlineStr">
        <is>
          <t>ZAR</t>
        </is>
      </c>
      <c r="B12">
        <f>'FX year-end'!B12*EXP((INDEX('Rates 2y'!$B$2:$B$14,MATCH($A12,'Rates 2y'!$A$2:$A$14,0))-INDEX('Rates 2y'!$B$2:$B$14,MATCH("USD",'Rates 2y'!$A$2:$A$14,0)))*2)</f>
        <v>13.7293174127181</v>
      </c>
      <c r="C12">
        <f>'FX year-end'!C12*EXP((INDEX('Rates 2y'!$C$2:$C$14,MATCH($A12,'Rates 2y'!$A$2:$A$14,0))-INDEX('Rates 2y'!$C$2:$C$14,MATCH("USD",'Rates 2y'!$A$2:$A$14,0)))*2)</f>
        <v>15.870946006996043</v>
      </c>
      <c r="D12">
        <f>'FX year-end'!D12*EXP((INDEX('Rates 2y'!$D$2:$D$14,MATCH($A12,'Rates 2y'!$A$2:$A$14,0))-INDEX('Rates 2y'!$D$2:$D$14,MATCH("USD",'Rates 2y'!$A$2:$A$14,0)))*2)</f>
        <v>15.681392092389048</v>
      </c>
      <c r="E12">
        <f>'FX year-end'!E12*EXP((INDEX('Rates 2y'!$E$2:$E$14,MATCH($A12,'Rates 2y'!$A$2:$A$14,0))-INDEX('Rates 2y'!$E$2:$E$14,MATCH("USD",'Rates 2y'!$A$2:$A$14,0)))*2)</f>
        <v>15.978535692923954</v>
      </c>
      <c r="F12">
        <f>'FX year-end'!F12*EXP((INDEX('Rates 2y'!$F$2:$F$14,MATCH($A12,'Rates 2y'!$A$2:$A$14,0))-INDEX('Rates 2y'!$F$2:$F$14,MATCH("USD",'Rates 2y'!$A$2:$A$14,0)))*2)</f>
        <v>17.514574091158938</v>
      </c>
      <c r="G12">
        <f>'FX year-end'!G12*EXP((INDEX('Rates 2y'!$G$2:$G$14,MATCH($A12,'Rates 2y'!$A$2:$A$14,0))-INDEX('Rates 2y'!$G$2:$G$14,MATCH("USD",'Rates 2y'!$A$2:$A$14,0)))*2)</f>
        <v>18.17290727327991</v>
      </c>
      <c r="H12">
        <f>'FX year-end'!H12*EXP((INDEX('Rates 2y'!$H$2:$H$14,MATCH($A12,'Rates 2y'!$A$2:$A$14,0))-INDEX('Rates 2y'!$H$2:$H$14,MATCH("USD",'Rates 2y'!$A$2:$A$14,0)))*2)</f>
        <v>20.093613391380476</v>
      </c>
      <c r="I12">
        <f>'FX year-end'!I12*EXP((INDEX('Rates 2y'!$I$2:$I$14,MATCH($A12,'Rates 2y'!$A$2:$A$14,0))-INDEX('Rates 2y'!$I$2:$I$14,MATCH("USD",'Rates 2y'!$A$2:$A$14,0)))*2)</f>
        <v>20.06923616427345</v>
      </c>
      <c r="J12">
        <f>'FX year-end'!J12*EXP((INDEX('Rates 2y'!$J$2:$J$14,MATCH($A12,'Rates 2y'!$A$2:$A$14,0))-INDEX('Rates 2y'!$J$2:$J$14,MATCH("USD",'Rates 2y'!$A$2:$A$14,0)))*2)</f>
        <v>17.795168909086286</v>
      </c>
      <c r="K12">
        <f>'FX year-end'!K12*EXP((INDEX('Rates 2y'!$K$2:$K$14,MATCH($A12,'Rates 2y'!$A$2:$A$14,0))-INDEX('Rates 2y'!$K$2:$K$14,MATCH("USD",'Rates 2y'!$A$2:$A$14,0)))*2)</f>
        <v>17.513769651194526</v>
      </c>
    </row>
    <row r="13">
      <c r="A13" t="inlineStr">
        <is>
          <t>SEK</t>
        </is>
      </c>
      <c r="B13">
        <f>'FX year-end'!B13*EXP((INDEX('Rates 2y'!$B$2:$B$14,MATCH($A13,'Rates 2y'!$A$2:$A$14,0))-INDEX('Rates 2y'!$B$2:$B$14,MATCH("USD",'Rates 2y'!$A$2:$A$14,0)))*2)</f>
        <v>7.845140361373955</v>
      </c>
      <c r="C13">
        <f>'FX year-end'!C13*EXP((INDEX('Rates 2y'!$C$2:$C$14,MATCH($A13,'Rates 2y'!$A$2:$A$14,0))-INDEX('Rates 2y'!$C$2:$C$14,MATCH("USD",'Rates 2y'!$A$2:$A$14,0)))*2)</f>
        <v>8.458831285131591</v>
      </c>
      <c r="D13">
        <f>'FX year-end'!D13*EXP((INDEX('Rates 2y'!$D$2:$D$14,MATCH($A13,'Rates 2y'!$A$2:$A$14,0))-INDEX('Rates 2y'!$D$2:$D$14,MATCH("USD",'Rates 2y'!$A$2:$A$14,0)))*2)</f>
        <v>8.999843582028488</v>
      </c>
      <c r="E13">
        <f>'FX year-end'!E13*EXP((INDEX('Rates 2y'!$E$2:$E$14,MATCH($A13,'Rates 2y'!$A$2:$A$14,0))-INDEX('Rates 2y'!$E$2:$E$14,MATCH("USD",'Rates 2y'!$A$2:$A$14,0)))*2)</f>
        <v>8.118648532491731</v>
      </c>
      <c r="F13">
        <f>'FX year-end'!F13*EXP((INDEX('Rates 2y'!$F$2:$F$14,MATCH($A13,'Rates 2y'!$A$2:$A$14,0))-INDEX('Rates 2y'!$F$2:$F$14,MATCH("USD",'Rates 2y'!$A$2:$A$14,0)))*2)</f>
        <v>8.969341028045912</v>
      </c>
      <c r="G13">
        <f>'FX year-end'!G13*EXP((INDEX('Rates 2y'!$G$2:$G$14,MATCH($A13,'Rates 2y'!$A$2:$A$14,0))-INDEX('Rates 2y'!$G$2:$G$14,MATCH("USD",'Rates 2y'!$A$2:$A$14,0)))*2)</f>
        <v>10.0967388197038</v>
      </c>
      <c r="H13">
        <f>'FX year-end'!H13*EXP((INDEX('Rates 2y'!$H$2:$H$14,MATCH($A13,'Rates 2y'!$A$2:$A$14,0))-INDEX('Rates 2y'!$H$2:$H$14,MATCH("USD",'Rates 2y'!$A$2:$A$14,0)))*2)</f>
        <v>9.705472541750899</v>
      </c>
      <c r="I13">
        <f>'FX year-end'!I13*EXP((INDEX('Rates 2y'!$I$2:$I$14,MATCH($A13,'Rates 2y'!$A$2:$A$14,0))-INDEX('Rates 2y'!$I$2:$I$14,MATCH("USD",'Rates 2y'!$A$2:$A$14,0)))*2)</f>
        <v>10.540861681689341</v>
      </c>
      <c r="J13">
        <f>'FX year-end'!J13*EXP((INDEX('Rates 2y'!$J$2:$J$14,MATCH($A13,'Rates 2y'!$A$2:$A$14,0))-INDEX('Rates 2y'!$J$2:$J$14,MATCH("USD",'Rates 2y'!$A$2:$A$14,0)))*2)</f>
        <v>8.908728989499378</v>
      </c>
      <c r="K13">
        <f>'FX year-end'!K13*EXP((INDEX('Rates 2y'!$K$2:$K$14,MATCH($A13,'Rates 2y'!$A$2:$A$14,0))-INDEX('Rates 2y'!$K$2:$K$14,MATCH("USD",'Rates 2y'!$A$2:$A$14,0)))*2)</f>
        <v>9.622668268174198</v>
      </c>
    </row>
    <row r="14">
      <c r="A14" t="inlineStr">
        <is>
          <t>EUR</t>
        </is>
      </c>
      <c r="B14">
        <f>'FX year-end'!B14*EXP((INDEX('Rates 2y'!$B$2:$B$14,MATCH($A14,'Rates 2y'!$A$2:$A$14,0))-INDEX('Rates 2y'!$B$2:$B$14,MATCH("USD",'Rates 2y'!$A$2:$A$14,0)))*2)</f>
        <v>0.7967188479131658</v>
      </c>
      <c r="C14">
        <f>'FX year-end'!C14*EXP((INDEX('Rates 2y'!$C$2:$C$14,MATCH($A14,'Rates 2y'!$A$2:$A$14,0))-INDEX('Rates 2y'!$C$2:$C$14,MATCH("USD",'Rates 2y'!$A$2:$A$14,0)))*2)</f>
        <v>0.8217441602289527</v>
      </c>
      <c r="D14">
        <f>'FX year-end'!D14*EXP((INDEX('Rates 2y'!$D$2:$D$14,MATCH($A14,'Rates 2y'!$A$2:$A$14,0))-INDEX('Rates 2y'!$D$2:$D$14,MATCH("USD",'Rates 2y'!$A$2:$A$14,0)))*2)</f>
        <v>0.854589684549054</v>
      </c>
      <c r="E14">
        <f>'FX year-end'!E14*EXP((INDEX('Rates 2y'!$E$2:$E$14,MATCH($A14,'Rates 2y'!$A$2:$A$14,0))-INDEX('Rates 2y'!$E$2:$E$14,MATCH("USD",'Rates 2y'!$A$2:$A$14,0)))*2)</f>
        <v>0.7996303509419284</v>
      </c>
      <c r="F14">
        <f>'FX year-end'!F14*EXP((INDEX('Rates 2y'!$F$2:$F$14,MATCH($A14,'Rates 2y'!$A$2:$A$14,0))-INDEX('Rates 2y'!$F$2:$F$14,MATCH("USD",'Rates 2y'!$A$2:$A$14,0)))*2)</f>
        <v>0.8598218362239025</v>
      </c>
      <c r="G14">
        <f>'FX year-end'!G14*EXP((INDEX('Rates 2y'!$G$2:$G$14,MATCH($A14,'Rates 2y'!$A$2:$A$14,0))-INDEX('Rates 2y'!$G$2:$G$14,MATCH("USD",'Rates 2y'!$A$2:$A$14,0)))*2)</f>
        <v>0.9070261406839302</v>
      </c>
      <c r="H14">
        <f>'FX year-end'!H14*EXP((INDEX('Rates 2y'!$H$2:$H$14,MATCH($A14,'Rates 2y'!$A$2:$A$14,0))-INDEX('Rates 2y'!$H$2:$H$14,MATCH("USD",'Rates 2y'!$A$2:$A$14,0)))*2)</f>
        <v>0.8706717515265163</v>
      </c>
      <c r="I14">
        <f>'FX year-end'!I14*EXP((INDEX('Rates 2y'!$I$2:$I$14,MATCH($A14,'Rates 2y'!$A$2:$A$14,0))-INDEX('Rates 2y'!$I$2:$I$14,MATCH("USD",'Rates 2y'!$A$2:$A$14,0)))*2)</f>
        <v>0.9207082317461266</v>
      </c>
      <c r="J14">
        <f>'FX year-end'!J14*EXP((INDEX('Rates 2y'!$J$2:$J$14,MATCH($A14,'Rates 2y'!$A$2:$A$14,0))-INDEX('Rates 2y'!$J$2:$J$14,MATCH("USD",'Rates 2y'!$A$2:$A$14,0)))*2)</f>
        <v>0.8280864894809347</v>
      </c>
      <c r="K14">
        <f>'FX year-end'!K14*EXP((INDEX('Rates 2y'!$K$2:$K$14,MATCH($A14,'Rates 2y'!$A$2:$A$14,0))-INDEX('Rates 2y'!$K$2:$K$14,MATCH("USD",'Rates 2y'!$A$2:$A$14,0)))*2)</f>
        <v>0.8546822235955516</v>
      </c>
    </row>
    <row r="15"/>
    <row r="16">
      <c r="A16" s="2" t="inlineStr">
        <is>
          <t>Covered-interest-parity forward: spot x exp((r_ccy - r_usd) x 2). Column '2017-&gt;2019' = rate agreed at end-2017 for delivery at end-2019.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5" max="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year</t>
        </is>
      </c>
      <c r="E1" s="1" t="inlineStr">
        <is>
          <t>last_trading_day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average_close</t>
        </is>
      </c>
      <c r="K1" s="1" t="inlineStr">
        <is>
          <t>dividends_in_year</t>
        </is>
      </c>
      <c r="L1" s="1" t="inlineStr">
        <is>
          <t>dividend_yield</t>
        </is>
      </c>
      <c r="M1" s="1" t="inlineStr">
        <is>
          <t>rate_2y</t>
        </is>
      </c>
      <c r="N1" s="1" t="inlineStr">
        <is>
          <t>forward_2y_price</t>
        </is>
      </c>
      <c r="O1" s="1" t="inlineStr">
        <is>
          <t>forward_for_year</t>
        </is>
      </c>
      <c r="P1" s="1" t="inlineStr">
        <is>
          <t>actual_close_in_forward_year</t>
        </is>
      </c>
      <c r="Q1" s="1" t="inlineStr">
        <is>
          <t>forward_error</t>
        </is>
      </c>
    </row>
    <row r="2">
      <c r="A2" s="2" t="inlineStr">
        <is>
          <t>PICK</t>
        </is>
      </c>
      <c r="B2" s="2" t="inlineStr">
        <is>
          <t>iShares MSCI Global Metals &amp; Mining Producers ETF</t>
        </is>
      </c>
      <c r="C2" s="2" t="inlineStr">
        <is>
          <t>USD</t>
        </is>
      </c>
      <c r="D2" s="2" t="n">
        <v>2017</v>
      </c>
      <c r="E2" s="8" t="n">
        <v>43098</v>
      </c>
      <c r="F2" s="2" t="n">
        <v>26.18</v>
      </c>
      <c r="G2" s="2" t="n">
        <v>35</v>
      </c>
      <c r="H2" s="2" t="n">
        <v>25.02</v>
      </c>
      <c r="I2" s="2" t="n">
        <v>34.63</v>
      </c>
      <c r="J2" s="2" t="n">
        <v>29.5293</v>
      </c>
      <c r="K2" s="2" t="n">
        <v>0.835</v>
      </c>
      <c r="L2" s="9" t="n">
        <v>0.0241</v>
      </c>
      <c r="M2" s="9" t="n">
        <v>0.0189</v>
      </c>
      <c r="N2" s="2" t="n">
        <v>34.2709</v>
      </c>
      <c r="O2" s="2" t="n">
        <v>2019</v>
      </c>
      <c r="P2" s="2" t="n">
        <v>29.73</v>
      </c>
      <c r="Q2" s="9" t="n">
        <v>-0.1325</v>
      </c>
    </row>
    <row r="3">
      <c r="A3" s="2" t="inlineStr">
        <is>
          <t>PICK</t>
        </is>
      </c>
      <c r="B3" s="2" t="inlineStr">
        <is>
          <t>iShares MSCI Global Metals &amp; Mining Producers ETF</t>
        </is>
      </c>
      <c r="C3" s="2" t="inlineStr">
        <is>
          <t>USD</t>
        </is>
      </c>
      <c r="D3" s="2" t="n">
        <v>2018</v>
      </c>
      <c r="E3" s="8" t="n">
        <v>43465</v>
      </c>
      <c r="F3" s="2" t="n">
        <v>35.2</v>
      </c>
      <c r="G3" s="2" t="n">
        <v>37.91</v>
      </c>
      <c r="H3" s="2" t="n">
        <v>26</v>
      </c>
      <c r="I3" s="2" t="n">
        <v>26.98</v>
      </c>
      <c r="J3" s="2" t="n">
        <v>32.7918</v>
      </c>
      <c r="K3" s="2" t="n">
        <v>1.286</v>
      </c>
      <c r="L3" s="9" t="n">
        <v>0.0477</v>
      </c>
      <c r="M3" s="9" t="n">
        <v>0.0249</v>
      </c>
      <c r="N3" s="2" t="n">
        <v>25.7791</v>
      </c>
      <c r="O3" s="2" t="n">
        <v>2020</v>
      </c>
      <c r="P3" s="2" t="n">
        <v>36.85</v>
      </c>
      <c r="Q3" s="9" t="n">
        <v>0.4294</v>
      </c>
    </row>
    <row r="4">
      <c r="A4" s="2" t="inlineStr">
        <is>
          <t>PICK</t>
        </is>
      </c>
      <c r="B4" s="2" t="inlineStr">
        <is>
          <t>iShares MSCI Global Metals &amp; Mining Producers ETF</t>
        </is>
      </c>
      <c r="C4" s="2" t="inlineStr">
        <is>
          <t>USD</t>
        </is>
      </c>
      <c r="D4" s="2" t="n">
        <v>2019</v>
      </c>
      <c r="E4" s="8" t="n">
        <v>43830</v>
      </c>
      <c r="F4" s="2" t="n">
        <v>26.35</v>
      </c>
      <c r="G4" s="2" t="n">
        <v>32.97</v>
      </c>
      <c r="H4" s="2" t="n">
        <v>24.51</v>
      </c>
      <c r="I4" s="2" t="n">
        <v>29.73</v>
      </c>
      <c r="J4" s="2" t="n">
        <v>28.846</v>
      </c>
      <c r="K4" s="2" t="n">
        <v>1.638</v>
      </c>
      <c r="L4" s="9" t="n">
        <v>0.0551</v>
      </c>
      <c r="M4" s="9" t="n">
        <v>0.0158</v>
      </c>
      <c r="N4" s="2" t="n">
        <v>27.4829</v>
      </c>
      <c r="O4" s="2" t="n">
        <v>2021</v>
      </c>
      <c r="P4" s="2" t="n">
        <v>42.62</v>
      </c>
      <c r="Q4" s="9" t="n">
        <v>0.5508</v>
      </c>
    </row>
    <row r="5">
      <c r="A5" s="2" t="inlineStr">
        <is>
          <t>PICK</t>
        </is>
      </c>
      <c r="B5" s="2" t="inlineStr">
        <is>
          <t>iShares MSCI Global Metals &amp; Mining Producers ETF</t>
        </is>
      </c>
      <c r="C5" s="2" t="inlineStr">
        <is>
          <t>USD</t>
        </is>
      </c>
      <c r="D5" s="2" t="n">
        <v>2020</v>
      </c>
      <c r="E5" s="8" t="n">
        <v>44196</v>
      </c>
      <c r="F5" s="2" t="n">
        <v>30.13</v>
      </c>
      <c r="G5" s="2" t="n">
        <v>37.28</v>
      </c>
      <c r="H5" s="2" t="n">
        <v>16.01</v>
      </c>
      <c r="I5" s="2" t="n">
        <v>36.85</v>
      </c>
      <c r="J5" s="2" t="n">
        <v>26.504</v>
      </c>
      <c r="K5" s="2" t="n">
        <v>0.836</v>
      </c>
      <c r="L5" s="9" t="n">
        <v>0.0227</v>
      </c>
      <c r="M5" s="9" t="n">
        <v>0.0013</v>
      </c>
      <c r="N5" s="2" t="n">
        <v>35.307</v>
      </c>
      <c r="O5" s="2" t="n">
        <v>2022</v>
      </c>
      <c r="P5" s="2" t="n">
        <v>41</v>
      </c>
      <c r="Q5" s="9" t="n">
        <v>0.1612</v>
      </c>
    </row>
    <row r="6">
      <c r="A6" s="2" t="inlineStr">
        <is>
          <t>PICK</t>
        </is>
      </c>
      <c r="B6" s="2" t="inlineStr">
        <is>
          <t>iShares MSCI Global Metals &amp; Mining Producers ETF</t>
        </is>
      </c>
      <c r="C6" s="2" t="inlineStr">
        <is>
          <t>USD</t>
        </is>
      </c>
      <c r="D6" s="2" t="n">
        <v>2021</v>
      </c>
      <c r="E6" s="8" t="n">
        <v>44561</v>
      </c>
      <c r="F6" s="2" t="n">
        <v>38.04</v>
      </c>
      <c r="G6" s="2" t="n">
        <v>52.39</v>
      </c>
      <c r="H6" s="2" t="n">
        <v>36.36</v>
      </c>
      <c r="I6" s="2" t="n">
        <v>42.62</v>
      </c>
      <c r="J6" s="2" t="n">
        <v>43.5231</v>
      </c>
      <c r="K6" s="2" t="n">
        <v>2.51</v>
      </c>
      <c r="L6" s="9" t="n">
        <v>0.0589</v>
      </c>
      <c r="M6" s="9" t="n">
        <v>0.0073</v>
      </c>
      <c r="N6" s="2" t="n">
        <v>38.4415</v>
      </c>
      <c r="O6" s="2" t="n">
        <v>2023</v>
      </c>
      <c r="P6" s="2" t="n">
        <v>43.07</v>
      </c>
      <c r="Q6" s="9" t="n">
        <v>0.1204</v>
      </c>
    </row>
    <row r="7">
      <c r="A7" s="2" t="inlineStr">
        <is>
          <t>PICK</t>
        </is>
      </c>
      <c r="B7" s="2" t="inlineStr">
        <is>
          <t>iShares MSCI Global Metals &amp; Mining Producers ETF</t>
        </is>
      </c>
      <c r="C7" s="2" t="inlineStr">
        <is>
          <t>USD</t>
        </is>
      </c>
      <c r="D7" s="2" t="n">
        <v>2022</v>
      </c>
      <c r="E7" s="8" t="n">
        <v>44925</v>
      </c>
      <c r="F7" s="2" t="n">
        <v>42.56</v>
      </c>
      <c r="G7" s="2" t="n">
        <v>53</v>
      </c>
      <c r="H7" s="2" t="n">
        <v>31.86</v>
      </c>
      <c r="I7" s="2" t="n">
        <v>41</v>
      </c>
      <c r="J7" s="2" t="n">
        <v>41.4933</v>
      </c>
      <c r="K7" s="2" t="n">
        <v>2.843</v>
      </c>
      <c r="L7" s="9" t="n">
        <v>0.0693</v>
      </c>
      <c r="M7" s="9" t="n">
        <v>0.0443</v>
      </c>
      <c r="N7" s="2" t="n">
        <v>38.9972</v>
      </c>
      <c r="O7" s="2" t="n">
        <v>2024</v>
      </c>
      <c r="P7" s="2" t="n">
        <v>34.99</v>
      </c>
      <c r="Q7" s="9" t="n">
        <v>-0.1028</v>
      </c>
    </row>
    <row r="8">
      <c r="A8" s="2" t="inlineStr">
        <is>
          <t>PICK</t>
        </is>
      </c>
      <c r="B8" s="2" t="inlineStr">
        <is>
          <t>iShares MSCI Global Metals &amp; Mining Producers ETF</t>
        </is>
      </c>
      <c r="C8" s="2" t="inlineStr">
        <is>
          <t>USD</t>
        </is>
      </c>
      <c r="D8" s="2" t="n">
        <v>2023</v>
      </c>
      <c r="E8" s="8" t="n">
        <v>45289</v>
      </c>
      <c r="F8" s="2" t="n">
        <v>41.39</v>
      </c>
      <c r="G8" s="2" t="n">
        <v>47.7</v>
      </c>
      <c r="H8" s="2" t="n">
        <v>36.21</v>
      </c>
      <c r="I8" s="2" t="n">
        <v>43.07</v>
      </c>
      <c r="J8" s="2" t="n">
        <v>41.2161</v>
      </c>
      <c r="K8" s="2" t="n">
        <v>1.806</v>
      </c>
      <c r="L8" s="9" t="n">
        <v>0.0419</v>
      </c>
      <c r="M8" s="9" t="n">
        <v>0.0425</v>
      </c>
      <c r="N8" s="2" t="n">
        <v>43.119</v>
      </c>
      <c r="O8" s="2" t="n">
        <v>2025</v>
      </c>
      <c r="P8" s="2" t="n">
        <v>51.34</v>
      </c>
      <c r="Q8" s="9" t="n">
        <v>0.1907</v>
      </c>
    </row>
    <row r="9">
      <c r="A9" s="2" t="inlineStr">
        <is>
          <t>PICK</t>
        </is>
      </c>
      <c r="B9" s="2" t="inlineStr">
        <is>
          <t>iShares MSCI Global Metals &amp; Mining Producers ETF</t>
        </is>
      </c>
      <c r="C9" s="2" t="inlineStr">
        <is>
          <t>USD</t>
        </is>
      </c>
      <c r="D9" s="2" t="n">
        <v>2024</v>
      </c>
      <c r="E9" s="8" t="n">
        <v>45657</v>
      </c>
      <c r="F9" s="2" t="n">
        <v>42.86</v>
      </c>
      <c r="G9" s="2" t="n">
        <v>46.4</v>
      </c>
      <c r="H9" s="2" t="n">
        <v>34.78</v>
      </c>
      <c r="I9" s="2" t="n">
        <v>34.99</v>
      </c>
      <c r="J9" s="2" t="n">
        <v>40.5666</v>
      </c>
      <c r="K9" s="2" t="n">
        <v>1.139</v>
      </c>
      <c r="L9" s="9" t="n">
        <v>0.0326</v>
      </c>
      <c r="M9" s="9" t="n">
        <v>0.0424</v>
      </c>
      <c r="N9" s="2" t="n">
        <v>35.686</v>
      </c>
      <c r="O9" s="2" t="n">
        <v>2026</v>
      </c>
      <c r="P9" s="2" t="n">
        <v>61.14</v>
      </c>
      <c r="Q9" s="9" t="n">
        <v>0.7133</v>
      </c>
    </row>
    <row r="10">
      <c r="A10" s="2" t="inlineStr">
        <is>
          <t>PICK</t>
        </is>
      </c>
      <c r="B10" s="2" t="inlineStr">
        <is>
          <t>iShares MSCI Global Metals &amp; Mining Producers ETF</t>
        </is>
      </c>
      <c r="C10" s="2" t="inlineStr">
        <is>
          <t>USD</t>
        </is>
      </c>
      <c r="D10" s="2" t="n">
        <v>2025</v>
      </c>
      <c r="E10" s="8" t="n">
        <v>46022</v>
      </c>
      <c r="F10" s="2" t="n">
        <v>35.14</v>
      </c>
      <c r="G10" s="2" t="n">
        <v>52.42</v>
      </c>
      <c r="H10" s="2" t="n">
        <v>29.96</v>
      </c>
      <c r="I10" s="2" t="n">
        <v>51.34</v>
      </c>
      <c r="J10" s="2" t="n">
        <v>40.1501</v>
      </c>
      <c r="K10" s="2" t="n">
        <v>1.476</v>
      </c>
      <c r="L10" s="9" t="n">
        <v>0.0287</v>
      </c>
      <c r="M10" s="9" t="n">
        <v>0.0348</v>
      </c>
      <c r="N10" s="2" t="n">
        <v>51.965</v>
      </c>
      <c r="O10" s="2" t="n">
        <v>2027</v>
      </c>
      <c r="P10" s="2" t="n"/>
      <c r="Q10" s="9" t="n"/>
    </row>
    <row r="11">
      <c r="A11" s="2" t="inlineStr">
        <is>
          <t>PICK</t>
        </is>
      </c>
      <c r="B11" s="2" t="inlineStr">
        <is>
          <t>iShares MSCI Global Metals &amp; Mining Producers ETF</t>
        </is>
      </c>
      <c r="C11" s="2" t="inlineStr">
        <is>
          <t>USD</t>
        </is>
      </c>
      <c r="D11" s="2" t="n">
        <v>2026</v>
      </c>
      <c r="E11" s="8" t="n">
        <v>46290</v>
      </c>
      <c r="F11" s="2" t="n">
        <v>52.25</v>
      </c>
      <c r="G11" s="2" t="n">
        <v>69.02</v>
      </c>
      <c r="H11" s="2" t="n">
        <v>51.48</v>
      </c>
      <c r="I11" s="2" t="n">
        <v>61.14</v>
      </c>
      <c r="J11" s="2" t="n">
        <v>60.7002</v>
      </c>
      <c r="K11" s="2" t="n">
        <v>0.542</v>
      </c>
      <c r="L11" s="9" t="n">
        <v>0.0089</v>
      </c>
      <c r="M11" s="9" t="n">
        <v>0.0348</v>
      </c>
      <c r="N11" s="2" t="n">
        <v>64.395</v>
      </c>
      <c r="O11" s="2" t="n">
        <v>2028</v>
      </c>
      <c r="P11" s="2" t="n"/>
      <c r="Q11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current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low</t>
        </is>
      </c>
      <c r="H1" s="1" t="inlineStr">
        <is>
          <t>high</t>
        </is>
      </c>
    </row>
    <row r="2">
      <c r="A2" t="inlineStr">
        <is>
          <t>PICK</t>
        </is>
      </c>
      <c r="B2" t="inlineStr">
        <is>
          <t>iShares MSCI Global Metals &amp; Mining Producers ETF</t>
        </is>
      </c>
      <c r="C2" t="inlineStr">
        <is>
          <t>USD</t>
        </is>
      </c>
    </row>
    <row r="3"/>
    <row r="4">
      <c r="A4" s="2" t="inlineStr">
        <is>
          <t>12-month consensus price targets as of the data download date. Source: Yahoo Finance.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3" max="3"/>
    <col width="12" customWidth="1" min="4" max="4"/>
    <col width="52" customWidth="1" min="7" max="7"/>
  </cols>
  <sheetData>
    <row r="1">
      <c r="A1" s="10" t="inlineStr">
        <is>
          <t>Cross-check of year-end closes against sources independent of Yahoo Finance</t>
        </is>
      </c>
    </row>
    <row r="2">
      <c r="A2" t="inlineStr">
        <is>
          <t>10 comparisons across 1 tickers: match: 10</t>
        </is>
      </c>
    </row>
    <row r="3">
      <c r="A3" t="inlineStr">
        <is>
          <t>Not independently checked (no second source reachable): none</t>
        </is>
      </c>
    </row>
    <row r="4"/>
    <row r="5">
      <c r="A5" s="1" t="inlineStr">
        <is>
          <t>ticker</t>
        </is>
      </c>
      <c r="B5" s="1" t="inlineStr">
        <is>
          <t>year</t>
        </is>
      </c>
      <c r="C5" s="1" t="inlineStr">
        <is>
          <t>source</t>
        </is>
      </c>
      <c r="D5" s="1" t="inlineStr">
        <is>
          <t>source_date</t>
        </is>
      </c>
      <c r="E5" s="1" t="inlineStr">
        <is>
          <t>source_close</t>
        </is>
      </c>
      <c r="F5" s="1" t="inlineStr">
        <is>
          <t>our_close</t>
        </is>
      </c>
      <c r="G5" s="1" t="inlineStr">
        <is>
          <t>status</t>
        </is>
      </c>
    </row>
    <row r="6">
      <c r="A6" t="inlineStr">
        <is>
          <t>PICK</t>
        </is>
      </c>
      <c r="B6" t="n">
        <v>2017</v>
      </c>
      <c r="C6" t="inlineStr">
        <is>
          <t>nasdaq</t>
        </is>
      </c>
      <c r="D6" t="inlineStr">
        <is>
          <t>2017-12-29</t>
        </is>
      </c>
      <c r="E6" t="n">
        <v>34.63</v>
      </c>
      <c r="F6" t="n">
        <v>34.63</v>
      </c>
      <c r="G6" t="inlineStr">
        <is>
          <t>match</t>
        </is>
      </c>
    </row>
    <row r="7">
      <c r="A7" t="inlineStr">
        <is>
          <t>PICK</t>
        </is>
      </c>
      <c r="B7" t="n">
        <v>2018</v>
      </c>
      <c r="C7" t="inlineStr">
        <is>
          <t>nasdaq</t>
        </is>
      </c>
      <c r="D7" t="inlineStr">
        <is>
          <t>2018-12-31</t>
        </is>
      </c>
      <c r="E7" t="n">
        <v>26.98</v>
      </c>
      <c r="F7" t="n">
        <v>26.98</v>
      </c>
      <c r="G7" t="inlineStr">
        <is>
          <t>match</t>
        </is>
      </c>
    </row>
    <row r="8">
      <c r="A8" t="inlineStr">
        <is>
          <t>PICK</t>
        </is>
      </c>
      <c r="B8" t="n">
        <v>2019</v>
      </c>
      <c r="C8" t="inlineStr">
        <is>
          <t>nasdaq</t>
        </is>
      </c>
      <c r="D8" t="inlineStr">
        <is>
          <t>2019-12-31</t>
        </is>
      </c>
      <c r="E8" t="n">
        <v>29.73</v>
      </c>
      <c r="F8" t="n">
        <v>29.73</v>
      </c>
      <c r="G8" t="inlineStr">
        <is>
          <t>match</t>
        </is>
      </c>
    </row>
    <row r="9">
      <c r="A9" t="inlineStr">
        <is>
          <t>PICK</t>
        </is>
      </c>
      <c r="B9" t="n">
        <v>2020</v>
      </c>
      <c r="C9" t="inlineStr">
        <is>
          <t>nasdaq</t>
        </is>
      </c>
      <c r="D9" t="inlineStr">
        <is>
          <t>2020-12-31</t>
        </is>
      </c>
      <c r="E9" t="n">
        <v>36.85</v>
      </c>
      <c r="F9" t="n">
        <v>36.85</v>
      </c>
      <c r="G9" t="inlineStr">
        <is>
          <t>match</t>
        </is>
      </c>
    </row>
    <row r="10">
      <c r="A10" t="inlineStr">
        <is>
          <t>PICK</t>
        </is>
      </c>
      <c r="B10" t="n">
        <v>2021</v>
      </c>
      <c r="C10" t="inlineStr">
        <is>
          <t>nasdaq</t>
        </is>
      </c>
      <c r="D10" t="inlineStr">
        <is>
          <t>2021-12-31</t>
        </is>
      </c>
      <c r="E10" t="n">
        <v>42.62</v>
      </c>
      <c r="F10" t="n">
        <v>42.62</v>
      </c>
      <c r="G10" t="inlineStr">
        <is>
          <t>match</t>
        </is>
      </c>
    </row>
    <row r="11">
      <c r="A11" t="inlineStr">
        <is>
          <t>PICK</t>
        </is>
      </c>
      <c r="B11" t="n">
        <v>2022</v>
      </c>
      <c r="C11" t="inlineStr">
        <is>
          <t>nasdaq</t>
        </is>
      </c>
      <c r="D11" t="inlineStr">
        <is>
          <t>2022-12-30</t>
        </is>
      </c>
      <c r="E11" t="n">
        <v>41</v>
      </c>
      <c r="F11" t="n">
        <v>41</v>
      </c>
      <c r="G11" t="inlineStr">
        <is>
          <t>match</t>
        </is>
      </c>
    </row>
    <row r="12">
      <c r="A12" t="inlineStr">
        <is>
          <t>PICK</t>
        </is>
      </c>
      <c r="B12" t="n">
        <v>2023</v>
      </c>
      <c r="C12" t="inlineStr">
        <is>
          <t>nasdaq</t>
        </is>
      </c>
      <c r="D12" t="inlineStr">
        <is>
          <t>2023-12-29</t>
        </is>
      </c>
      <c r="E12" t="n">
        <v>43.07</v>
      </c>
      <c r="F12" t="n">
        <v>43.07</v>
      </c>
      <c r="G12" t="inlineStr">
        <is>
          <t>match</t>
        </is>
      </c>
    </row>
    <row r="13">
      <c r="A13" t="inlineStr">
        <is>
          <t>PICK</t>
        </is>
      </c>
      <c r="B13" t="n">
        <v>2024</v>
      </c>
      <c r="C13" t="inlineStr">
        <is>
          <t>nasdaq</t>
        </is>
      </c>
      <c r="D13" t="inlineStr">
        <is>
          <t>2024-12-31</t>
        </is>
      </c>
      <c r="E13" t="n">
        <v>34.99</v>
      </c>
      <c r="F13" t="n">
        <v>34.99</v>
      </c>
      <c r="G13" t="inlineStr">
        <is>
          <t>match</t>
        </is>
      </c>
    </row>
    <row r="14">
      <c r="A14" t="inlineStr">
        <is>
          <t>PICK</t>
        </is>
      </c>
      <c r="B14" t="n">
        <v>2025</v>
      </c>
      <c r="C14" t="inlineStr">
        <is>
          <t>nasdaq</t>
        </is>
      </c>
      <c r="D14" t="inlineStr">
        <is>
          <t>2025-12-31</t>
        </is>
      </c>
      <c r="E14" t="n">
        <v>51.34</v>
      </c>
      <c r="F14" t="n">
        <v>51.34</v>
      </c>
      <c r="G14" t="inlineStr">
        <is>
          <t>match</t>
        </is>
      </c>
    </row>
    <row r="15">
      <c r="A15" t="inlineStr">
        <is>
          <t>PICK</t>
        </is>
      </c>
      <c r="B15" t="n">
        <v>2026</v>
      </c>
      <c r="C15" t="inlineStr">
        <is>
          <t>nasdaq</t>
        </is>
      </c>
      <c r="D15" t="inlineStr">
        <is>
          <t>2026-09-25</t>
        </is>
      </c>
      <c r="E15" t="n">
        <v>61.14</v>
      </c>
      <c r="F15" t="n">
        <v>61.14</v>
      </c>
      <c r="G1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2026-09-27T22:54:17Z</dcterms:created>
  <dcterms:modified xmlns:dcterms="http://purl.org/dc/terms/" xmlns:xsi="http://www.w3.org/2001/XMLSchema-instance" xsi:type="dcterms:W3CDTF">2026-09-27T22:54:17Z</dcterms:modified>
</cp:coreProperties>
</file>