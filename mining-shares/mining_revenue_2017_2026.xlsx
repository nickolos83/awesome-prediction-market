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Revenue USD" sheetId="3" state="visible" r:id="rId3"/>
    <sheet xmlns:r="http://schemas.openxmlformats.org/officeDocument/2006/relationships" name="FX rate used" sheetId="4" state="visible" r:id="rId4"/>
    <sheet xmlns:r="http://schemas.openxmlformats.org/officeDocument/2006/relationships" name="Ver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800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Claude</author>
  </authors>
  <commentList>
    <comment ref="I2" authorId="0" shapeId="0">
      <text>
        <t>Fiscal year ended 2022-01-01. Source: StockAnalysis.</t>
      </text>
    </comment>
    <comment ref="J2" authorId="0" shapeId="0">
      <text>
        <t>Fiscal year ended 2023-01-01. Source: StockAnalysis.</t>
      </text>
    </comment>
    <comment ref="K2" authorId="0" shapeId="0">
      <text>
        <t>Fiscal year ended 2023-12-31. Source: StockAnalysis.</t>
      </text>
    </comment>
    <comment ref="L2" authorId="0" shapeId="0">
      <text>
        <t>Fiscal year ended 2024-12-31. Source: StockAnalysis.</t>
      </text>
    </comment>
    <comment ref="M2" authorId="0" shapeId="0">
      <text>
        <t>Fiscal year ended 2025-12-31. Source: StockAnalysis.</t>
      </text>
    </comment>
    <comment ref="I3" authorId="0" shapeId="0">
      <text>
        <t>Fiscal year ended 2021-12-31. Source: StockAnalysis.</t>
      </text>
    </comment>
    <comment ref="J3" authorId="0" shapeId="0">
      <text>
        <t>Fiscal year ended 2022-12-31. Source: StockAnalysis.</t>
      </text>
    </comment>
    <comment ref="K3" authorId="0" shapeId="0">
      <text>
        <t>Fiscal year ended 2023-12-31. Source: StockAnalysis.</t>
      </text>
    </comment>
    <comment ref="L3" authorId="0" shapeId="0">
      <text>
        <t>Fiscal year ended 2024-12-31. Source: StockAnalysis.</t>
      </text>
    </comment>
    <comment ref="M3" authorId="0" shapeId="0">
      <text>
        <t>Fiscal year ended 2025-12-31. Source: StockAnalysis.</t>
      </text>
    </comment>
    <comment ref="I4" authorId="0" shapeId="0">
      <text>
        <t>Fiscal year ended 2021-12-31. Source: StockAnalysis.</t>
      </text>
    </comment>
    <comment ref="J4" authorId="0" shapeId="0">
      <text>
        <t>Fiscal year ended 2022-12-31. Source: StockAnalysis.</t>
      </text>
    </comment>
    <comment ref="K4" authorId="0" shapeId="0">
      <text>
        <t>Fiscal year ended 2023-12-31. Source: StockAnalysis.</t>
      </text>
    </comment>
    <comment ref="L4" authorId="0" shapeId="0">
      <text>
        <t>Fiscal year ended 2024-12-31. Source: StockAnalysis.</t>
      </text>
    </comment>
    <comment ref="M4" authorId="0" shapeId="0">
      <text>
        <t>Fiscal year ended 2025-12-31. Source: StockAnalysis.</t>
      </text>
    </comment>
    <comment ref="J5" authorId="0" shapeId="0">
      <text>
        <t>Fiscal year ended 2022-12-31. Source: Yahoo Finance.</t>
      </text>
    </comment>
    <comment ref="K5" authorId="0" shapeId="0">
      <text>
        <t>Fiscal year ended 2023-12-31. Source: Yahoo Finance.</t>
      </text>
    </comment>
    <comment ref="L5" authorId="0" shapeId="0">
      <text>
        <t>Fiscal year ended 2024-12-31. Source: Yahoo Finance.</t>
      </text>
    </comment>
    <comment ref="M5" authorId="0" shapeId="0">
      <text>
        <t>Fiscal year ended 2025-12-31. Source: Yahoo Finance.</t>
      </text>
    </comment>
    <comment ref="I6" authorId="0" shapeId="0">
      <text>
        <t>Fiscal year ended 2021-12-31. Source: StockAnalysis.</t>
      </text>
    </comment>
    <comment ref="J6" authorId="0" shapeId="0">
      <text>
        <t>Fiscal year ended 2022-12-31. Source: StockAnalysis.</t>
      </text>
    </comment>
    <comment ref="K6" authorId="0" shapeId="0">
      <text>
        <t>Fiscal year ended 2023-12-31. Source: StockAnalysis.</t>
      </text>
    </comment>
    <comment ref="L6" authorId="0" shapeId="0">
      <text>
        <t>Fiscal year ended 2024-12-31. Source: StockAnalysis.</t>
      </text>
    </comment>
    <comment ref="M6" authorId="0" shapeId="0">
      <text>
        <t>Fiscal year ended 2025-12-31. Source: StockAnalysis.</t>
      </text>
    </comment>
    <comment ref="I7" authorId="0" shapeId="0">
      <text>
        <t>Fiscal year ended 2021-12-31. Source: StockAnalysis.</t>
      </text>
    </comment>
    <comment ref="J7" authorId="0" shapeId="0">
      <text>
        <t>Fiscal year ended 2022-12-31. Source: StockAnalysis.</t>
      </text>
    </comment>
    <comment ref="K7" authorId="0" shapeId="0">
      <text>
        <t>Fiscal year ended 2023-12-31. Source: StockAnalysis.</t>
      </text>
    </comment>
    <comment ref="L7" authorId="0" shapeId="0">
      <text>
        <t>Fiscal year ended 2024-12-31. Source: StockAnalysis.</t>
      </text>
    </comment>
    <comment ref="M7" authorId="0" shapeId="0">
      <text>
        <t>Fiscal year ended 2025-12-31. Source: StockAnalysis.</t>
      </text>
    </comment>
    <comment ref="I8" authorId="0" shapeId="0">
      <text>
        <t>Fiscal year ended 2021-12-31. Source: StockAnalysis.</t>
      </text>
    </comment>
    <comment ref="J8" authorId="0" shapeId="0">
      <text>
        <t>Fiscal year ended 2022-12-31. Source: StockAnalysis.</t>
      </text>
    </comment>
    <comment ref="K8" authorId="0" shapeId="0">
      <text>
        <t>Fiscal year ended 2023-12-31. Source: StockAnalysis.</t>
      </text>
    </comment>
    <comment ref="L8" authorId="0" shapeId="0">
      <text>
        <t>Fiscal year ended 2024-12-31. Source: StockAnalysis.</t>
      </text>
    </comment>
    <comment ref="M8" authorId="0" shapeId="0">
      <text>
        <t>Fiscal year ended 2025-12-31. Source: StockAnalysis.</t>
      </text>
    </comment>
    <comment ref="J9" authorId="0" shapeId="0">
      <text>
        <t>Fiscal year ended 2022-06-30. Source: StockAnalysis.</t>
      </text>
    </comment>
    <comment ref="K9" authorId="0" shapeId="0">
      <text>
        <t>Fiscal year ended 2023-06-30. Source: StockAnalysis.</t>
      </text>
    </comment>
    <comment ref="L9" authorId="0" shapeId="0">
      <text>
        <t>Fiscal year ended 2024-06-30. Source: StockAnalysis.</t>
      </text>
    </comment>
    <comment ref="M9" authorId="0" shapeId="0">
      <text>
        <t>Fiscal year ended 2025-06-30. Source: StockAnalysis.</t>
      </text>
    </comment>
    <comment ref="N9" authorId="0" shapeId="0">
      <text>
        <t>Fiscal year ended 2026-06-30. Source: StockAnalysis.</t>
      </text>
    </comment>
    <comment ref="I10" authorId="0" shapeId="0">
      <text>
        <t>Fiscal year ended 2021-12-31. Source: StockAnalysis.</t>
      </text>
    </comment>
    <comment ref="J10" authorId="0" shapeId="0">
      <text>
        <t>Fiscal year ended 2022-12-31. Source: StockAnalysis.</t>
      </text>
    </comment>
    <comment ref="K10" authorId="0" shapeId="0">
      <text>
        <t>Fiscal year ended 2023-12-31. Source: StockAnalysis.</t>
      </text>
    </comment>
    <comment ref="L10" authorId="0" shapeId="0">
      <text>
        <t>Fiscal year ended 2024-12-31. Source: StockAnalysis.</t>
      </text>
    </comment>
    <comment ref="M10" authorId="0" shapeId="0">
      <text>
        <t>Fiscal year ended 2025-12-31. Source: StockAnalysis.</t>
      </text>
    </comment>
    <comment ref="J11" authorId="0" shapeId="0">
      <text>
        <t>Fiscal year ended 2022-06-30. Source: StockAnalysis.</t>
      </text>
    </comment>
    <comment ref="K11" authorId="0" shapeId="0">
      <text>
        <t>Fiscal year ended 2023-06-30. Source: StockAnalysis.</t>
      </text>
    </comment>
    <comment ref="L11" authorId="0" shapeId="0">
      <text>
        <t>Fiscal year ended 2024-06-30. Source: StockAnalysis.</t>
      </text>
    </comment>
    <comment ref="M11" authorId="0" shapeId="0">
      <text>
        <t>Fiscal year ended 2025-06-30. Source: StockAnalysis.</t>
      </text>
    </comment>
    <comment ref="N11" authorId="0" shapeId="0">
      <text>
        <t>Fiscal year ended 2026-06-30. Source: StockAnalysis.</t>
      </text>
    </comment>
    <comment ref="I12" authorId="0" shapeId="0">
      <text>
        <t>Fiscal year ended 2021-12-31. Source: StockAnalysis.</t>
      </text>
    </comment>
    <comment ref="J12" authorId="0" shapeId="0">
      <text>
        <t>Fiscal year ended 2022-12-31. Source: StockAnalysis.</t>
      </text>
    </comment>
    <comment ref="K12" authorId="0" shapeId="0">
      <text>
        <t>Fiscal year ended 2023-12-31. Source: StockAnalysis.</t>
      </text>
    </comment>
    <comment ref="L12" authorId="0" shapeId="0">
      <text>
        <t>Fiscal year ended 2024-12-31. Source: StockAnalysis.</t>
      </text>
    </comment>
    <comment ref="M12" authorId="0" shapeId="0">
      <text>
        <t>Fiscal year ended 2025-12-31. Source: StockAnalysis.</t>
      </text>
    </comment>
    <comment ref="J13" authorId="0" shapeId="0">
      <text>
        <t>Fiscal year ended 2022-06-30. Source: StockAnalysis.</t>
      </text>
    </comment>
    <comment ref="K13" authorId="0" shapeId="0">
      <text>
        <t>Fiscal year ended 2023-06-30. Source: StockAnalysis.</t>
      </text>
    </comment>
    <comment ref="L13" authorId="0" shapeId="0">
      <text>
        <t>Fiscal year ended 2024-06-30. Source: StockAnalysis.</t>
      </text>
    </comment>
    <comment ref="M13" authorId="0" shapeId="0">
      <text>
        <t>Fiscal year ended 2025-06-30. Source: StockAnalysis.</t>
      </text>
    </comment>
    <comment ref="N13" authorId="0" shapeId="0">
      <text>
        <t>Fiscal year ended 2026-06-30. Source: StockAnalysis.</t>
      </text>
    </comment>
    <comment ref="I14" authorId="0" shapeId="0">
      <text>
        <t>Fiscal year ended 2021-12-31. Source: StockAnalysis.</t>
      </text>
    </comment>
    <comment ref="J14" authorId="0" shapeId="0">
      <text>
        <t>Fiscal year ended 2022-12-31. Source: StockAnalysis.</t>
      </text>
    </comment>
    <comment ref="K14" authorId="0" shapeId="0">
      <text>
        <t>Fiscal year ended 2023-12-31. Source: StockAnalysis.</t>
      </text>
    </comment>
    <comment ref="L14" authorId="0" shapeId="0">
      <text>
        <t>Fiscal year ended 2024-12-31. Source: StockAnalysis.</t>
      </text>
    </comment>
    <comment ref="M14" authorId="0" shapeId="0">
      <text>
        <t>Fiscal year ended 2025-12-31. Source: StockAnalysis.</t>
      </text>
    </comment>
    <comment ref="I15" authorId="0" shapeId="0">
      <text>
        <t>Fiscal year ended 2021-12-31. Source: StockAnalysis.</t>
      </text>
    </comment>
    <comment ref="J15" authorId="0" shapeId="0">
      <text>
        <t>Fiscal year ended 2022-12-31. Source: StockAnalysis.</t>
      </text>
    </comment>
    <comment ref="K15" authorId="0" shapeId="0">
      <text>
        <t>Fiscal year ended 2023-12-31. Source: StockAnalysis.</t>
      </text>
    </comment>
    <comment ref="L15" authorId="0" shapeId="0">
      <text>
        <t>Fiscal year ended 2024-12-31. Source: StockAnalysis.</t>
      </text>
    </comment>
    <comment ref="M15" authorId="0" shapeId="0">
      <text>
        <t>Fiscal year ended 2025-12-31. Source: StockAnalysis.</t>
      </text>
    </comment>
    <comment ref="J16" authorId="0" shapeId="0">
      <text>
        <t>Fiscal year ended 2022-12-31. Source: Yahoo Finance.</t>
      </text>
    </comment>
    <comment ref="K16" authorId="0" shapeId="0">
      <text>
        <t>Fiscal year ended 2023-12-31. Source: Yahoo Finance.</t>
      </text>
    </comment>
    <comment ref="L16" authorId="0" shapeId="0">
      <text>
        <t>Fiscal year ended 2024-12-31. Source: Yahoo Finance.</t>
      </text>
    </comment>
    <comment ref="M16" authorId="0" shapeId="0">
      <text>
        <t>Fiscal year ended 2025-12-31. Source: Yahoo Finance.</t>
      </text>
    </comment>
    <comment ref="I17" authorId="0" shapeId="0">
      <text>
        <t>Fiscal year ended 2021-12-31. Source: StockAnalysis.</t>
      </text>
    </comment>
    <comment ref="J17" authorId="0" shapeId="0">
      <text>
        <t>Fiscal year ended 2022-12-31. Source: StockAnalysis.</t>
      </text>
    </comment>
    <comment ref="K17" authorId="0" shapeId="0">
      <text>
        <t>Fiscal year ended 2023-12-31. Source: StockAnalysis.</t>
      </text>
    </comment>
    <comment ref="L17" authorId="0" shapeId="0">
      <text>
        <t>Fiscal year ended 2024-12-31. Source: StockAnalysis.</t>
      </text>
    </comment>
    <comment ref="M17" authorId="0" shapeId="0">
      <text>
        <t>Fiscal year ended 2025-12-31. Source: StockAnalysis.</t>
      </text>
    </comment>
    <comment ref="I18" authorId="0" shapeId="0">
      <text>
        <t>Fiscal year ended 2021-12-31. Source: StockAnalysis.</t>
      </text>
    </comment>
    <comment ref="J18" authorId="0" shapeId="0">
      <text>
        <t>Fiscal year ended 2022-12-31. Source: StockAnalysis.</t>
      </text>
    </comment>
    <comment ref="K18" authorId="0" shapeId="0">
      <text>
        <t>Fiscal year ended 2023-12-31. Source: StockAnalysis.</t>
      </text>
    </comment>
    <comment ref="L18" authorId="0" shapeId="0">
      <text>
        <t>Fiscal year ended 2024-12-31. Source: StockAnalysis.</t>
      </text>
    </comment>
    <comment ref="M18" authorId="0" shapeId="0">
      <text>
        <t>Fiscal year ended 2025-12-31. Source: StockAnalysis.</t>
      </text>
    </comment>
    <comment ref="J19" authorId="0" shapeId="0">
      <text>
        <t>Fiscal year ended 2022-06-30. Source: StockAnalysis.</t>
      </text>
    </comment>
    <comment ref="K19" authorId="0" shapeId="0">
      <text>
        <t>Fiscal year ended 2023-06-30. Source: StockAnalysis.</t>
      </text>
    </comment>
    <comment ref="L19" authorId="0" shapeId="0">
      <text>
        <t>Fiscal year ended 2024-06-30. Source: StockAnalysis.</t>
      </text>
    </comment>
    <comment ref="M19" authorId="0" shapeId="0">
      <text>
        <t>Fiscal year ended 2025-06-30. Source: StockAnalysis.</t>
      </text>
    </comment>
    <comment ref="N19" authorId="0" shapeId="0">
      <text>
        <t>Fiscal year ended 2026-06-30. Source: StockAnalysis.</t>
      </text>
    </comment>
    <comment ref="I20" authorId="0" shapeId="0">
      <text>
        <t>Fiscal year ended 2021-12-31. Source: StockAnalysis.</t>
      </text>
    </comment>
    <comment ref="J20" authorId="0" shapeId="0">
      <text>
        <t>Fiscal year ended 2022-12-31. Source: StockAnalysis.</t>
      </text>
    </comment>
    <comment ref="K20" authorId="0" shapeId="0">
      <text>
        <t>Fiscal year ended 2023-12-31. Source: StockAnalysis.</t>
      </text>
    </comment>
    <comment ref="L20" authorId="0" shapeId="0">
      <text>
        <t>Fiscal year ended 2024-12-31. Source: StockAnalysis.</t>
      </text>
    </comment>
    <comment ref="M20" authorId="0" shapeId="0">
      <text>
        <t>Fiscal year ended 2025-12-31. Source: StockAnalysis.</t>
      </text>
    </comment>
    <comment ref="I21" authorId="0" shapeId="0">
      <text>
        <t>Fiscal year ended 2021-12-31. Source: StockAnalysis.</t>
      </text>
    </comment>
    <comment ref="J21" authorId="0" shapeId="0">
      <text>
        <t>Fiscal year ended 2022-12-31. Source: StockAnalysis.</t>
      </text>
    </comment>
    <comment ref="K21" authorId="0" shapeId="0">
      <text>
        <t>Fiscal year ended 2023-12-31. Source: StockAnalysis.</t>
      </text>
    </comment>
    <comment ref="L21" authorId="0" shapeId="0">
      <text>
        <t>Fiscal year ended 2024-12-31. Source: StockAnalysis.</t>
      </text>
    </comment>
    <comment ref="M21" authorId="0" shapeId="0">
      <text>
        <t>Fiscal year ended 2025-12-31. Source: StockAnalysis.</t>
      </text>
    </comment>
    <comment ref="I22" authorId="0" shapeId="0">
      <text>
        <t>Fiscal year ended 2021-12-31. Source: StockAnalysis.</t>
      </text>
    </comment>
    <comment ref="J22" authorId="0" shapeId="0">
      <text>
        <t>Fiscal year ended 2022-12-31. Source: StockAnalysis.</t>
      </text>
    </comment>
    <comment ref="K22" authorId="0" shapeId="0">
      <text>
        <t>Fiscal year ended 2023-12-31. Source: StockAnalysis.</t>
      </text>
    </comment>
    <comment ref="L22" authorId="0" shapeId="0">
      <text>
        <t>Fiscal year ended 2024-12-31. Source: StockAnalysis.</t>
      </text>
    </comment>
    <comment ref="M22" authorId="0" shapeId="0">
      <text>
        <t>Fiscal year ended 2025-12-31. Source: StockAnalysis.</t>
      </text>
    </comment>
    <comment ref="J23" authorId="0" shapeId="0">
      <text>
        <t>Fiscal year ended 2022-06-30. Source: StockAnalysis.</t>
      </text>
    </comment>
    <comment ref="K23" authorId="0" shapeId="0">
      <text>
        <t>Fiscal year ended 2023-06-30. Source: StockAnalysis.</t>
      </text>
    </comment>
    <comment ref="L23" authorId="0" shapeId="0">
      <text>
        <t>Fiscal year ended 2024-06-30. Source: StockAnalysis.</t>
      </text>
    </comment>
    <comment ref="M23" authorId="0" shapeId="0">
      <text>
        <t>Fiscal year ended 2025-06-30. Source: StockAnalysis.</t>
      </text>
    </comment>
    <comment ref="N23" authorId="0" shapeId="0">
      <text>
        <t>Fiscal year ended 2026-06-30. Source: StockAnalysis.</t>
      </text>
    </comment>
    <comment ref="I24" authorId="0" shapeId="0">
      <text>
        <t>Fiscal year ended 2021-12-31. Source: StockAnalysis.</t>
      </text>
    </comment>
    <comment ref="J24" authorId="0" shapeId="0">
      <text>
        <t>Fiscal year ended 2022-12-31. Source: StockAnalysis.</t>
      </text>
    </comment>
    <comment ref="K24" authorId="0" shapeId="0">
      <text>
        <t>Fiscal year ended 2023-12-31. Source: StockAnalysis.</t>
      </text>
    </comment>
    <comment ref="L24" authorId="0" shapeId="0">
      <text>
        <t>Fiscal year ended 2024-12-31. Source: StockAnalysis.</t>
      </text>
    </comment>
    <comment ref="M24" authorId="0" shapeId="0">
      <text>
        <t>Fiscal year ended 2025-12-31. Source: StockAnalysis.</t>
      </text>
    </comment>
    <comment ref="I25" authorId="0" shapeId="0">
      <text>
        <t>Fiscal year ended 2021-12-31. Source: StockAnalysis.</t>
      </text>
    </comment>
    <comment ref="J25" authorId="0" shapeId="0">
      <text>
        <t>Fiscal year ended 2022-12-31. Source: StockAnalysis.</t>
      </text>
    </comment>
    <comment ref="K25" authorId="0" shapeId="0">
      <text>
        <t>Fiscal year ended 2023-12-31. Source: StockAnalysis.</t>
      </text>
    </comment>
    <comment ref="L25" authorId="0" shapeId="0">
      <text>
        <t>Fiscal year ended 2024-12-31. Source: StockAnalysis.</t>
      </text>
    </comment>
    <comment ref="M25" authorId="0" shapeId="0">
      <text>
        <t>Fiscal year ended 2025-12-31. Source: StockAnalysis.</t>
      </text>
    </comment>
    <comment ref="I26" authorId="0" shapeId="0">
      <text>
        <t>Fiscal year ended 2021-12-31. Source: StockAnalysis.</t>
      </text>
    </comment>
    <comment ref="J26" authorId="0" shapeId="0">
      <text>
        <t>Fiscal year ended 2022-12-31. Source: StockAnalysis.</t>
      </text>
    </comment>
    <comment ref="K26" authorId="0" shapeId="0">
      <text>
        <t>Fiscal year ended 2023-12-31. Source: StockAnalysis.</t>
      </text>
    </comment>
    <comment ref="L26" authorId="0" shapeId="0">
      <text>
        <t>Fiscal year ended 2024-12-31. Source: StockAnalysis.</t>
      </text>
    </comment>
    <comment ref="M26" authorId="0" shapeId="0">
      <text>
        <t>Fiscal year ended 2025-12-31. Source: StockAnalysis.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3" customWidth="1" min="3" max="3"/>
    <col width="14" customWidth="1" min="4" max="4"/>
    <col width="9" customWidth="1" min="5" max="5"/>
    <col width="30" customWidth="1" min="6" max="6"/>
    <col width="60" customWidth="1" min="7" max="7"/>
  </cols>
  <sheetData>
    <row r="1">
      <c r="A1" s="1" t="inlineStr">
        <is>
          <t>entity</t>
        </is>
      </c>
      <c r="B1" s="1" t="inlineStr">
        <is>
          <t>listed_parent</t>
        </is>
      </c>
      <c r="C1" s="1" t="inlineStr">
        <is>
          <t>ticker</t>
        </is>
      </c>
      <c r="D1" s="1" t="inlineStr">
        <is>
          <t>exchange</t>
        </is>
      </c>
      <c r="E1" s="1" t="inlineStr">
        <is>
          <t>currency</t>
        </is>
      </c>
      <c r="F1" s="1" t="inlineStr">
        <is>
          <t>note</t>
        </is>
      </c>
    </row>
    <row r="2">
      <c r="A2" t="inlineStr">
        <is>
          <t>Agnico Eagle Mexico SA de CV</t>
        </is>
      </c>
      <c r="B2" t="inlineStr">
        <is>
          <t>Agnico Eagle Mines Ltd</t>
        </is>
      </c>
      <c r="C2" t="inlineStr">
        <is>
          <t>AEM</t>
        </is>
      </c>
      <c r="D2" t="inlineStr">
        <is>
          <t>NYSE</t>
        </is>
      </c>
      <c r="E2" t="inlineStr">
        <is>
          <t>USD</t>
        </is>
      </c>
      <c r="F2" t="inlineStr">
        <is>
          <t>Wholly owned subsidiary</t>
        </is>
      </c>
    </row>
    <row r="3">
      <c r="A3" t="inlineStr">
        <is>
          <t>Agnico-Eagle Mines Limited</t>
        </is>
      </c>
      <c r="B3" t="inlineStr">
        <is>
          <t>Agnico Eagle Mines Ltd</t>
        </is>
      </c>
      <c r="C3" t="inlineStr">
        <is>
          <t>AEM</t>
        </is>
      </c>
      <c r="D3" t="inlineStr">
        <is>
          <t>NYSE</t>
        </is>
      </c>
      <c r="E3" t="inlineStr">
        <is>
          <t>USD</t>
        </is>
      </c>
      <c r="F3" t="inlineStr"/>
    </row>
    <row r="4">
      <c r="A4" t="inlineStr">
        <is>
          <t>Anglo Corporate Services South Africa</t>
        </is>
      </c>
      <c r="B4" t="inlineStr">
        <is>
          <t>Anglo American plc</t>
        </is>
      </c>
      <c r="C4" t="inlineStr">
        <is>
          <t>AAL.L</t>
        </is>
      </c>
      <c r="D4" t="inlineStr">
        <is>
          <t>LSE</t>
        </is>
      </c>
      <c r="E4" t="inlineStr">
        <is>
          <t>GBp</t>
        </is>
      </c>
      <c r="F4" t="inlineStr">
        <is>
          <t>Wholly owned subsidiary</t>
        </is>
      </c>
    </row>
    <row r="5">
      <c r="A5" t="inlineStr">
        <is>
          <t>ArcelorMittal Mining UK Ltd</t>
        </is>
      </c>
      <c r="B5" t="inlineStr">
        <is>
          <t>ArcelorMittal SA</t>
        </is>
      </c>
      <c r="C5" t="inlineStr">
        <is>
          <t>MT</t>
        </is>
      </c>
      <c r="D5" t="inlineStr">
        <is>
          <t>NYSE</t>
        </is>
      </c>
      <c r="E5" t="inlineStr">
        <is>
          <t>USD</t>
        </is>
      </c>
      <c r="F5" t="inlineStr">
        <is>
          <t>Wholly owned subsidiary</t>
        </is>
      </c>
    </row>
    <row r="6">
      <c r="A6" t="inlineStr">
        <is>
          <t>ASARCO, LLC</t>
        </is>
      </c>
      <c r="B6" t="inlineStr">
        <is>
          <t>Grupo Mexico SAB de CV</t>
        </is>
      </c>
      <c r="C6" t="inlineStr">
        <is>
          <t>GMEXICOB.MX</t>
        </is>
      </c>
      <c r="D6" t="inlineStr">
        <is>
          <t>BMV</t>
        </is>
      </c>
      <c r="E6" t="inlineStr">
        <is>
          <t>MXN</t>
        </is>
      </c>
      <c r="F6" t="inlineStr">
        <is>
          <t>Owned via Americas Mining Corp</t>
        </is>
      </c>
    </row>
    <row r="7">
      <c r="A7" t="inlineStr">
        <is>
          <t>Barrick Gold of North America, Inc.</t>
        </is>
      </c>
      <c r="B7" t="inlineStr">
        <is>
          <t>Barrick Mining Corp</t>
        </is>
      </c>
      <c r="C7" t="inlineStr">
        <is>
          <t>B</t>
        </is>
      </c>
      <c r="D7" t="inlineStr">
        <is>
          <t>NYSE</t>
        </is>
      </c>
      <c r="E7" t="inlineStr">
        <is>
          <t>USD</t>
        </is>
      </c>
      <c r="F7" t="inlineStr">
        <is>
          <t>NYSE ticker was GOLD until May 2025</t>
        </is>
      </c>
    </row>
    <row r="8">
      <c r="A8" t="inlineStr">
        <is>
          <t>BHP Billiton Iron Ore Pty Ltd</t>
        </is>
      </c>
      <c r="B8" t="inlineStr">
        <is>
          <t>BHP Group Ltd</t>
        </is>
      </c>
      <c r="C8" t="inlineStr">
        <is>
          <t>BHP.AX</t>
        </is>
      </c>
      <c r="D8" t="inlineStr">
        <is>
          <t>ASX</t>
        </is>
      </c>
      <c r="E8" t="inlineStr">
        <is>
          <t>AUD</t>
        </is>
      </c>
      <c r="F8" t="inlineStr">
        <is>
          <t>Wholly owned subsidiary</t>
        </is>
      </c>
    </row>
    <row r="9">
      <c r="A9" t="inlineStr">
        <is>
          <t>BHP Canada Inc.</t>
        </is>
      </c>
      <c r="B9" t="inlineStr">
        <is>
          <t>BHP Group Ltd</t>
        </is>
      </c>
      <c r="C9" t="inlineStr">
        <is>
          <t>BHP.AX</t>
        </is>
      </c>
      <c r="D9" t="inlineStr">
        <is>
          <t>ASX</t>
        </is>
      </c>
      <c r="E9" t="inlineStr">
        <is>
          <t>AUD</t>
        </is>
      </c>
      <c r="F9" t="inlineStr">
        <is>
          <t>Wholly owned subsidiary</t>
        </is>
      </c>
    </row>
    <row r="10">
      <c r="A10" t="inlineStr">
        <is>
          <t>Codelco Chile</t>
        </is>
      </c>
      <c r="B10" t="inlineStr"/>
      <c r="C10" t="inlineStr"/>
      <c r="D10" t="inlineStr"/>
      <c r="E10" t="inlineStr"/>
      <c r="F10" t="inlineStr">
        <is>
          <t>State-owned (Chile) - no listed shares</t>
        </is>
      </c>
    </row>
    <row r="11">
      <c r="A11" t="inlineStr">
        <is>
          <t>Evolution Mining</t>
        </is>
      </c>
      <c r="B11" t="inlineStr">
        <is>
          <t>Evolution Mining Ltd</t>
        </is>
      </c>
      <c r="C11" t="inlineStr">
        <is>
          <t>EVN.AX</t>
        </is>
      </c>
      <c r="D11" t="inlineStr">
        <is>
          <t>ASX</t>
        </is>
      </c>
      <c r="E11" t="inlineStr">
        <is>
          <t>AUD</t>
        </is>
      </c>
      <c r="F11" t="inlineStr"/>
    </row>
    <row r="12">
      <c r="A12" t="inlineStr">
        <is>
          <t>FMG Procurement Services Pty Ltd</t>
        </is>
      </c>
      <c r="B12" t="inlineStr">
        <is>
          <t>Fortescue Ltd</t>
        </is>
      </c>
      <c r="C12" t="inlineStr">
        <is>
          <t>FMG.AX</t>
        </is>
      </c>
      <c r="D12" t="inlineStr">
        <is>
          <t>ASX</t>
        </is>
      </c>
      <c r="E12" t="inlineStr">
        <is>
          <t>AUD</t>
        </is>
      </c>
      <c r="F12" t="inlineStr">
        <is>
          <t>Wholly owned subsidiary</t>
        </is>
      </c>
    </row>
    <row r="13">
      <c r="A13" t="inlineStr">
        <is>
          <t>Freeport McMoRan Inc. - Corporate Acc.</t>
        </is>
      </c>
      <c r="B13" t="inlineStr">
        <is>
          <t>Freeport-McMoRan Inc</t>
        </is>
      </c>
      <c r="C13" t="inlineStr">
        <is>
          <t>FCX</t>
        </is>
      </c>
      <c r="D13" t="inlineStr">
        <is>
          <t>NYSE</t>
        </is>
      </c>
      <c r="E13" t="inlineStr">
        <is>
          <t>USD</t>
        </is>
      </c>
      <c r="F13" t="inlineStr"/>
    </row>
    <row r="14">
      <c r="A14" t="inlineStr">
        <is>
          <t>Fresnillo Chile SPA</t>
        </is>
      </c>
      <c r="B14" t="inlineStr">
        <is>
          <t>Fresnillo plc</t>
        </is>
      </c>
      <c r="C14" t="inlineStr">
        <is>
          <t>FRES.L</t>
        </is>
      </c>
      <c r="D14" t="inlineStr">
        <is>
          <t>LSE</t>
        </is>
      </c>
      <c r="E14" t="inlineStr">
        <is>
          <t>GBp</t>
        </is>
      </c>
      <c r="F14" t="inlineStr">
        <is>
          <t>Wholly owned subsidiary</t>
        </is>
      </c>
    </row>
    <row r="15">
      <c r="A15" t="inlineStr">
        <is>
          <t>Greenstone Gold Mines</t>
        </is>
      </c>
      <c r="B15" t="inlineStr">
        <is>
          <t>Equinox Gold Corp</t>
        </is>
      </c>
      <c r="C15" t="inlineStr">
        <is>
          <t>EQX</t>
        </is>
      </c>
      <c r="D15" t="inlineStr">
        <is>
          <t>NYSE American</t>
        </is>
      </c>
      <c r="E15" t="inlineStr">
        <is>
          <t>USD</t>
        </is>
      </c>
      <c r="F15" t="inlineStr">
        <is>
          <t>Equinox 100% since 2024 (earlier Premier Gold/Centerra/Orion JV)</t>
        </is>
      </c>
    </row>
    <row r="16">
      <c r="A16" t="inlineStr">
        <is>
          <t>Industrial Minera Mexico S.A. de C.V.</t>
        </is>
      </c>
      <c r="B16" t="inlineStr">
        <is>
          <t>Southern Copper Corp</t>
        </is>
      </c>
      <c r="C16" t="inlineStr">
        <is>
          <t>SCCO</t>
        </is>
      </c>
      <c r="D16" t="inlineStr">
        <is>
          <t>NYSE</t>
        </is>
      </c>
      <c r="E16" t="inlineStr">
        <is>
          <t>USD</t>
        </is>
      </c>
      <c r="F16" t="inlineStr">
        <is>
          <t>Part of Minera Mexico (Southern Copper / Grupo Mexico)</t>
        </is>
      </c>
    </row>
    <row r="17">
      <c r="A17" t="inlineStr">
        <is>
          <t>Lundin Mining Corporation</t>
        </is>
      </c>
      <c r="B17" t="inlineStr">
        <is>
          <t>Lundin Mining Corp</t>
        </is>
      </c>
      <c r="C17" t="inlineStr">
        <is>
          <t>LUN.TO</t>
        </is>
      </c>
      <c r="D17" t="inlineStr">
        <is>
          <t>TSX</t>
        </is>
      </c>
      <c r="E17" t="inlineStr">
        <is>
          <t>CAD</t>
        </is>
      </c>
      <c r="F17" t="inlineStr"/>
    </row>
    <row r="18">
      <c r="A18" t="inlineStr">
        <is>
          <t>Luossavaara-Kiirunavaara AB</t>
        </is>
      </c>
      <c r="B18" t="inlineStr"/>
      <c r="C18" t="inlineStr"/>
      <c r="D18" t="inlineStr"/>
      <c r="E18" t="inlineStr"/>
      <c r="F18" t="inlineStr">
        <is>
          <t>LKAB - state-owned (Sweden) - no listed shares</t>
        </is>
      </c>
    </row>
    <row r="19">
      <c r="A19" t="inlineStr">
        <is>
          <t>Maaden - Exploration</t>
        </is>
      </c>
      <c r="B19" t="inlineStr">
        <is>
          <t>Saudi Arabian Mining Co (Maaden)</t>
        </is>
      </c>
      <c r="C19" t="inlineStr">
        <is>
          <t>1211.SR</t>
        </is>
      </c>
      <c r="D19" t="inlineStr">
        <is>
          <t>Tadawul</t>
        </is>
      </c>
      <c r="E19" t="inlineStr">
        <is>
          <t>SAR</t>
        </is>
      </c>
      <c r="F19" t="inlineStr"/>
    </row>
    <row r="20">
      <c r="A20" t="inlineStr">
        <is>
          <t>MIM - a Glencore Company</t>
        </is>
      </c>
      <c r="B20" t="inlineStr">
        <is>
          <t>Glencore plc</t>
        </is>
      </c>
      <c r="C20" t="inlineStr">
        <is>
          <t>GLEN.L</t>
        </is>
      </c>
      <c r="D20" t="inlineStr">
        <is>
          <t>LSE</t>
        </is>
      </c>
      <c r="E20" t="inlineStr">
        <is>
          <t>GBp</t>
        </is>
      </c>
      <c r="F20" t="inlineStr">
        <is>
          <t>Mount Isa Mines - wholly owned</t>
        </is>
      </c>
    </row>
    <row r="21">
      <c r="A21" t="inlineStr">
        <is>
          <t>Minera Escondida Ltda</t>
        </is>
      </c>
      <c r="B21" t="inlineStr">
        <is>
          <t>BHP Group Ltd</t>
        </is>
      </c>
      <c r="C21" t="inlineStr">
        <is>
          <t>BHP.AX</t>
        </is>
      </c>
      <c r="D21" t="inlineStr">
        <is>
          <t>ASX</t>
        </is>
      </c>
      <c r="E21" t="inlineStr">
        <is>
          <t>AUD</t>
        </is>
      </c>
      <c r="F21" t="inlineStr">
        <is>
          <t>BHP 57.5% / Rio Tinto 30% / JECO 12.5%</t>
        </is>
      </c>
    </row>
    <row r="22">
      <c r="A22" t="inlineStr">
        <is>
          <t>Mineral Resources Limited</t>
        </is>
      </c>
      <c r="B22" t="inlineStr">
        <is>
          <t>Mineral Resources Ltd</t>
        </is>
      </c>
      <c r="C22" t="inlineStr">
        <is>
          <t>MIN.AX</t>
        </is>
      </c>
      <c r="D22" t="inlineStr">
        <is>
          <t>ASX</t>
        </is>
      </c>
      <c r="E22" t="inlineStr">
        <is>
          <t>AUD</t>
        </is>
      </c>
      <c r="F22" t="inlineStr"/>
    </row>
    <row r="23">
      <c r="A23" t="inlineStr">
        <is>
          <t>MMG</t>
        </is>
      </c>
      <c r="B23" t="inlineStr">
        <is>
          <t>MMG Ltd</t>
        </is>
      </c>
      <c r="C23" t="inlineStr">
        <is>
          <t>1208.HK</t>
        </is>
      </c>
      <c r="D23" t="inlineStr">
        <is>
          <t>HKEX</t>
        </is>
      </c>
      <c r="E23" t="inlineStr">
        <is>
          <t>HKD</t>
        </is>
      </c>
      <c r="F23" t="inlineStr"/>
    </row>
    <row r="24">
      <c r="A24" t="inlineStr">
        <is>
          <t>Newmont Goldcorp Services Pty Ltd</t>
        </is>
      </c>
      <c r="B24" t="inlineStr">
        <is>
          <t>Newmont Corp</t>
        </is>
      </c>
      <c r="C24" t="inlineStr">
        <is>
          <t>NEM</t>
        </is>
      </c>
      <c r="D24" t="inlineStr">
        <is>
          <t>NYSE</t>
        </is>
      </c>
      <c r="E24" t="inlineStr">
        <is>
          <t>USD</t>
        </is>
      </c>
      <c r="F24" t="inlineStr">
        <is>
          <t>Wholly owned subsidiary</t>
        </is>
      </c>
    </row>
    <row r="25">
      <c r="A25" t="inlineStr">
        <is>
          <t>NEXA RECURSOS MINERAIS S/A</t>
        </is>
      </c>
      <c r="B25" t="inlineStr">
        <is>
          <t>Nexa Resources SA</t>
        </is>
      </c>
      <c r="C25" t="inlineStr">
        <is>
          <t>NEXA</t>
        </is>
      </c>
      <c r="D25" t="inlineStr">
        <is>
          <t>NYSE</t>
        </is>
      </c>
      <c r="E25" t="inlineStr">
        <is>
          <t>USD</t>
        </is>
      </c>
      <c r="F25" t="inlineStr">
        <is>
          <t>Listed Oct 2017</t>
        </is>
      </c>
    </row>
    <row r="26">
      <c r="A26" t="inlineStr">
        <is>
          <t>Northern Star Resources Limited</t>
        </is>
      </c>
      <c r="B26" t="inlineStr">
        <is>
          <t>Northern Star Resources Ltd</t>
        </is>
      </c>
      <c r="C26" t="inlineStr">
        <is>
          <t>NST.AX</t>
        </is>
      </c>
      <c r="D26" t="inlineStr">
        <is>
          <t>ASX</t>
        </is>
      </c>
      <c r="E26" t="inlineStr">
        <is>
          <t>AUD</t>
        </is>
      </c>
      <c r="F26" t="inlineStr"/>
    </row>
    <row r="27">
      <c r="A27" t="inlineStr">
        <is>
          <t>PT Vale Indonesia TBK</t>
        </is>
      </c>
      <c r="B27" t="inlineStr">
        <is>
          <t>PT Vale Indonesia Tbk</t>
        </is>
      </c>
      <c r="C27" t="inlineStr">
        <is>
          <t>INCO.JK</t>
        </is>
      </c>
      <c r="D27" t="inlineStr">
        <is>
          <t>IDX</t>
        </is>
      </c>
      <c r="E27" t="inlineStr">
        <is>
          <t>IDR</t>
        </is>
      </c>
      <c r="F27" t="inlineStr"/>
    </row>
    <row r="28">
      <c r="A28" t="inlineStr">
        <is>
          <t>PT Vale Indonesia TBK, OPG Tech Dept.</t>
        </is>
      </c>
      <c r="B28" t="inlineStr">
        <is>
          <t>PT Vale Indonesia Tbk</t>
        </is>
      </c>
      <c r="C28" t="inlineStr">
        <is>
          <t>INCO.JK</t>
        </is>
      </c>
      <c r="D28" t="inlineStr">
        <is>
          <t>IDX</t>
        </is>
      </c>
      <c r="E28" t="inlineStr">
        <is>
          <t>IDR</t>
        </is>
      </c>
      <c r="F28" t="inlineStr"/>
    </row>
    <row r="29">
      <c r="A29" t="inlineStr">
        <is>
          <t>Rio Tinto IS&amp;T Asia Pacific</t>
        </is>
      </c>
      <c r="B29" t="inlineStr">
        <is>
          <t>Rio Tinto plc</t>
        </is>
      </c>
      <c r="C29" t="inlineStr">
        <is>
          <t>RIO.L</t>
        </is>
      </c>
      <c r="D29" t="inlineStr">
        <is>
          <t>LSE</t>
        </is>
      </c>
      <c r="E29" t="inlineStr">
        <is>
          <t>GBp</t>
        </is>
      </c>
      <c r="F29" t="inlineStr">
        <is>
          <t>Wholly owned subsidiary</t>
        </is>
      </c>
    </row>
    <row r="30">
      <c r="A30" t="inlineStr">
        <is>
          <t>SGC - Servicio Geologico da Colombia</t>
        </is>
      </c>
      <c r="B30" t="inlineStr"/>
      <c r="C30" t="inlineStr"/>
      <c r="D30" t="inlineStr"/>
      <c r="E30" t="inlineStr"/>
      <c r="F30" t="inlineStr">
        <is>
          <t>Government agency (Colombia) - no shares</t>
        </is>
      </c>
    </row>
    <row r="31">
      <c r="A31" t="inlineStr">
        <is>
          <t>VALE S.A.</t>
        </is>
      </c>
      <c r="B31" t="inlineStr">
        <is>
          <t>Vale SA</t>
        </is>
      </c>
      <c r="C31" t="inlineStr">
        <is>
          <t>VALE3.SA</t>
        </is>
      </c>
      <c r="D31" t="inlineStr">
        <is>
          <t>B3</t>
        </is>
      </c>
      <c r="E31" t="inlineStr">
        <is>
          <t>BRL</t>
        </is>
      </c>
      <c r="F31" t="inlineStr"/>
    </row>
    <row r="32">
      <c r="A32" t="inlineStr">
        <is>
          <t>Vale S/A</t>
        </is>
      </c>
      <c r="B32" t="inlineStr">
        <is>
          <t>Vale SA</t>
        </is>
      </c>
      <c r="C32" t="inlineStr">
        <is>
          <t>VALE3.SA</t>
        </is>
      </c>
      <c r="D32" t="inlineStr">
        <is>
          <t>B3</t>
        </is>
      </c>
      <c r="E32" t="inlineStr">
        <is>
          <t>BRL</t>
        </is>
      </c>
      <c r="F32" t="inlineStr"/>
    </row>
    <row r="33">
      <c r="A33" t="inlineStr">
        <is>
          <t>Zangge Mining Co., Ltd</t>
        </is>
      </c>
      <c r="B33" t="inlineStr">
        <is>
          <t>Zangge Mining Co Ltd</t>
        </is>
      </c>
      <c r="C33" t="inlineStr">
        <is>
          <t>000408.SZ</t>
        </is>
      </c>
      <c r="D33" t="inlineStr">
        <is>
          <t>SZSE</t>
        </is>
      </c>
      <c r="E33" t="inlineStr">
        <is>
          <t>CNY</t>
        </is>
      </c>
      <c r="F33" t="inlineStr"/>
    </row>
    <row r="34">
      <c r="A34" t="inlineStr">
        <is>
          <t>Zijin Mining Corporation Co.,Ltd</t>
        </is>
      </c>
      <c r="B34" t="inlineStr">
        <is>
          <t>Zijin Mining Group Co Ltd</t>
        </is>
      </c>
      <c r="C34" t="inlineStr">
        <is>
          <t>2899.HK</t>
        </is>
      </c>
      <c r="D34" t="inlineStr">
        <is>
          <t>HKEX</t>
        </is>
      </c>
      <c r="E34" t="inlineStr">
        <is>
          <t>HKD</t>
        </is>
      </c>
      <c r="F34" t="inlineStr">
        <is>
          <t>H-shares; A-shares are 601899.SS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fiscal year ends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</row>
    <row r="2">
      <c r="A2" t="inlineStr">
        <is>
          <t>000408.SZ</t>
        </is>
      </c>
      <c r="B2" t="inlineStr">
        <is>
          <t>Zangge Mining Co Ltd</t>
        </is>
      </c>
      <c r="C2" t="inlineStr">
        <is>
          <t>CNY</t>
        </is>
      </c>
      <c r="D2" t="inlineStr">
        <is>
          <t>31 Dec</t>
        </is>
      </c>
      <c r="I2" s="2" t="n">
        <v>3622.59</v>
      </c>
      <c r="J2" s="2" t="n">
        <v>8193.91</v>
      </c>
      <c r="K2" s="2" t="n">
        <v>5225.72</v>
      </c>
      <c r="L2" s="2" t="n">
        <v>3250.8</v>
      </c>
      <c r="M2" s="2" t="n">
        <v>3576.75</v>
      </c>
    </row>
    <row r="3">
      <c r="A3" t="inlineStr">
        <is>
          <t>1208.HK</t>
        </is>
      </c>
      <c r="B3" t="inlineStr">
        <is>
          <t>MMG Ltd</t>
        </is>
      </c>
      <c r="C3" t="inlineStr">
        <is>
          <t>USD</t>
        </is>
      </c>
      <c r="D3" t="inlineStr">
        <is>
          <t>31 Dec</t>
        </is>
      </c>
      <c r="I3" s="2" t="n">
        <v>4252.7</v>
      </c>
      <c r="J3" s="2" t="n">
        <v>3254.2</v>
      </c>
      <c r="K3" s="2" t="n">
        <v>4346.5</v>
      </c>
      <c r="L3" s="2" t="n">
        <v>4479.2</v>
      </c>
      <c r="M3" s="2" t="n">
        <v>6218</v>
      </c>
    </row>
    <row r="4">
      <c r="A4" t="inlineStr">
        <is>
          <t>1211.SR</t>
        </is>
      </c>
      <c r="B4" t="inlineStr">
        <is>
          <t>Saudi Arabian Mining Co (Maaden)</t>
        </is>
      </c>
      <c r="C4" t="inlineStr">
        <is>
          <t>SAR</t>
        </is>
      </c>
      <c r="D4" t="inlineStr">
        <is>
          <t>31 Dec</t>
        </is>
      </c>
      <c r="I4" s="2" t="n">
        <v>26769.01</v>
      </c>
      <c r="J4" s="2" t="n">
        <v>40277.12</v>
      </c>
      <c r="K4" s="2" t="n">
        <v>29271.93</v>
      </c>
      <c r="L4" s="2" t="n">
        <v>32546.16</v>
      </c>
      <c r="M4" s="2" t="n">
        <v>38577.73</v>
      </c>
    </row>
    <row r="5">
      <c r="A5" t="inlineStr">
        <is>
          <t>2899.HK</t>
        </is>
      </c>
      <c r="B5" t="inlineStr">
        <is>
          <t>Zijin Mining Group Co Ltd</t>
        </is>
      </c>
      <c r="C5" t="inlineStr">
        <is>
          <t>CNY</t>
        </is>
      </c>
      <c r="D5" t="inlineStr">
        <is>
          <t>31 Dec</t>
        </is>
      </c>
      <c r="J5" s="2" t="n">
        <v>270329</v>
      </c>
      <c r="K5" s="2" t="n">
        <v>293403.24</v>
      </c>
      <c r="L5" s="2" t="n">
        <v>303639.96</v>
      </c>
      <c r="M5" s="2" t="n">
        <v>349079.08</v>
      </c>
    </row>
    <row r="6">
      <c r="A6" t="inlineStr">
        <is>
          <t>AAL.L</t>
        </is>
      </c>
      <c r="B6" t="inlineStr">
        <is>
          <t>Anglo American plc</t>
        </is>
      </c>
      <c r="C6" t="inlineStr">
        <is>
          <t>USD</t>
        </is>
      </c>
      <c r="D6" t="inlineStr">
        <is>
          <t>31 Dec</t>
        </is>
      </c>
      <c r="I6" s="2" t="n">
        <v>41554</v>
      </c>
      <c r="J6" s="2" t="n">
        <v>35118</v>
      </c>
      <c r="K6" s="2" t="n">
        <v>30652</v>
      </c>
      <c r="L6" s="2" t="n">
        <v>17745</v>
      </c>
      <c r="M6" s="2" t="n">
        <v>18546</v>
      </c>
    </row>
    <row r="7">
      <c r="A7" t="inlineStr">
        <is>
          <t>AEM</t>
        </is>
      </c>
      <c r="B7" t="inlineStr">
        <is>
          <t>Agnico Eagle Mines Ltd</t>
        </is>
      </c>
      <c r="C7" t="inlineStr">
        <is>
          <t>USD</t>
        </is>
      </c>
      <c r="D7" t="inlineStr">
        <is>
          <t>31 Dec</t>
        </is>
      </c>
      <c r="I7" s="2" t="n">
        <v>3869.62</v>
      </c>
      <c r="J7" s="2" t="n">
        <v>5741.16</v>
      </c>
      <c r="K7" s="2" t="n">
        <v>6626.91</v>
      </c>
      <c r="L7" s="2" t="n">
        <v>8285.75</v>
      </c>
      <c r="M7" s="2" t="n">
        <v>11907.85</v>
      </c>
    </row>
    <row r="8">
      <c r="A8" t="inlineStr">
        <is>
          <t>B</t>
        </is>
      </c>
      <c r="B8" t="inlineStr">
        <is>
          <t>Barrick Mining Corp</t>
        </is>
      </c>
      <c r="C8" t="inlineStr">
        <is>
          <t>USD</t>
        </is>
      </c>
      <c r="D8" t="inlineStr">
        <is>
          <t>31 Dec</t>
        </is>
      </c>
      <c r="I8" s="2" t="n">
        <v>11985</v>
      </c>
      <c r="J8" s="2" t="n">
        <v>11013</v>
      </c>
      <c r="K8" s="2" t="n">
        <v>11397</v>
      </c>
      <c r="L8" s="2" t="n">
        <v>12922</v>
      </c>
      <c r="M8" s="2" t="n">
        <v>16956</v>
      </c>
    </row>
    <row r="9">
      <c r="A9" t="inlineStr">
        <is>
          <t>BHP.AX</t>
        </is>
      </c>
      <c r="B9" t="inlineStr">
        <is>
          <t>BHP Group Ltd</t>
        </is>
      </c>
      <c r="C9" t="inlineStr">
        <is>
          <t>USD</t>
        </is>
      </c>
      <c r="D9" t="inlineStr">
        <is>
          <t>30 Jun</t>
        </is>
      </c>
      <c r="J9" s="2" t="n">
        <v>65098</v>
      </c>
      <c r="K9" s="2" t="n">
        <v>53817</v>
      </c>
      <c r="L9" s="2" t="n">
        <v>55658</v>
      </c>
      <c r="M9" s="2" t="n">
        <v>51262</v>
      </c>
      <c r="N9" s="2" t="n">
        <v>58760</v>
      </c>
    </row>
    <row r="10">
      <c r="A10" t="inlineStr">
        <is>
          <t>EQX</t>
        </is>
      </c>
      <c r="B10" t="inlineStr">
        <is>
          <t>Equinox Gold Corp</t>
        </is>
      </c>
      <c r="C10" t="inlineStr">
        <is>
          <t>USD</t>
        </is>
      </c>
      <c r="D10" t="inlineStr">
        <is>
          <t>31 Dec</t>
        </is>
      </c>
      <c r="I10" s="2" t="n">
        <v>1082.29</v>
      </c>
      <c r="J10" s="2" t="n">
        <v>952.2</v>
      </c>
      <c r="K10" s="2" t="n">
        <v>1088.19</v>
      </c>
      <c r="L10" s="2" t="n">
        <v>912.84</v>
      </c>
      <c r="M10" s="2" t="n">
        <v>1817.19</v>
      </c>
    </row>
    <row r="11">
      <c r="A11" t="inlineStr">
        <is>
          <t>EVN.AX</t>
        </is>
      </c>
      <c r="B11" t="inlineStr">
        <is>
          <t>Evolution Mining Ltd</t>
        </is>
      </c>
      <c r="C11" t="inlineStr">
        <is>
          <t>AUD</t>
        </is>
      </c>
      <c r="D11" t="inlineStr">
        <is>
          <t>30 Jun</t>
        </is>
      </c>
      <c r="J11" s="2" t="n">
        <v>2064.93</v>
      </c>
      <c r="K11" s="2" t="n">
        <v>2226.93</v>
      </c>
      <c r="L11" s="2" t="n">
        <v>3215.83</v>
      </c>
      <c r="M11" s="2" t="n">
        <v>4351.48</v>
      </c>
      <c r="N11" s="2" t="n">
        <v>5558.77</v>
      </c>
    </row>
    <row r="12">
      <c r="A12" t="inlineStr">
        <is>
          <t>FCX</t>
        </is>
      </c>
      <c r="B12" t="inlineStr">
        <is>
          <t>Freeport-McMoRan Inc</t>
        </is>
      </c>
      <c r="C12" t="inlineStr">
        <is>
          <t>USD</t>
        </is>
      </c>
      <c r="D12" t="inlineStr">
        <is>
          <t>31 Dec</t>
        </is>
      </c>
      <c r="I12" s="2" t="n">
        <v>22845</v>
      </c>
      <c r="J12" s="2" t="n">
        <v>22780</v>
      </c>
      <c r="K12" s="2" t="n">
        <v>22855</v>
      </c>
      <c r="L12" s="2" t="n">
        <v>25455</v>
      </c>
      <c r="M12" s="2" t="n">
        <v>25915</v>
      </c>
    </row>
    <row r="13">
      <c r="A13" t="inlineStr">
        <is>
          <t>FMG.AX</t>
        </is>
      </c>
      <c r="B13" t="inlineStr">
        <is>
          <t>Fortescue Ltd</t>
        </is>
      </c>
      <c r="C13" t="inlineStr">
        <is>
          <t>USD</t>
        </is>
      </c>
      <c r="D13" t="inlineStr">
        <is>
          <t>30 Jun</t>
        </is>
      </c>
      <c r="J13" s="2" t="n">
        <v>17390</v>
      </c>
      <c r="K13" s="2" t="n">
        <v>16871</v>
      </c>
      <c r="L13" s="2" t="n">
        <v>18220</v>
      </c>
      <c r="M13" s="2" t="n">
        <v>15541</v>
      </c>
      <c r="N13" s="2" t="n">
        <v>16966</v>
      </c>
    </row>
    <row r="14">
      <c r="A14" t="inlineStr">
        <is>
          <t>FRES.L</t>
        </is>
      </c>
      <c r="B14" t="inlineStr">
        <is>
          <t>Fresnillo plc</t>
        </is>
      </c>
      <c r="C14" t="inlineStr">
        <is>
          <t>USD</t>
        </is>
      </c>
      <c r="D14" t="inlineStr">
        <is>
          <t>31 Dec</t>
        </is>
      </c>
      <c r="I14" s="2" t="n">
        <v>2703.09</v>
      </c>
      <c r="J14" s="2" t="n">
        <v>2432.99</v>
      </c>
      <c r="K14" s="2" t="n">
        <v>2705.09</v>
      </c>
      <c r="L14" s="2" t="n">
        <v>3496.39</v>
      </c>
      <c r="M14" s="2" t="n">
        <v>4561.23</v>
      </c>
    </row>
    <row r="15">
      <c r="A15" t="inlineStr">
        <is>
          <t>GLEN.L</t>
        </is>
      </c>
      <c r="B15" t="inlineStr">
        <is>
          <t>Glencore plc</t>
        </is>
      </c>
      <c r="C15" t="inlineStr">
        <is>
          <t>USD</t>
        </is>
      </c>
      <c r="D15" t="inlineStr">
        <is>
          <t>31 Dec</t>
        </is>
      </c>
      <c r="I15" s="2" t="n">
        <v>203751</v>
      </c>
      <c r="J15" s="2" t="n">
        <v>255984</v>
      </c>
      <c r="K15" s="2" t="n">
        <v>217829</v>
      </c>
      <c r="L15" s="2" t="n">
        <v>230944</v>
      </c>
      <c r="M15" s="2" t="n">
        <v>247535</v>
      </c>
    </row>
    <row r="16">
      <c r="A16" t="inlineStr">
        <is>
          <t>GMEXICOB.MX</t>
        </is>
      </c>
      <c r="B16" t="inlineStr">
        <is>
          <t>Grupo Mexico SAB de CV</t>
        </is>
      </c>
      <c r="C16" t="inlineStr">
        <is>
          <t>USD</t>
        </is>
      </c>
      <c r="D16" t="inlineStr">
        <is>
          <t>31 Dec</t>
        </is>
      </c>
      <c r="J16" s="2" t="n">
        <v>13870.31</v>
      </c>
      <c r="K16" s="2" t="n">
        <v>14366.9</v>
      </c>
      <c r="L16" s="2" t="n">
        <v>16169.45</v>
      </c>
      <c r="M16" s="2" t="n">
        <v>18176.71</v>
      </c>
    </row>
    <row r="17">
      <c r="A17" t="inlineStr">
        <is>
          <t>INCO.JK</t>
        </is>
      </c>
      <c r="B17" t="inlineStr">
        <is>
          <t>PT Vale Indonesia Tbk</t>
        </is>
      </c>
      <c r="C17" t="inlineStr">
        <is>
          <t>USD</t>
        </is>
      </c>
      <c r="D17" t="inlineStr">
        <is>
          <t>31 Dec</t>
        </is>
      </c>
      <c r="I17" s="2" t="n">
        <v>953.17</v>
      </c>
      <c r="J17" s="2" t="n">
        <v>1179.45</v>
      </c>
      <c r="K17" s="2" t="n">
        <v>1232.26</v>
      </c>
      <c r="L17" s="2" t="n">
        <v>950.39</v>
      </c>
      <c r="M17" s="2" t="n">
        <v>990.2</v>
      </c>
    </row>
    <row r="18">
      <c r="A18" t="inlineStr">
        <is>
          <t>LUN.TO</t>
        </is>
      </c>
      <c r="B18" t="inlineStr">
        <is>
          <t>Lundin Mining Corp</t>
        </is>
      </c>
      <c r="C18" t="inlineStr">
        <is>
          <t>USD</t>
        </is>
      </c>
      <c r="D18" t="inlineStr">
        <is>
          <t>31 Dec</t>
        </is>
      </c>
      <c r="I18" s="2" t="n">
        <v>3328.76</v>
      </c>
      <c r="J18" s="2" t="n">
        <v>3041.23</v>
      </c>
      <c r="K18" s="2" t="n">
        <v>2743.44</v>
      </c>
      <c r="L18" s="2" t="n">
        <v>3270.1</v>
      </c>
      <c r="M18" s="2" t="n">
        <v>4053.2</v>
      </c>
    </row>
    <row r="19">
      <c r="A19" t="inlineStr">
        <is>
          <t>MIN.AX</t>
        </is>
      </c>
      <c r="B19" t="inlineStr">
        <is>
          <t>Mineral Resources Ltd</t>
        </is>
      </c>
      <c r="C19" t="inlineStr">
        <is>
          <t>AUD</t>
        </is>
      </c>
      <c r="D19" t="inlineStr">
        <is>
          <t>30 Jun</t>
        </is>
      </c>
      <c r="J19" s="2" t="n">
        <v>3418</v>
      </c>
      <c r="K19" s="2" t="n">
        <v>4779</v>
      </c>
      <c r="L19" s="2" t="n">
        <v>5278</v>
      </c>
      <c r="M19" s="2" t="n">
        <v>4472</v>
      </c>
      <c r="N19" s="2" t="n">
        <v>6461</v>
      </c>
    </row>
    <row r="20">
      <c r="A20" t="inlineStr">
        <is>
          <t>MT</t>
        </is>
      </c>
      <c r="B20" t="inlineStr">
        <is>
          <t>ArcelorMittal SA</t>
        </is>
      </c>
      <c r="C20" t="inlineStr">
        <is>
          <t>USD</t>
        </is>
      </c>
      <c r="D20" t="inlineStr">
        <is>
          <t>31 Dec</t>
        </is>
      </c>
      <c r="I20" s="2" t="n">
        <v>76571</v>
      </c>
      <c r="J20" s="2" t="n">
        <v>79844</v>
      </c>
      <c r="K20" s="2" t="n">
        <v>68275</v>
      </c>
      <c r="L20" s="2" t="n">
        <v>62441</v>
      </c>
      <c r="M20" s="2" t="n">
        <v>61352</v>
      </c>
    </row>
    <row r="21">
      <c r="A21" t="inlineStr">
        <is>
          <t>NEM</t>
        </is>
      </c>
      <c r="B21" t="inlineStr">
        <is>
          <t>Newmont Corp</t>
        </is>
      </c>
      <c r="C21" t="inlineStr">
        <is>
          <t>USD</t>
        </is>
      </c>
      <c r="D21" t="inlineStr">
        <is>
          <t>31 Dec</t>
        </is>
      </c>
      <c r="I21" s="2" t="n">
        <v>12222</v>
      </c>
      <c r="J21" s="2" t="n">
        <v>11915</v>
      </c>
      <c r="K21" s="2" t="n">
        <v>11812</v>
      </c>
      <c r="L21" s="2" t="n">
        <v>18682</v>
      </c>
      <c r="M21" s="2" t="n">
        <v>22669</v>
      </c>
    </row>
    <row r="22">
      <c r="A22" t="inlineStr">
        <is>
          <t>NEXA</t>
        </is>
      </c>
      <c r="B22" t="inlineStr">
        <is>
          <t>Nexa Resources SA</t>
        </is>
      </c>
      <c r="C22" t="inlineStr">
        <is>
          <t>USD</t>
        </is>
      </c>
      <c r="D22" t="inlineStr">
        <is>
          <t>31 Dec</t>
        </is>
      </c>
      <c r="I22" s="2" t="n">
        <v>2622.11</v>
      </c>
      <c r="J22" s="2" t="n">
        <v>3033.99</v>
      </c>
      <c r="K22" s="2" t="n">
        <v>2573.23</v>
      </c>
      <c r="L22" s="2" t="n">
        <v>2766.48</v>
      </c>
      <c r="M22" s="2" t="n">
        <v>3002.05</v>
      </c>
    </row>
    <row r="23">
      <c r="A23" t="inlineStr">
        <is>
          <t>NST.AX</t>
        </is>
      </c>
      <c r="B23" t="inlineStr">
        <is>
          <t>Northern Star Resources Ltd</t>
        </is>
      </c>
      <c r="C23" t="inlineStr">
        <is>
          <t>AUD</t>
        </is>
      </c>
      <c r="D23" t="inlineStr">
        <is>
          <t>30 Jun</t>
        </is>
      </c>
      <c r="J23" s="2" t="n">
        <v>3806.3</v>
      </c>
      <c r="K23" s="2" t="n">
        <v>4131.1</v>
      </c>
      <c r="L23" s="2" t="n">
        <v>4921.2</v>
      </c>
      <c r="M23" s="2" t="n">
        <v>6414.9</v>
      </c>
      <c r="N23" s="2" t="n">
        <v>7623.1</v>
      </c>
    </row>
    <row r="24">
      <c r="A24" t="inlineStr">
        <is>
          <t>RIO.L</t>
        </is>
      </c>
      <c r="B24" t="inlineStr">
        <is>
          <t>Rio Tinto plc</t>
        </is>
      </c>
      <c r="C24" t="inlineStr">
        <is>
          <t>USD</t>
        </is>
      </c>
      <c r="D24" t="inlineStr">
        <is>
          <t>31 Dec</t>
        </is>
      </c>
      <c r="I24" s="2" t="n">
        <v>63495</v>
      </c>
      <c r="J24" s="2" t="n">
        <v>55554</v>
      </c>
      <c r="K24" s="2" t="n">
        <v>54041</v>
      </c>
      <c r="L24" s="2" t="n">
        <v>53658</v>
      </c>
      <c r="M24" s="2" t="n">
        <v>57638</v>
      </c>
    </row>
    <row r="25">
      <c r="A25" t="inlineStr">
        <is>
          <t>SCCO</t>
        </is>
      </c>
      <c r="B25" t="inlineStr">
        <is>
          <t>Southern Copper Corp</t>
        </is>
      </c>
      <c r="C25" t="inlineStr">
        <is>
          <t>USD</t>
        </is>
      </c>
      <c r="D25" t="inlineStr">
        <is>
          <t>31 Dec</t>
        </is>
      </c>
      <c r="I25" s="2" t="n">
        <v>10934.1</v>
      </c>
      <c r="J25" s="2" t="n">
        <v>10047.9</v>
      </c>
      <c r="K25" s="2" t="n">
        <v>9895.799999999999</v>
      </c>
      <c r="L25" s="2" t="n">
        <v>11433.4</v>
      </c>
      <c r="M25" s="2" t="n">
        <v>13420</v>
      </c>
    </row>
    <row r="26">
      <c r="A26" t="inlineStr">
        <is>
          <t>VALE3.SA</t>
        </is>
      </c>
      <c r="B26" t="inlineStr">
        <is>
          <t>Vale SA</t>
        </is>
      </c>
      <c r="C26" t="inlineStr">
        <is>
          <t>BRL</t>
        </is>
      </c>
      <c r="D26" t="inlineStr">
        <is>
          <t>31 Dec</t>
        </is>
      </c>
      <c r="I26" s="2" t="n">
        <v>293524</v>
      </c>
      <c r="J26" s="2" t="n">
        <v>226508</v>
      </c>
      <c r="K26" s="2" t="n">
        <v>208066</v>
      </c>
      <c r="L26" s="2" t="n">
        <v>206005</v>
      </c>
      <c r="M26" s="2" t="n">
        <v>213595</v>
      </c>
    </row>
    <row r="27"/>
    <row r="28">
      <c r="A28" s="3" t="inlineStr">
        <is>
          <t>Annual revenue in millions of the reporting currency. Column = calendar year the fiscal year ends in (fiscal years ending in January count as the previous year). Blank = no free data (free sources keep only the last ~5 fiscal years). Hover a cell for its exact period and source.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fiscal year ends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</row>
    <row r="2">
      <c r="A2" t="inlineStr">
        <is>
          <t>000408.SZ</t>
        </is>
      </c>
      <c r="B2" t="inlineStr">
        <is>
          <t>Zangge Mining Co Ltd</t>
        </is>
      </c>
      <c r="C2" t="inlineStr">
        <is>
          <t>USD</t>
        </is>
      </c>
      <c r="D2" t="inlineStr">
        <is>
          <t>31 Dec</t>
        </is>
      </c>
      <c r="I2" s="4">
        <f>IF(OR('Revenue'!I2="",'FX rate used'!I2=""),"",'Revenue'!I2/'FX rate used'!I2)</f>
        <v>561.6423829231469</v>
      </c>
      <c r="J2" s="4">
        <f>IF(OR('Revenue'!J2="",'FX rate used'!J2=""),"",'Revenue'!J2/'FX rate used'!J2)</f>
        <v>1217.6342239517553</v>
      </c>
      <c r="K2" s="4">
        <f>IF(OR('Revenue'!K2="",'FX rate used'!K2=""),"",'Revenue'!K2/'FX rate used'!K2)</f>
        <v>738.9672541907811</v>
      </c>
      <c r="L2" s="4">
        <f>IF(OR('Revenue'!L2="",'FX rate used'!L2=""),"",'Revenue'!L2/'FX rate used'!L2)</f>
        <v>452.36804401334564</v>
      </c>
      <c r="M2" s="4">
        <f>IF(OR('Revenue'!M2="",'FX rate used'!M2=""),"",'Revenue'!M2/'FX rate used'!M2)</f>
        <v>497.68526087724234</v>
      </c>
    </row>
    <row r="3">
      <c r="A3" t="inlineStr">
        <is>
          <t>1208.HK</t>
        </is>
      </c>
      <c r="B3" t="inlineStr">
        <is>
          <t>MMG Ltd</t>
        </is>
      </c>
      <c r="C3" t="inlineStr">
        <is>
          <t>USD</t>
        </is>
      </c>
      <c r="D3" t="inlineStr">
        <is>
          <t>31 Dec</t>
        </is>
      </c>
      <c r="I3" s="4">
        <f>IF(OR('Revenue'!I3="",'FX rate used'!I3=""),"",'Revenue'!I3/'FX rate used'!I3)</f>
        <v>4252.7</v>
      </c>
      <c r="J3" s="4">
        <f>IF(OR('Revenue'!J3="",'FX rate used'!J3=""),"",'Revenue'!J3/'FX rate used'!J3)</f>
        <v>3254.2</v>
      </c>
      <c r="K3" s="4">
        <f>IF(OR('Revenue'!K3="",'FX rate used'!K3=""),"",'Revenue'!K3/'FX rate used'!K3)</f>
        <v>4346.5</v>
      </c>
      <c r="L3" s="4">
        <f>IF(OR('Revenue'!L3="",'FX rate used'!L3=""),"",'Revenue'!L3/'FX rate used'!L3)</f>
        <v>4479.2</v>
      </c>
      <c r="M3" s="4">
        <f>IF(OR('Revenue'!M3="",'FX rate used'!M3=""),"",'Revenue'!M3/'FX rate used'!M3)</f>
        <v>6218.0</v>
      </c>
    </row>
    <row r="4">
      <c r="A4" t="inlineStr">
        <is>
          <t>1211.SR</t>
        </is>
      </c>
      <c r="B4" t="inlineStr">
        <is>
          <t>Saudi Arabian Mining Co (Maaden)</t>
        </is>
      </c>
      <c r="C4" t="inlineStr">
        <is>
          <t>USD</t>
        </is>
      </c>
      <c r="D4" t="inlineStr">
        <is>
          <t>31 Dec</t>
        </is>
      </c>
      <c r="I4" s="4">
        <f>IF(OR('Revenue'!I4="",'FX rate used'!I4=""),"",'Revenue'!I4/'FX rate used'!I4)</f>
        <v>7143.397330079858</v>
      </c>
      <c r="J4" s="4">
        <f>IF(OR('Revenue'!J4="",'FX rate used'!J4=""),"",'Revenue'!J4/'FX rate used'!J4)</f>
        <v>10738.019706794843</v>
      </c>
      <c r="K4" s="4">
        <f>IF(OR('Revenue'!K4="",'FX rate used'!K4=""),"",'Revenue'!K4/'FX rate used'!K4)</f>
        <v>7810.60726335914</v>
      </c>
      <c r="L4" s="4">
        <f>IF(OR('Revenue'!L4="",'FX rate used'!L4=""),"",'Revenue'!L4/'FX rate used'!L4)</f>
        <v>8684.042849534608</v>
      </c>
      <c r="M4" s="4">
        <f>IF(OR('Revenue'!M4="",'FX rate used'!M4=""),"",'Revenue'!M4/'FX rate used'!M4)</f>
        <v>10296.359363552534</v>
      </c>
    </row>
    <row r="5">
      <c r="A5" t="inlineStr">
        <is>
          <t>2899.HK</t>
        </is>
      </c>
      <c r="B5" t="inlineStr">
        <is>
          <t>Zijin Mining Group Co Ltd</t>
        </is>
      </c>
      <c r="C5" t="inlineStr">
        <is>
          <t>USD</t>
        </is>
      </c>
      <c r="D5" t="inlineStr">
        <is>
          <t>31 Dec</t>
        </is>
      </c>
      <c r="J5" s="4">
        <f>IF(OR('Revenue'!J5="",'FX rate used'!J5=""),"",'Revenue'!J5/'FX rate used'!J5)</f>
        <v>40171.52276833088</v>
      </c>
      <c r="K5" s="4">
        <f>IF(OR('Revenue'!K5="",'FX rate used'!K5=""),"",'Revenue'!K5/'FX rate used'!K5)</f>
        <v>41490.05048748857</v>
      </c>
      <c r="L5" s="4">
        <f>IF(OR('Revenue'!L5="",'FX rate used'!L5=""),"",'Revenue'!L5/'FX rate used'!L5)</f>
        <v>42253.296046970136</v>
      </c>
      <c r="M5" s="4">
        <f>IF(OR('Revenue'!M5="",'FX rate used'!M5=""),"",'Revenue'!M5/'FX rate used'!M5)</f>
        <v>48572.45068752017</v>
      </c>
    </row>
    <row r="6">
      <c r="A6" t="inlineStr">
        <is>
          <t>AAL.L</t>
        </is>
      </c>
      <c r="B6" t="inlineStr">
        <is>
          <t>Anglo American plc</t>
        </is>
      </c>
      <c r="C6" t="inlineStr">
        <is>
          <t>USD</t>
        </is>
      </c>
      <c r="D6" t="inlineStr">
        <is>
          <t>31 Dec</t>
        </is>
      </c>
      <c r="I6" s="4">
        <f>IF(OR('Revenue'!I6="",'FX rate used'!I6=""),"",'Revenue'!I6/'FX rate used'!I6)</f>
        <v>41554.0</v>
      </c>
      <c r="J6" s="4">
        <f>IF(OR('Revenue'!J6="",'FX rate used'!J6=""),"",'Revenue'!J6/'FX rate used'!J6)</f>
        <v>35118.0</v>
      </c>
      <c r="K6" s="4">
        <f>IF(OR('Revenue'!K6="",'FX rate used'!K6=""),"",'Revenue'!K6/'FX rate used'!K6)</f>
        <v>30652.0</v>
      </c>
      <c r="L6" s="4">
        <f>IF(OR('Revenue'!L6="",'FX rate used'!L6=""),"",'Revenue'!L6/'FX rate used'!L6)</f>
        <v>17745.0</v>
      </c>
      <c r="M6" s="4">
        <f>IF(OR('Revenue'!M6="",'FX rate used'!M6=""),"",'Revenue'!M6/'FX rate used'!M6)</f>
        <v>18546.0</v>
      </c>
    </row>
    <row r="7">
      <c r="A7" t="inlineStr">
        <is>
          <t>AEM</t>
        </is>
      </c>
      <c r="B7" t="inlineStr">
        <is>
          <t>Agnico Eagle Mines Ltd</t>
        </is>
      </c>
      <c r="C7" t="inlineStr">
        <is>
          <t>USD</t>
        </is>
      </c>
      <c r="D7" t="inlineStr">
        <is>
          <t>31 Dec</t>
        </is>
      </c>
      <c r="I7" s="4">
        <f>IF(OR('Revenue'!I7="",'FX rate used'!I7=""),"",'Revenue'!I7/'FX rate used'!I7)</f>
        <v>3869.62</v>
      </c>
      <c r="J7" s="4">
        <f>IF(OR('Revenue'!J7="",'FX rate used'!J7=""),"",'Revenue'!J7/'FX rate used'!J7)</f>
        <v>5741.16</v>
      </c>
      <c r="K7" s="4">
        <f>IF(OR('Revenue'!K7="",'FX rate used'!K7=""),"",'Revenue'!K7/'FX rate used'!K7)</f>
        <v>6626.91</v>
      </c>
      <c r="L7" s="4">
        <f>IF(OR('Revenue'!L7="",'FX rate used'!L7=""),"",'Revenue'!L7/'FX rate used'!L7)</f>
        <v>8285.75</v>
      </c>
      <c r="M7" s="4">
        <f>IF(OR('Revenue'!M7="",'FX rate used'!M7=""),"",'Revenue'!M7/'FX rate used'!M7)</f>
        <v>11907.85</v>
      </c>
    </row>
    <row r="8">
      <c r="A8" t="inlineStr">
        <is>
          <t>B</t>
        </is>
      </c>
      <c r="B8" t="inlineStr">
        <is>
          <t>Barrick Mining Corp</t>
        </is>
      </c>
      <c r="C8" t="inlineStr">
        <is>
          <t>USD</t>
        </is>
      </c>
      <c r="D8" t="inlineStr">
        <is>
          <t>31 Dec</t>
        </is>
      </c>
      <c r="I8" s="4">
        <f>IF(OR('Revenue'!I8="",'FX rate used'!I8=""),"",'Revenue'!I8/'FX rate used'!I8)</f>
        <v>11985.0</v>
      </c>
      <c r="J8" s="4">
        <f>IF(OR('Revenue'!J8="",'FX rate used'!J8=""),"",'Revenue'!J8/'FX rate used'!J8)</f>
        <v>11013.0</v>
      </c>
      <c r="K8" s="4">
        <f>IF(OR('Revenue'!K8="",'FX rate used'!K8=""),"",'Revenue'!K8/'FX rate used'!K8)</f>
        <v>11397.0</v>
      </c>
      <c r="L8" s="4">
        <f>IF(OR('Revenue'!L8="",'FX rate used'!L8=""),"",'Revenue'!L8/'FX rate used'!L8)</f>
        <v>12922.0</v>
      </c>
      <c r="M8" s="4">
        <f>IF(OR('Revenue'!M8="",'FX rate used'!M8=""),"",'Revenue'!M8/'FX rate used'!M8)</f>
        <v>16956.0</v>
      </c>
    </row>
    <row r="9">
      <c r="A9" t="inlineStr">
        <is>
          <t>BHP.AX</t>
        </is>
      </c>
      <c r="B9" t="inlineStr">
        <is>
          <t>BHP Group Ltd</t>
        </is>
      </c>
      <c r="C9" t="inlineStr">
        <is>
          <t>USD</t>
        </is>
      </c>
      <c r="D9" t="inlineStr">
        <is>
          <t>30 Jun</t>
        </is>
      </c>
      <c r="J9" s="4">
        <f>IF(OR('Revenue'!J9="",'FX rate used'!J9=""),"",'Revenue'!J9/'FX rate used'!J9)</f>
        <v>65098.0</v>
      </c>
      <c r="K9" s="4">
        <f>IF(OR('Revenue'!K9="",'FX rate used'!K9=""),"",'Revenue'!K9/'FX rate used'!K9)</f>
        <v>53817.0</v>
      </c>
      <c r="L9" s="4">
        <f>IF(OR('Revenue'!L9="",'FX rate used'!L9=""),"",'Revenue'!L9/'FX rate used'!L9)</f>
        <v>55658.0</v>
      </c>
      <c r="M9" s="4">
        <f>IF(OR('Revenue'!M9="",'FX rate used'!M9=""),"",'Revenue'!M9/'FX rate used'!M9)</f>
        <v>51262.0</v>
      </c>
      <c r="N9" s="4">
        <f>IF(OR('Revenue'!N9="",'FX rate used'!N9=""),"",'Revenue'!N9/'FX rate used'!N9)</f>
        <v>58760.0</v>
      </c>
    </row>
    <row r="10">
      <c r="A10" t="inlineStr">
        <is>
          <t>EQX</t>
        </is>
      </c>
      <c r="B10" t="inlineStr">
        <is>
          <t>Equinox Gold Corp</t>
        </is>
      </c>
      <c r="C10" t="inlineStr">
        <is>
          <t>USD</t>
        </is>
      </c>
      <c r="D10" t="inlineStr">
        <is>
          <t>31 Dec</t>
        </is>
      </c>
      <c r="I10" s="4">
        <f>IF(OR('Revenue'!I10="",'FX rate used'!I10=""),"",'Revenue'!I10/'FX rate used'!I10)</f>
        <v>1082.29</v>
      </c>
      <c r="J10" s="4">
        <f>IF(OR('Revenue'!J10="",'FX rate used'!J10=""),"",'Revenue'!J10/'FX rate used'!J10)</f>
        <v>952.2</v>
      </c>
      <c r="K10" s="4">
        <f>IF(OR('Revenue'!K10="",'FX rate used'!K10=""),"",'Revenue'!K10/'FX rate used'!K10)</f>
        <v>1088.19</v>
      </c>
      <c r="L10" s="4">
        <f>IF(OR('Revenue'!L10="",'FX rate used'!L10=""),"",'Revenue'!L10/'FX rate used'!L10)</f>
        <v>912.84</v>
      </c>
      <c r="M10" s="4">
        <f>IF(OR('Revenue'!M10="",'FX rate used'!M10=""),"",'Revenue'!M10/'FX rate used'!M10)</f>
        <v>1817.19</v>
      </c>
    </row>
    <row r="11">
      <c r="A11" t="inlineStr">
        <is>
          <t>EVN.AX</t>
        </is>
      </c>
      <c r="B11" t="inlineStr">
        <is>
          <t>Evolution Mining Ltd</t>
        </is>
      </c>
      <c r="C11" t="inlineStr">
        <is>
          <t>USD</t>
        </is>
      </c>
      <c r="D11" t="inlineStr">
        <is>
          <t>30 Jun</t>
        </is>
      </c>
      <c r="J11" s="4">
        <f>IF(OR('Revenue'!J11="",'FX rate used'!J11=""),"",'Revenue'!J11/'FX rate used'!J11)</f>
        <v>1498.1390523314444</v>
      </c>
      <c r="K11" s="4">
        <f>IF(OR('Revenue'!K11="",'FX rate used'!K11=""),"",'Revenue'!K11/'FX rate used'!K11)</f>
        <v>1498.3821404997768</v>
      </c>
      <c r="L11" s="4">
        <f>IF(OR('Revenue'!L11="",'FX rate used'!L11=""),"",'Revenue'!L11/'FX rate used'!L11)</f>
        <v>2108.251592745028</v>
      </c>
      <c r="M11" s="4">
        <f>IF(OR('Revenue'!M11="",'FX rate used'!M11=""),"",'Revenue'!M11/'FX rate used'!M11)</f>
        <v>2817.6791644893738</v>
      </c>
      <c r="N11" s="4">
        <f>IF(OR('Revenue'!N11="",'FX rate used'!N11=""),"",'Revenue'!N11/'FX rate used'!N11)</f>
        <v>3767.2069331945395</v>
      </c>
    </row>
    <row r="12">
      <c r="A12" t="inlineStr">
        <is>
          <t>FCX</t>
        </is>
      </c>
      <c r="B12" t="inlineStr">
        <is>
          <t>Freeport-McMoRan Inc</t>
        </is>
      </c>
      <c r="C12" t="inlineStr">
        <is>
          <t>USD</t>
        </is>
      </c>
      <c r="D12" t="inlineStr">
        <is>
          <t>31 Dec</t>
        </is>
      </c>
      <c r="I12" s="4">
        <f>IF(OR('Revenue'!I12="",'FX rate used'!I12=""),"",'Revenue'!I12/'FX rate used'!I12)</f>
        <v>22845.0</v>
      </c>
      <c r="J12" s="4">
        <f>IF(OR('Revenue'!J12="",'FX rate used'!J12=""),"",'Revenue'!J12/'FX rate used'!J12)</f>
        <v>22780.0</v>
      </c>
      <c r="K12" s="4">
        <f>IF(OR('Revenue'!K12="",'FX rate used'!K12=""),"",'Revenue'!K12/'FX rate used'!K12)</f>
        <v>22855.0</v>
      </c>
      <c r="L12" s="4">
        <f>IF(OR('Revenue'!L12="",'FX rate used'!L12=""),"",'Revenue'!L12/'FX rate used'!L12)</f>
        <v>25455.0</v>
      </c>
      <c r="M12" s="4">
        <f>IF(OR('Revenue'!M12="",'FX rate used'!M12=""),"",'Revenue'!M12/'FX rate used'!M12)</f>
        <v>25915.0</v>
      </c>
    </row>
    <row r="13">
      <c r="A13" t="inlineStr">
        <is>
          <t>FMG.AX</t>
        </is>
      </c>
      <c r="B13" t="inlineStr">
        <is>
          <t>Fortescue Ltd</t>
        </is>
      </c>
      <c r="C13" t="inlineStr">
        <is>
          <t>USD</t>
        </is>
      </c>
      <c r="D13" t="inlineStr">
        <is>
          <t>30 Jun</t>
        </is>
      </c>
      <c r="J13" s="4">
        <f>IF(OR('Revenue'!J13="",'FX rate used'!J13=""),"",'Revenue'!J13/'FX rate used'!J13)</f>
        <v>17390.0</v>
      </c>
      <c r="K13" s="4">
        <f>IF(OR('Revenue'!K13="",'FX rate used'!K13=""),"",'Revenue'!K13/'FX rate used'!K13)</f>
        <v>16871.0</v>
      </c>
      <c r="L13" s="4">
        <f>IF(OR('Revenue'!L13="",'FX rate used'!L13=""),"",'Revenue'!L13/'FX rate used'!L13)</f>
        <v>18220.0</v>
      </c>
      <c r="M13" s="4">
        <f>IF(OR('Revenue'!M13="",'FX rate used'!M13=""),"",'Revenue'!M13/'FX rate used'!M13)</f>
        <v>15541.0</v>
      </c>
      <c r="N13" s="4">
        <f>IF(OR('Revenue'!N13="",'FX rate used'!N13=""),"",'Revenue'!N13/'FX rate used'!N13)</f>
        <v>16966.0</v>
      </c>
    </row>
    <row r="14">
      <c r="A14" t="inlineStr">
        <is>
          <t>FRES.L</t>
        </is>
      </c>
      <c r="B14" t="inlineStr">
        <is>
          <t>Fresnillo plc</t>
        </is>
      </c>
      <c r="C14" t="inlineStr">
        <is>
          <t>USD</t>
        </is>
      </c>
      <c r="D14" t="inlineStr">
        <is>
          <t>31 Dec</t>
        </is>
      </c>
      <c r="I14" s="4">
        <f>IF(OR('Revenue'!I14="",'FX rate used'!I14=""),"",'Revenue'!I14/'FX rate used'!I14)</f>
        <v>2703.09</v>
      </c>
      <c r="J14" s="4">
        <f>IF(OR('Revenue'!J14="",'FX rate used'!J14=""),"",'Revenue'!J14/'FX rate used'!J14)</f>
        <v>2432.99</v>
      </c>
      <c r="K14" s="4">
        <f>IF(OR('Revenue'!K14="",'FX rate used'!K14=""),"",'Revenue'!K14/'FX rate used'!K14)</f>
        <v>2705.09</v>
      </c>
      <c r="L14" s="4">
        <f>IF(OR('Revenue'!L14="",'FX rate used'!L14=""),"",'Revenue'!L14/'FX rate used'!L14)</f>
        <v>3496.39</v>
      </c>
      <c r="M14" s="4">
        <f>IF(OR('Revenue'!M14="",'FX rate used'!M14=""),"",'Revenue'!M14/'FX rate used'!M14)</f>
        <v>4561.23</v>
      </c>
    </row>
    <row r="15">
      <c r="A15" t="inlineStr">
        <is>
          <t>GLEN.L</t>
        </is>
      </c>
      <c r="B15" t="inlineStr">
        <is>
          <t>Glencore plc</t>
        </is>
      </c>
      <c r="C15" t="inlineStr">
        <is>
          <t>USD</t>
        </is>
      </c>
      <c r="D15" t="inlineStr">
        <is>
          <t>31 Dec</t>
        </is>
      </c>
      <c r="I15" s="4">
        <f>IF(OR('Revenue'!I15="",'FX rate used'!I15=""),"",'Revenue'!I15/'FX rate used'!I15)</f>
        <v>203751.0</v>
      </c>
      <c r="J15" s="4">
        <f>IF(OR('Revenue'!J15="",'FX rate used'!J15=""),"",'Revenue'!J15/'FX rate used'!J15)</f>
        <v>255984.0</v>
      </c>
      <c r="K15" s="4">
        <f>IF(OR('Revenue'!K15="",'FX rate used'!K15=""),"",'Revenue'!K15/'FX rate used'!K15)</f>
        <v>217829.0</v>
      </c>
      <c r="L15" s="4">
        <f>IF(OR('Revenue'!L15="",'FX rate used'!L15=""),"",'Revenue'!L15/'FX rate used'!L15)</f>
        <v>230944.0</v>
      </c>
      <c r="M15" s="4">
        <f>IF(OR('Revenue'!M15="",'FX rate used'!M15=""),"",'Revenue'!M15/'FX rate used'!M15)</f>
        <v>247535.0</v>
      </c>
    </row>
    <row r="16">
      <c r="A16" t="inlineStr">
        <is>
          <t>GMEXICOB.MX</t>
        </is>
      </c>
      <c r="B16" t="inlineStr">
        <is>
          <t>Grupo Mexico SAB de CV</t>
        </is>
      </c>
      <c r="C16" t="inlineStr">
        <is>
          <t>USD</t>
        </is>
      </c>
      <c r="D16" t="inlineStr">
        <is>
          <t>31 Dec</t>
        </is>
      </c>
      <c r="J16" s="4">
        <f>IF(OR('Revenue'!J16="",'FX rate used'!J16=""),"",'Revenue'!J16/'FX rate used'!J16)</f>
        <v>13870.31</v>
      </c>
      <c r="K16" s="4">
        <f>IF(OR('Revenue'!K16="",'FX rate used'!K16=""),"",'Revenue'!K16/'FX rate used'!K16)</f>
        <v>14366.9</v>
      </c>
      <c r="L16" s="4">
        <f>IF(OR('Revenue'!L16="",'FX rate used'!L16=""),"",'Revenue'!L16/'FX rate used'!L16)</f>
        <v>16169.45</v>
      </c>
      <c r="M16" s="4">
        <f>IF(OR('Revenue'!M16="",'FX rate used'!M16=""),"",'Revenue'!M16/'FX rate used'!M16)</f>
        <v>18176.71</v>
      </c>
    </row>
    <row r="17">
      <c r="A17" t="inlineStr">
        <is>
          <t>INCO.JK</t>
        </is>
      </c>
      <c r="B17" t="inlineStr">
        <is>
          <t>PT Vale Indonesia Tbk</t>
        </is>
      </c>
      <c r="C17" t="inlineStr">
        <is>
          <t>USD</t>
        </is>
      </c>
      <c r="D17" t="inlineStr">
        <is>
          <t>31 Dec</t>
        </is>
      </c>
      <c r="I17" s="4">
        <f>IF(OR('Revenue'!I17="",'FX rate used'!I17=""),"",'Revenue'!I17/'FX rate used'!I17)</f>
        <v>953.17</v>
      </c>
      <c r="J17" s="4">
        <f>IF(OR('Revenue'!J17="",'FX rate used'!J17=""),"",'Revenue'!J17/'FX rate used'!J17)</f>
        <v>1179.45</v>
      </c>
      <c r="K17" s="4">
        <f>IF(OR('Revenue'!K17="",'FX rate used'!K17=""),"",'Revenue'!K17/'FX rate used'!K17)</f>
        <v>1232.26</v>
      </c>
      <c r="L17" s="4">
        <f>IF(OR('Revenue'!L17="",'FX rate used'!L17=""),"",'Revenue'!L17/'FX rate used'!L17)</f>
        <v>950.39</v>
      </c>
      <c r="M17" s="4">
        <f>IF(OR('Revenue'!M17="",'FX rate used'!M17=""),"",'Revenue'!M17/'FX rate used'!M17)</f>
        <v>990.2</v>
      </c>
    </row>
    <row r="18">
      <c r="A18" t="inlineStr">
        <is>
          <t>LUN.TO</t>
        </is>
      </c>
      <c r="B18" t="inlineStr">
        <is>
          <t>Lundin Mining Corp</t>
        </is>
      </c>
      <c r="C18" t="inlineStr">
        <is>
          <t>USD</t>
        </is>
      </c>
      <c r="D18" t="inlineStr">
        <is>
          <t>31 Dec</t>
        </is>
      </c>
      <c r="I18" s="4">
        <f>IF(OR('Revenue'!I18="",'FX rate used'!I18=""),"",'Revenue'!I18/'FX rate used'!I18)</f>
        <v>3328.76</v>
      </c>
      <c r="J18" s="4">
        <f>IF(OR('Revenue'!J18="",'FX rate used'!J18=""),"",'Revenue'!J18/'FX rate used'!J18)</f>
        <v>3041.23</v>
      </c>
      <c r="K18" s="4">
        <f>IF(OR('Revenue'!K18="",'FX rate used'!K18=""),"",'Revenue'!K18/'FX rate used'!K18)</f>
        <v>2743.44</v>
      </c>
      <c r="L18" s="4">
        <f>IF(OR('Revenue'!L18="",'FX rate used'!L18=""),"",'Revenue'!L18/'FX rate used'!L18)</f>
        <v>3270.1</v>
      </c>
      <c r="M18" s="4">
        <f>IF(OR('Revenue'!M18="",'FX rate used'!M18=""),"",'Revenue'!M18/'FX rate used'!M18)</f>
        <v>4053.2</v>
      </c>
    </row>
    <row r="19">
      <c r="A19" t="inlineStr">
        <is>
          <t>MIN.AX</t>
        </is>
      </c>
      <c r="B19" t="inlineStr">
        <is>
          <t>Mineral Resources Ltd</t>
        </is>
      </c>
      <c r="C19" t="inlineStr">
        <is>
          <t>USD</t>
        </is>
      </c>
      <c r="D19" t="inlineStr">
        <is>
          <t>30 Jun</t>
        </is>
      </c>
      <c r="J19" s="4">
        <f>IF(OR('Revenue'!J19="",'FX rate used'!J19=""),"",'Revenue'!J19/'FX rate used'!J19)</f>
        <v>2479.8125267533896</v>
      </c>
      <c r="K19" s="4">
        <f>IF(OR('Revenue'!K19="",'FX rate used'!K19=""),"",'Revenue'!K19/'FX rate used'!K19)</f>
        <v>3215.5336043110624</v>
      </c>
      <c r="L19" s="4">
        <f>IF(OR('Revenue'!L19="",'FX rate used'!L19=""),"",'Revenue'!L19/'FX rate used'!L19)</f>
        <v>3460.1803909125356</v>
      </c>
      <c r="M19" s="4">
        <f>IF(OR('Revenue'!M19="",'FX rate used'!M19=""),"",'Revenue'!M19/'FX rate used'!M19)</f>
        <v>2895.7185195833326</v>
      </c>
      <c r="N19" s="4">
        <f>IF(OR('Revenue'!N19="",'FX rate used'!N19=""),"",'Revenue'!N19/'FX rate used'!N19)</f>
        <v>4378.652830638778</v>
      </c>
    </row>
    <row r="20">
      <c r="A20" t="inlineStr">
        <is>
          <t>MT</t>
        </is>
      </c>
      <c r="B20" t="inlineStr">
        <is>
          <t>ArcelorMittal SA</t>
        </is>
      </c>
      <c r="C20" t="inlineStr">
        <is>
          <t>USD</t>
        </is>
      </c>
      <c r="D20" t="inlineStr">
        <is>
          <t>31 Dec</t>
        </is>
      </c>
      <c r="I20" s="4">
        <f>IF(OR('Revenue'!I20="",'FX rate used'!I20=""),"",'Revenue'!I20/'FX rate used'!I20)</f>
        <v>76571.0</v>
      </c>
      <c r="J20" s="4">
        <f>IF(OR('Revenue'!J20="",'FX rate used'!J20=""),"",'Revenue'!J20/'FX rate used'!J20)</f>
        <v>79844.0</v>
      </c>
      <c r="K20" s="4">
        <f>IF(OR('Revenue'!K20="",'FX rate used'!K20=""),"",'Revenue'!K20/'FX rate used'!K20)</f>
        <v>68275.0</v>
      </c>
      <c r="L20" s="4">
        <f>IF(OR('Revenue'!L20="",'FX rate used'!L20=""),"",'Revenue'!L20/'FX rate used'!L20)</f>
        <v>62441.0</v>
      </c>
      <c r="M20" s="4">
        <f>IF(OR('Revenue'!M20="",'FX rate used'!M20=""),"",'Revenue'!M20/'FX rate used'!M20)</f>
        <v>61352.0</v>
      </c>
    </row>
    <row r="21">
      <c r="A21" t="inlineStr">
        <is>
          <t>NEM</t>
        </is>
      </c>
      <c r="B21" t="inlineStr">
        <is>
          <t>Newmont Corp</t>
        </is>
      </c>
      <c r="C21" t="inlineStr">
        <is>
          <t>USD</t>
        </is>
      </c>
      <c r="D21" t="inlineStr">
        <is>
          <t>31 Dec</t>
        </is>
      </c>
      <c r="I21" s="4">
        <f>IF(OR('Revenue'!I21="",'FX rate used'!I21=""),"",'Revenue'!I21/'FX rate used'!I21)</f>
        <v>12222.0</v>
      </c>
      <c r="J21" s="4">
        <f>IF(OR('Revenue'!J21="",'FX rate used'!J21=""),"",'Revenue'!J21/'FX rate used'!J21)</f>
        <v>11915.0</v>
      </c>
      <c r="K21" s="4">
        <f>IF(OR('Revenue'!K21="",'FX rate used'!K21=""),"",'Revenue'!K21/'FX rate used'!K21)</f>
        <v>11812.0</v>
      </c>
      <c r="L21" s="4">
        <f>IF(OR('Revenue'!L21="",'FX rate used'!L21=""),"",'Revenue'!L21/'FX rate used'!L21)</f>
        <v>18682.0</v>
      </c>
      <c r="M21" s="4">
        <f>IF(OR('Revenue'!M21="",'FX rate used'!M21=""),"",'Revenue'!M21/'FX rate used'!M21)</f>
        <v>22669.0</v>
      </c>
    </row>
    <row r="22">
      <c r="A22" t="inlineStr">
        <is>
          <t>NEXA</t>
        </is>
      </c>
      <c r="B22" t="inlineStr">
        <is>
          <t>Nexa Resources SA</t>
        </is>
      </c>
      <c r="C22" t="inlineStr">
        <is>
          <t>USD</t>
        </is>
      </c>
      <c r="D22" t="inlineStr">
        <is>
          <t>31 Dec</t>
        </is>
      </c>
      <c r="I22" s="4">
        <f>IF(OR('Revenue'!I22="",'FX rate used'!I22=""),"",'Revenue'!I22/'FX rate used'!I22)</f>
        <v>2622.11</v>
      </c>
      <c r="J22" s="4">
        <f>IF(OR('Revenue'!J22="",'FX rate used'!J22=""),"",'Revenue'!J22/'FX rate used'!J22)</f>
        <v>3033.99</v>
      </c>
      <c r="K22" s="4">
        <f>IF(OR('Revenue'!K22="",'FX rate used'!K22=""),"",'Revenue'!K22/'FX rate used'!K22)</f>
        <v>2573.23</v>
      </c>
      <c r="L22" s="4">
        <f>IF(OR('Revenue'!L22="",'FX rate used'!L22=""),"",'Revenue'!L22/'FX rate used'!L22)</f>
        <v>2766.48</v>
      </c>
      <c r="M22" s="4">
        <f>IF(OR('Revenue'!M22="",'FX rate used'!M22=""),"",'Revenue'!M22/'FX rate used'!M22)</f>
        <v>3002.05</v>
      </c>
    </row>
    <row r="23">
      <c r="A23" t="inlineStr">
        <is>
          <t>NST.AX</t>
        </is>
      </c>
      <c r="B23" t="inlineStr">
        <is>
          <t>Northern Star Resources Ltd</t>
        </is>
      </c>
      <c r="C23" t="inlineStr">
        <is>
          <t>USD</t>
        </is>
      </c>
      <c r="D23" t="inlineStr">
        <is>
          <t>30 Jun</t>
        </is>
      </c>
      <c r="J23" s="4">
        <f>IF(OR('Revenue'!J23="",'FX rate used'!J23=""),"",'Revenue'!J23/'FX rate used'!J23)</f>
        <v>2761.530257630611</v>
      </c>
      <c r="K23" s="4">
        <f>IF(OR('Revenue'!K23="",'FX rate used'!K23=""),"",'Revenue'!K23/'FX rate used'!K23)</f>
        <v>2779.5963324480917</v>
      </c>
      <c r="L23" s="4">
        <f>IF(OR('Revenue'!L23="",'FX rate used'!L23=""),"",'Revenue'!L23/'FX rate used'!L23)</f>
        <v>3226.2674762710817</v>
      </c>
      <c r="M23" s="4">
        <f>IF(OR('Revenue'!M23="",'FX rate used'!M23=""),"",'Revenue'!M23/'FX rate used'!M23)</f>
        <v>4153.789072288711</v>
      </c>
      <c r="N23" s="4">
        <f>IF(OR('Revenue'!N23="",'FX rate used'!N23=""),"",'Revenue'!N23/'FX rate used'!N23)</f>
        <v>5166.213959641304</v>
      </c>
    </row>
    <row r="24">
      <c r="A24" t="inlineStr">
        <is>
          <t>RIO.L</t>
        </is>
      </c>
      <c r="B24" t="inlineStr">
        <is>
          <t>Rio Tinto plc</t>
        </is>
      </c>
      <c r="C24" t="inlineStr">
        <is>
          <t>USD</t>
        </is>
      </c>
      <c r="D24" t="inlineStr">
        <is>
          <t>31 Dec</t>
        </is>
      </c>
      <c r="I24" s="4">
        <f>IF(OR('Revenue'!I24="",'FX rate used'!I24=""),"",'Revenue'!I24/'FX rate used'!I24)</f>
        <v>63495.0</v>
      </c>
      <c r="J24" s="4">
        <f>IF(OR('Revenue'!J24="",'FX rate used'!J24=""),"",'Revenue'!J24/'FX rate used'!J24)</f>
        <v>55554.0</v>
      </c>
      <c r="K24" s="4">
        <f>IF(OR('Revenue'!K24="",'FX rate used'!K24=""),"",'Revenue'!K24/'FX rate used'!K24)</f>
        <v>54041.0</v>
      </c>
      <c r="L24" s="4">
        <f>IF(OR('Revenue'!L24="",'FX rate used'!L24=""),"",'Revenue'!L24/'FX rate used'!L24)</f>
        <v>53658.0</v>
      </c>
      <c r="M24" s="4">
        <f>IF(OR('Revenue'!M24="",'FX rate used'!M24=""),"",'Revenue'!M24/'FX rate used'!M24)</f>
        <v>57638.0</v>
      </c>
    </row>
    <row r="25">
      <c r="A25" t="inlineStr">
        <is>
          <t>SCCO</t>
        </is>
      </c>
      <c r="B25" t="inlineStr">
        <is>
          <t>Southern Copper Corp</t>
        </is>
      </c>
      <c r="C25" t="inlineStr">
        <is>
          <t>USD</t>
        </is>
      </c>
      <c r="D25" t="inlineStr">
        <is>
          <t>31 Dec</t>
        </is>
      </c>
      <c r="I25" s="4">
        <f>IF(OR('Revenue'!I25="",'FX rate used'!I25=""),"",'Revenue'!I25/'FX rate used'!I25)</f>
        <v>10934.1</v>
      </c>
      <c r="J25" s="4">
        <f>IF(OR('Revenue'!J25="",'FX rate used'!J25=""),"",'Revenue'!J25/'FX rate used'!J25)</f>
        <v>10047.9</v>
      </c>
      <c r="K25" s="4">
        <f>IF(OR('Revenue'!K25="",'FX rate used'!K25=""),"",'Revenue'!K25/'FX rate used'!K25)</f>
        <v>9895.8</v>
      </c>
      <c r="L25" s="4">
        <f>IF(OR('Revenue'!L25="",'FX rate used'!L25=""),"",'Revenue'!L25/'FX rate used'!L25)</f>
        <v>11433.4</v>
      </c>
      <c r="M25" s="4">
        <f>IF(OR('Revenue'!M25="",'FX rate used'!M25=""),"",'Revenue'!M25/'FX rate used'!M25)</f>
        <v>13420.0</v>
      </c>
    </row>
    <row r="26">
      <c r="A26" t="inlineStr">
        <is>
          <t>VALE3.SA</t>
        </is>
      </c>
      <c r="B26" t="inlineStr">
        <is>
          <t>Vale SA</t>
        </is>
      </c>
      <c r="C26" t="inlineStr">
        <is>
          <t>USD</t>
        </is>
      </c>
      <c r="D26" t="inlineStr">
        <is>
          <t>31 Dec</t>
        </is>
      </c>
      <c r="I26" s="4">
        <f>IF(OR('Revenue'!I26="",'FX rate used'!I26=""),"",'Revenue'!I26/'FX rate used'!I26)</f>
        <v>54417.94981796043</v>
      </c>
      <c r="J26" s="4">
        <f>IF(OR('Revenue'!J26="",'FX rate used'!J26=""),"",'Revenue'!J26/'FX rate used'!J26)</f>
        <v>43880.155033864015</v>
      </c>
      <c r="K26" s="4">
        <f>IF(OR('Revenue'!K26="",'FX rate used'!K26=""),"",'Revenue'!K26/'FX rate used'!K26)</f>
        <v>41661.285455672936</v>
      </c>
      <c r="L26" s="4">
        <f>IF(OR('Revenue'!L26="",'FX rate used'!L26=""),"",'Revenue'!L26/'FX rate used'!L26)</f>
        <v>38272.63088411162</v>
      </c>
      <c r="M26" s="4">
        <f>IF(OR('Revenue'!M26="",'FX rate used'!M26=""),"",'Revenue'!M26/'FX rate used'!M26)</f>
        <v>38225.43908832341</v>
      </c>
    </row>
    <row r="27"/>
    <row r="28">
      <c r="A28" s="3" t="inlineStr">
        <is>
          <t>Revenue / average FX rate over that fiscal year (from the 'FX rate used' tab), in USD millions.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fiscal year ends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</row>
    <row r="2">
      <c r="A2" t="inlineStr">
        <is>
          <t>000408.SZ</t>
        </is>
      </c>
      <c r="B2" t="inlineStr">
        <is>
          <t>Zangge Mining Co Ltd</t>
        </is>
      </c>
      <c r="C2" t="inlineStr">
        <is>
          <t>CNY</t>
        </is>
      </c>
      <c r="D2" t="inlineStr">
        <is>
          <t>31 Dec</t>
        </is>
      </c>
      <c r="I2" s="5" t="n">
        <v>6.449994</v>
      </c>
      <c r="J2" s="5" t="n">
        <v>6.729369</v>
      </c>
      <c r="K2" s="5" t="n">
        <v>7.071653</v>
      </c>
      <c r="L2" s="5" t="n">
        <v>7.186184</v>
      </c>
      <c r="M2" s="5" t="n">
        <v>7.186771</v>
      </c>
    </row>
    <row r="3">
      <c r="A3" t="inlineStr">
        <is>
          <t>1208.HK</t>
        </is>
      </c>
      <c r="B3" t="inlineStr">
        <is>
          <t>MMG Ltd</t>
        </is>
      </c>
      <c r="C3" t="inlineStr">
        <is>
          <t>USD</t>
        </is>
      </c>
      <c r="D3" t="inlineStr">
        <is>
          <t>31 Dec</t>
        </is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</row>
    <row r="4">
      <c r="A4" t="inlineStr">
        <is>
          <t>1211.SR</t>
        </is>
      </c>
      <c r="B4" t="inlineStr">
        <is>
          <t>Saudi Arabian Mining Co (Maaden)</t>
        </is>
      </c>
      <c r="C4" t="inlineStr">
        <is>
          <t>SAR</t>
        </is>
      </c>
      <c r="D4" t="inlineStr">
        <is>
          <t>31 Dec</t>
        </is>
      </c>
      <c r="I4" s="5" t="n">
        <v>3.747378</v>
      </c>
      <c r="J4" s="5" t="n">
        <v>3.750889</v>
      </c>
      <c r="K4" s="5" t="n">
        <v>3.747715</v>
      </c>
      <c r="L4" s="5" t="n">
        <v>3.747812</v>
      </c>
      <c r="M4" s="5" t="n">
        <v>3.746735</v>
      </c>
    </row>
    <row r="5">
      <c r="A5" t="inlineStr">
        <is>
          <t>2899.HK</t>
        </is>
      </c>
      <c r="B5" t="inlineStr">
        <is>
          <t>Zijin Mining Group Co Ltd</t>
        </is>
      </c>
      <c r="C5" t="inlineStr">
        <is>
          <t>CNY</t>
        </is>
      </c>
      <c r="D5" t="inlineStr">
        <is>
          <t>31 Dec</t>
        </is>
      </c>
      <c r="J5" s="5" t="n">
        <v>6.729369</v>
      </c>
      <c r="K5" s="5" t="n">
        <v>7.071653</v>
      </c>
      <c r="L5" s="5" t="n">
        <v>7.186184</v>
      </c>
      <c r="M5" s="5" t="n">
        <v>7.186771</v>
      </c>
    </row>
    <row r="6">
      <c r="A6" t="inlineStr">
        <is>
          <t>AAL.L</t>
        </is>
      </c>
      <c r="B6" t="inlineStr">
        <is>
          <t>Anglo American plc</t>
        </is>
      </c>
      <c r="C6" t="inlineStr">
        <is>
          <t>USD</t>
        </is>
      </c>
      <c r="D6" t="inlineStr">
        <is>
          <t>31 Dec</t>
        </is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1</v>
      </c>
    </row>
    <row r="7">
      <c r="A7" t="inlineStr">
        <is>
          <t>AEM</t>
        </is>
      </c>
      <c r="B7" t="inlineStr">
        <is>
          <t>Agnico Eagle Mines Ltd</t>
        </is>
      </c>
      <c r="C7" t="inlineStr">
        <is>
          <t>USD</t>
        </is>
      </c>
      <c r="D7" t="inlineStr">
        <is>
          <t>31 Dec</t>
        </is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</row>
    <row r="8">
      <c r="A8" t="inlineStr">
        <is>
          <t>B</t>
        </is>
      </c>
      <c r="B8" t="inlineStr">
        <is>
          <t>Barrick Mining Corp</t>
        </is>
      </c>
      <c r="C8" t="inlineStr">
        <is>
          <t>USD</t>
        </is>
      </c>
      <c r="D8" t="inlineStr">
        <is>
          <t>31 Dec</t>
        </is>
      </c>
      <c r="I8" s="5" t="n">
        <v>1</v>
      </c>
      <c r="J8" s="5" t="n">
        <v>1</v>
      </c>
      <c r="K8" s="5" t="n">
        <v>1</v>
      </c>
      <c r="L8" s="5" t="n">
        <v>1</v>
      </c>
      <c r="M8" s="5" t="n">
        <v>1</v>
      </c>
    </row>
    <row r="9">
      <c r="A9" t="inlineStr">
        <is>
          <t>BHP.AX</t>
        </is>
      </c>
      <c r="B9" t="inlineStr">
        <is>
          <t>BHP Group Ltd</t>
        </is>
      </c>
      <c r="C9" t="inlineStr">
        <is>
          <t>USD</t>
        </is>
      </c>
      <c r="D9" t="inlineStr">
        <is>
          <t>30 Jun</t>
        </is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</row>
    <row r="10">
      <c r="A10" t="inlineStr">
        <is>
          <t>EQX</t>
        </is>
      </c>
      <c r="B10" t="inlineStr">
        <is>
          <t>Equinox Gold Corp</t>
        </is>
      </c>
      <c r="C10" t="inlineStr">
        <is>
          <t>USD</t>
        </is>
      </c>
      <c r="D10" t="inlineStr">
        <is>
          <t>31 Dec</t>
        </is>
      </c>
      <c r="I10" s="5" t="n">
        <v>1</v>
      </c>
      <c r="J10" s="5" t="n">
        <v>1</v>
      </c>
      <c r="K10" s="5" t="n">
        <v>1</v>
      </c>
      <c r="L10" s="5" t="n">
        <v>1</v>
      </c>
      <c r="M10" s="5" t="n">
        <v>1</v>
      </c>
    </row>
    <row r="11">
      <c r="A11" t="inlineStr">
        <is>
          <t>EVN.AX</t>
        </is>
      </c>
      <c r="B11" t="inlineStr">
        <is>
          <t>Evolution Mining Ltd</t>
        </is>
      </c>
      <c r="C11" t="inlineStr">
        <is>
          <t>AUD</t>
        </is>
      </c>
      <c r="D11" t="inlineStr">
        <is>
          <t>30 Jun</t>
        </is>
      </c>
      <c r="J11" s="5" t="n">
        <v>1.37833</v>
      </c>
      <c r="K11" s="5" t="n">
        <v>1.486223</v>
      </c>
      <c r="L11" s="5" t="n">
        <v>1.525354</v>
      </c>
      <c r="M11" s="5" t="n">
        <v>1.544349</v>
      </c>
      <c r="N11" s="5" t="n">
        <v>1.475568</v>
      </c>
    </row>
    <row r="12">
      <c r="A12" t="inlineStr">
        <is>
          <t>FCX</t>
        </is>
      </c>
      <c r="B12" t="inlineStr">
        <is>
          <t>Freeport-McMoRan Inc</t>
        </is>
      </c>
      <c r="C12" t="inlineStr">
        <is>
          <t>USD</t>
        </is>
      </c>
      <c r="D12" t="inlineStr">
        <is>
          <t>31 Dec</t>
        </is>
      </c>
      <c r="I12" s="5" t="n">
        <v>1</v>
      </c>
      <c r="J12" s="5" t="n">
        <v>1</v>
      </c>
      <c r="K12" s="5" t="n">
        <v>1</v>
      </c>
      <c r="L12" s="5" t="n">
        <v>1</v>
      </c>
      <c r="M12" s="5" t="n">
        <v>1</v>
      </c>
    </row>
    <row r="13">
      <c r="A13" t="inlineStr">
        <is>
          <t>FMG.AX</t>
        </is>
      </c>
      <c r="B13" t="inlineStr">
        <is>
          <t>Fortescue Ltd</t>
        </is>
      </c>
      <c r="C13" t="inlineStr">
        <is>
          <t>USD</t>
        </is>
      </c>
      <c r="D13" t="inlineStr">
        <is>
          <t>30 Jun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</row>
    <row r="14">
      <c r="A14" t="inlineStr">
        <is>
          <t>FRES.L</t>
        </is>
      </c>
      <c r="B14" t="inlineStr">
        <is>
          <t>Fresnillo plc</t>
        </is>
      </c>
      <c r="C14" t="inlineStr">
        <is>
          <t>USD</t>
        </is>
      </c>
      <c r="D14" t="inlineStr">
        <is>
          <t>31 Dec</t>
        </is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1</v>
      </c>
    </row>
    <row r="15">
      <c r="A15" t="inlineStr">
        <is>
          <t>GLEN.L</t>
        </is>
      </c>
      <c r="B15" t="inlineStr">
        <is>
          <t>Glencore plc</t>
        </is>
      </c>
      <c r="C15" t="inlineStr">
        <is>
          <t>USD</t>
        </is>
      </c>
      <c r="D15" t="inlineStr">
        <is>
          <t>31 Dec</t>
        </is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</row>
    <row r="16">
      <c r="A16" t="inlineStr">
        <is>
          <t>GMEXICOB.MX</t>
        </is>
      </c>
      <c r="B16" t="inlineStr">
        <is>
          <t>Grupo Mexico SAB de CV</t>
        </is>
      </c>
      <c r="C16" t="inlineStr">
        <is>
          <t>USD</t>
        </is>
      </c>
      <c r="D16" t="inlineStr">
        <is>
          <t>31 Dec</t>
        </is>
      </c>
      <c r="J16" s="5" t="n">
        <v>1</v>
      </c>
      <c r="K16" s="5" t="n">
        <v>1</v>
      </c>
      <c r="L16" s="5" t="n">
        <v>1</v>
      </c>
      <c r="M16" s="5" t="n">
        <v>1</v>
      </c>
    </row>
    <row r="17">
      <c r="A17" t="inlineStr">
        <is>
          <t>INCO.JK</t>
        </is>
      </c>
      <c r="B17" t="inlineStr">
        <is>
          <t>PT Vale Indonesia Tbk</t>
        </is>
      </c>
      <c r="C17" t="inlineStr">
        <is>
          <t>USD</t>
        </is>
      </c>
      <c r="D17" t="inlineStr">
        <is>
          <t>31 Dec</t>
        </is>
      </c>
      <c r="I17" s="5" t="n">
        <v>1</v>
      </c>
      <c r="J17" s="5" t="n">
        <v>1</v>
      </c>
      <c r="K17" s="5" t="n">
        <v>1</v>
      </c>
      <c r="L17" s="5" t="n">
        <v>1</v>
      </c>
      <c r="M17" s="5" t="n">
        <v>1</v>
      </c>
    </row>
    <row r="18">
      <c r="A18" t="inlineStr">
        <is>
          <t>LUN.TO</t>
        </is>
      </c>
      <c r="B18" t="inlineStr">
        <is>
          <t>Lundin Mining Corp</t>
        </is>
      </c>
      <c r="C18" t="inlineStr">
        <is>
          <t>USD</t>
        </is>
      </c>
      <c r="D18" t="inlineStr">
        <is>
          <t>31 Dec</t>
        </is>
      </c>
      <c r="I18" s="5" t="n">
        <v>1</v>
      </c>
      <c r="J18" s="5" t="n">
        <v>1</v>
      </c>
      <c r="K18" s="5" t="n">
        <v>1</v>
      </c>
      <c r="L18" s="5" t="n">
        <v>1</v>
      </c>
      <c r="M18" s="5" t="n">
        <v>1</v>
      </c>
    </row>
    <row r="19">
      <c r="A19" t="inlineStr">
        <is>
          <t>MIN.AX</t>
        </is>
      </c>
      <c r="B19" t="inlineStr">
        <is>
          <t>Mineral Resources Ltd</t>
        </is>
      </c>
      <c r="C19" t="inlineStr">
        <is>
          <t>AUD</t>
        </is>
      </c>
      <c r="D19" t="inlineStr">
        <is>
          <t>30 Jun</t>
        </is>
      </c>
      <c r="J19" s="5" t="n">
        <v>1.37833</v>
      </c>
      <c r="K19" s="5" t="n">
        <v>1.486223</v>
      </c>
      <c r="L19" s="5" t="n">
        <v>1.525354</v>
      </c>
      <c r="M19" s="5" t="n">
        <v>1.544349</v>
      </c>
      <c r="N19" s="5" t="n">
        <v>1.475568</v>
      </c>
    </row>
    <row r="20">
      <c r="A20" t="inlineStr">
        <is>
          <t>MT</t>
        </is>
      </c>
      <c r="B20" t="inlineStr">
        <is>
          <t>ArcelorMittal SA</t>
        </is>
      </c>
      <c r="C20" t="inlineStr">
        <is>
          <t>USD</t>
        </is>
      </c>
      <c r="D20" t="inlineStr">
        <is>
          <t>31 Dec</t>
        </is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1</v>
      </c>
    </row>
    <row r="21">
      <c r="A21" t="inlineStr">
        <is>
          <t>NEM</t>
        </is>
      </c>
      <c r="B21" t="inlineStr">
        <is>
          <t>Newmont Corp</t>
        </is>
      </c>
      <c r="C21" t="inlineStr">
        <is>
          <t>USD</t>
        </is>
      </c>
      <c r="D21" t="inlineStr">
        <is>
          <t>31 Dec</t>
        </is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1</v>
      </c>
    </row>
    <row r="22">
      <c r="A22" t="inlineStr">
        <is>
          <t>NEXA</t>
        </is>
      </c>
      <c r="B22" t="inlineStr">
        <is>
          <t>Nexa Resources SA</t>
        </is>
      </c>
      <c r="C22" t="inlineStr">
        <is>
          <t>USD</t>
        </is>
      </c>
      <c r="D22" t="inlineStr">
        <is>
          <t>31 Dec</t>
        </is>
      </c>
      <c r="I22" s="5" t="n">
        <v>1</v>
      </c>
      <c r="J22" s="5" t="n">
        <v>1</v>
      </c>
      <c r="K22" s="5" t="n">
        <v>1</v>
      </c>
      <c r="L22" s="5" t="n">
        <v>1</v>
      </c>
      <c r="M22" s="5" t="n">
        <v>1</v>
      </c>
    </row>
    <row r="23">
      <c r="A23" t="inlineStr">
        <is>
          <t>NST.AX</t>
        </is>
      </c>
      <c r="B23" t="inlineStr">
        <is>
          <t>Northern Star Resources Ltd</t>
        </is>
      </c>
      <c r="C23" t="inlineStr">
        <is>
          <t>AUD</t>
        </is>
      </c>
      <c r="D23" t="inlineStr">
        <is>
          <t>30 Jun</t>
        </is>
      </c>
      <c r="J23" s="5" t="n">
        <v>1.37833</v>
      </c>
      <c r="K23" s="5" t="n">
        <v>1.486223</v>
      </c>
      <c r="L23" s="5" t="n">
        <v>1.525354</v>
      </c>
      <c r="M23" s="5" t="n">
        <v>1.544349</v>
      </c>
      <c r="N23" s="5" t="n">
        <v>1.475568</v>
      </c>
    </row>
    <row r="24">
      <c r="A24" t="inlineStr">
        <is>
          <t>RIO.L</t>
        </is>
      </c>
      <c r="B24" t="inlineStr">
        <is>
          <t>Rio Tinto plc</t>
        </is>
      </c>
      <c r="C24" t="inlineStr">
        <is>
          <t>USD</t>
        </is>
      </c>
      <c r="D24" t="inlineStr">
        <is>
          <t>31 Dec</t>
        </is>
      </c>
      <c r="I24" s="5" t="n">
        <v>1</v>
      </c>
      <c r="J24" s="5" t="n">
        <v>1</v>
      </c>
      <c r="K24" s="5" t="n">
        <v>1</v>
      </c>
      <c r="L24" s="5" t="n">
        <v>1</v>
      </c>
      <c r="M24" s="5" t="n">
        <v>1</v>
      </c>
    </row>
    <row r="25">
      <c r="A25" t="inlineStr">
        <is>
          <t>SCCO</t>
        </is>
      </c>
      <c r="B25" t="inlineStr">
        <is>
          <t>Southern Copper Corp</t>
        </is>
      </c>
      <c r="C25" t="inlineStr">
        <is>
          <t>USD</t>
        </is>
      </c>
      <c r="D25" t="inlineStr">
        <is>
          <t>31 Dec</t>
        </is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</row>
    <row r="26">
      <c r="A26" t="inlineStr">
        <is>
          <t>VALE3.SA</t>
        </is>
      </c>
      <c r="B26" t="inlineStr">
        <is>
          <t>Vale SA</t>
        </is>
      </c>
      <c r="C26" t="inlineStr">
        <is>
          <t>BRL</t>
        </is>
      </c>
      <c r="D26" t="inlineStr">
        <is>
          <t>31 Dec</t>
        </is>
      </c>
      <c r="I26" s="5" t="n">
        <v>5.393882</v>
      </c>
      <c r="J26" s="5" t="n">
        <v>5.161969</v>
      </c>
      <c r="K26" s="5" t="n">
        <v>4.994229</v>
      </c>
      <c r="L26" s="5" t="n">
        <v>5.382567</v>
      </c>
      <c r="M26" s="5" t="n">
        <v>5.587771</v>
      </c>
    </row>
    <row r="27"/>
    <row r="28">
      <c r="A28" s="3" t="inlineStr">
        <is>
          <t>Average units of reporting currency per 1 USD over the 12 months of each fiscal year (Yahoo FX closes).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3" max="3"/>
    <col width="16" customWidth="1" min="4" max="4"/>
    <col width="12" customWidth="1" min="5" max="5"/>
    <col width="60" customWidth="1" min="7" max="7"/>
  </cols>
  <sheetData>
    <row r="1">
      <c r="A1" s="6" t="inlineStr">
        <is>
          <t>StockAnalysis vs Yahoo Finance, same fiscal year (millions, reporting currency)</t>
        </is>
      </c>
    </row>
    <row r="2">
      <c r="A2" t="inlineStr">
        <is>
          <t>91 comparisons across 23 tickers: match: 85, explained: 4, small difference (1-5%): 2</t>
        </is>
      </c>
    </row>
    <row r="3">
      <c r="A3" t="inlineStr">
        <is>
          <t>DIFFERENT usually means one source restated the year (e.g. a sold mine moved to discontinued operations); the Revenue tab shows StockAnalysis and flags the cell.</t>
        </is>
      </c>
    </row>
    <row r="4"/>
    <row r="5">
      <c r="A5" s="1" t="inlineStr">
        <is>
          <t>ticker</t>
        </is>
      </c>
      <c r="B5" s="1" t="inlineStr">
        <is>
          <t>fiscal_year</t>
        </is>
      </c>
      <c r="C5" s="1" t="inlineStr">
        <is>
          <t>period_end</t>
        </is>
      </c>
      <c r="D5" s="1" t="inlineStr">
        <is>
          <t>stockanalysis_m</t>
        </is>
      </c>
      <c r="E5" s="1" t="inlineStr">
        <is>
          <t>yahoo_m</t>
        </is>
      </c>
      <c r="F5" s="1" t="inlineStr">
        <is>
          <t>difference_%</t>
        </is>
      </c>
      <c r="G5" s="1" t="inlineStr">
        <is>
          <t>status</t>
        </is>
      </c>
    </row>
    <row r="6">
      <c r="A6" t="inlineStr">
        <is>
          <t>VALE3.SA</t>
        </is>
      </c>
      <c r="B6" t="n">
        <v>2022</v>
      </c>
      <c r="C6" t="inlineStr">
        <is>
          <t>2022-12-31</t>
        </is>
      </c>
      <c r="D6" t="n">
        <v>226508</v>
      </c>
      <c r="E6" t="n">
        <v>43839</v>
      </c>
      <c r="F6" t="n">
        <v>416.7</v>
      </c>
      <c r="G6" t="inlineStr">
        <is>
          <t>explained: Vale reports in USD. StockAnalysis converts to BRL (used here, converted back on the USD tab); Yahoo shows the USD figures but labels them BRL.</t>
        </is>
      </c>
    </row>
    <row r="7">
      <c r="A7" t="inlineStr">
        <is>
          <t>VALE3.SA</t>
        </is>
      </c>
      <c r="B7" t="n">
        <v>2023</v>
      </c>
      <c r="C7" t="inlineStr">
        <is>
          <t>2023-12-31</t>
        </is>
      </c>
      <c r="D7" t="n">
        <v>208066</v>
      </c>
      <c r="E7" t="n">
        <v>41784</v>
      </c>
      <c r="F7" t="n">
        <v>398</v>
      </c>
      <c r="G7" t="inlineStr">
        <is>
          <t>explained: Vale reports in USD. StockAnalysis converts to BRL (used here, converted back on the USD tab); Yahoo shows the USD figures but labels them BRL.</t>
        </is>
      </c>
    </row>
    <row r="8">
      <c r="A8" t="inlineStr">
        <is>
          <t>VALE3.SA</t>
        </is>
      </c>
      <c r="B8" t="n">
        <v>2024</v>
      </c>
      <c r="C8" t="inlineStr">
        <is>
          <t>2024-12-31</t>
        </is>
      </c>
      <c r="D8" t="n">
        <v>206005</v>
      </c>
      <c r="E8" t="n">
        <v>38056</v>
      </c>
      <c r="F8" t="n">
        <v>441.3</v>
      </c>
      <c r="G8" t="inlineStr">
        <is>
          <t>explained: Vale reports in USD. StockAnalysis converts to BRL (used here, converted back on the USD tab); Yahoo shows the USD figures but labels them BRL.</t>
        </is>
      </c>
    </row>
    <row r="9">
      <c r="A9" t="inlineStr">
        <is>
          <t>VALE3.SA</t>
        </is>
      </c>
      <c r="B9" t="n">
        <v>2025</v>
      </c>
      <c r="C9" t="inlineStr">
        <is>
          <t>2025-12-31</t>
        </is>
      </c>
      <c r="D9" t="n">
        <v>213595</v>
      </c>
      <c r="E9" t="n">
        <v>38403</v>
      </c>
      <c r="F9" t="n">
        <v>456.2</v>
      </c>
      <c r="G9" t="inlineStr">
        <is>
          <t>explained: Vale reports in USD. StockAnalysis converts to BRL (used here, converted back on the USD tab); Yahoo shows the USD figures but labels them BRL.</t>
        </is>
      </c>
    </row>
    <row r="10">
      <c r="A10" t="inlineStr">
        <is>
          <t>000408.SZ</t>
        </is>
      </c>
      <c r="B10" t="n">
        <v>2022</v>
      </c>
      <c r="C10" t="inlineStr">
        <is>
          <t>2023-01-01</t>
        </is>
      </c>
      <c r="D10" t="n">
        <v>8193.9</v>
      </c>
      <c r="E10" t="n">
        <v>8193.9</v>
      </c>
      <c r="F10" t="n">
        <v>-0</v>
      </c>
      <c r="G10" t="inlineStr">
        <is>
          <t>match</t>
        </is>
      </c>
    </row>
    <row r="11">
      <c r="A11" t="inlineStr">
        <is>
          <t>000408.SZ</t>
        </is>
      </c>
      <c r="B11" t="n">
        <v>2023</v>
      </c>
      <c r="C11" t="inlineStr">
        <is>
          <t>2023-12-31</t>
        </is>
      </c>
      <c r="D11" t="n">
        <v>5225.7</v>
      </c>
      <c r="E11" t="n">
        <v>5225.7</v>
      </c>
      <c r="F11" t="n">
        <v>-0</v>
      </c>
      <c r="G11" t="inlineStr">
        <is>
          <t>match</t>
        </is>
      </c>
    </row>
    <row r="12">
      <c r="A12" t="inlineStr">
        <is>
          <t>000408.SZ</t>
        </is>
      </c>
      <c r="B12" t="n">
        <v>2024</v>
      </c>
      <c r="C12" t="inlineStr">
        <is>
          <t>2024-12-31</t>
        </is>
      </c>
      <c r="D12" t="n">
        <v>3250.8</v>
      </c>
      <c r="E12" t="n">
        <v>3250.8</v>
      </c>
      <c r="F12" t="n">
        <v>-0</v>
      </c>
      <c r="G12" t="inlineStr">
        <is>
          <t>match</t>
        </is>
      </c>
    </row>
    <row r="13">
      <c r="A13" t="inlineStr">
        <is>
          <t>000408.SZ</t>
        </is>
      </c>
      <c r="B13" t="n">
        <v>2025</v>
      </c>
      <c r="C13" t="inlineStr">
        <is>
          <t>2025-12-31</t>
        </is>
      </c>
      <c r="D13" t="n">
        <v>3576.8</v>
      </c>
      <c r="E13" t="n">
        <v>3576.8</v>
      </c>
      <c r="F13" t="n">
        <v>-0</v>
      </c>
      <c r="G13" t="inlineStr">
        <is>
          <t>match</t>
        </is>
      </c>
    </row>
    <row r="14">
      <c r="A14" t="inlineStr">
        <is>
          <t>1208.HK</t>
        </is>
      </c>
      <c r="B14" t="n">
        <v>2022</v>
      </c>
      <c r="C14" t="inlineStr">
        <is>
          <t>2022-12-31</t>
        </is>
      </c>
      <c r="D14" t="n">
        <v>3254.2</v>
      </c>
      <c r="E14" t="n">
        <v>3254.2</v>
      </c>
      <c r="F14" t="n">
        <v>0</v>
      </c>
      <c r="G14" t="inlineStr">
        <is>
          <t>match</t>
        </is>
      </c>
    </row>
    <row r="15">
      <c r="A15" t="inlineStr">
        <is>
          <t>1208.HK</t>
        </is>
      </c>
      <c r="B15" t="n">
        <v>2023</v>
      </c>
      <c r="C15" t="inlineStr">
        <is>
          <t>2023-12-31</t>
        </is>
      </c>
      <c r="D15" t="n">
        <v>4346.5</v>
      </c>
      <c r="E15" t="n">
        <v>4346.5</v>
      </c>
      <c r="F15" t="n">
        <v>0</v>
      </c>
      <c r="G15" t="inlineStr">
        <is>
          <t>match</t>
        </is>
      </c>
    </row>
    <row r="16">
      <c r="A16" t="inlineStr">
        <is>
          <t>1208.HK</t>
        </is>
      </c>
      <c r="B16" t="n">
        <v>2024</v>
      </c>
      <c r="C16" t="inlineStr">
        <is>
          <t>2024-12-31</t>
        </is>
      </c>
      <c r="D16" t="n">
        <v>4479.2</v>
      </c>
      <c r="E16" t="n">
        <v>4479.2</v>
      </c>
      <c r="F16" t="n">
        <v>0</v>
      </c>
      <c r="G16" t="inlineStr">
        <is>
          <t>match</t>
        </is>
      </c>
    </row>
    <row r="17">
      <c r="A17" t="inlineStr">
        <is>
          <t>1208.HK</t>
        </is>
      </c>
      <c r="B17" t="n">
        <v>2025</v>
      </c>
      <c r="C17" t="inlineStr">
        <is>
          <t>2025-12-31</t>
        </is>
      </c>
      <c r="D17" t="n">
        <v>6218</v>
      </c>
      <c r="E17" t="n">
        <v>6218</v>
      </c>
      <c r="F17" t="n">
        <v>0</v>
      </c>
      <c r="G17" t="inlineStr">
        <is>
          <t>match</t>
        </is>
      </c>
    </row>
    <row r="18">
      <c r="A18" t="inlineStr">
        <is>
          <t>1211.SR</t>
        </is>
      </c>
      <c r="B18" t="n">
        <v>2022</v>
      </c>
      <c r="C18" t="inlineStr">
        <is>
          <t>2022-12-31</t>
        </is>
      </c>
      <c r="D18" t="n">
        <v>40277.1</v>
      </c>
      <c r="E18" t="n">
        <v>40277.1</v>
      </c>
      <c r="F18" t="n">
        <v>0</v>
      </c>
      <c r="G18" t="inlineStr">
        <is>
          <t>match</t>
        </is>
      </c>
    </row>
    <row r="19">
      <c r="A19" t="inlineStr">
        <is>
          <t>1211.SR</t>
        </is>
      </c>
      <c r="B19" t="n">
        <v>2023</v>
      </c>
      <c r="C19" t="inlineStr">
        <is>
          <t>2023-12-31</t>
        </is>
      </c>
      <c r="D19" t="n">
        <v>29271.9</v>
      </c>
      <c r="E19" t="n">
        <v>29271.9</v>
      </c>
      <c r="F19" t="n">
        <v>0</v>
      </c>
      <c r="G19" t="inlineStr">
        <is>
          <t>match</t>
        </is>
      </c>
    </row>
    <row r="20">
      <c r="A20" t="inlineStr">
        <is>
          <t>1211.SR</t>
        </is>
      </c>
      <c r="B20" t="n">
        <v>2024</v>
      </c>
      <c r="C20" t="inlineStr">
        <is>
          <t>2024-12-31</t>
        </is>
      </c>
      <c r="D20" t="n">
        <v>32546.2</v>
      </c>
      <c r="E20" t="n">
        <v>32546.2</v>
      </c>
      <c r="F20" t="n">
        <v>0</v>
      </c>
      <c r="G20" t="inlineStr">
        <is>
          <t>match</t>
        </is>
      </c>
    </row>
    <row r="21">
      <c r="A21" t="inlineStr">
        <is>
          <t>1211.SR</t>
        </is>
      </c>
      <c r="B21" t="n">
        <v>2025</v>
      </c>
      <c r="C21" t="inlineStr">
        <is>
          <t>2025-12-31</t>
        </is>
      </c>
      <c r="D21" t="n">
        <v>38577.7</v>
      </c>
      <c r="E21" t="n">
        <v>38577.7</v>
      </c>
      <c r="F21" t="n">
        <v>0</v>
      </c>
      <c r="G21" t="inlineStr">
        <is>
          <t>match</t>
        </is>
      </c>
    </row>
    <row r="22">
      <c r="A22" t="inlineStr">
        <is>
          <t>AAL.L</t>
        </is>
      </c>
      <c r="B22" t="n">
        <v>2022</v>
      </c>
      <c r="C22" t="inlineStr">
        <is>
          <t>2022-12-31</t>
        </is>
      </c>
      <c r="D22" t="n">
        <v>35118</v>
      </c>
      <c r="E22" t="n">
        <v>35118</v>
      </c>
      <c r="F22" t="n">
        <v>0</v>
      </c>
      <c r="G22" t="inlineStr">
        <is>
          <t>match</t>
        </is>
      </c>
    </row>
    <row r="23">
      <c r="A23" t="inlineStr">
        <is>
          <t>AAL.L</t>
        </is>
      </c>
      <c r="B23" t="n">
        <v>2023</v>
      </c>
      <c r="C23" t="inlineStr">
        <is>
          <t>2023-12-31</t>
        </is>
      </c>
      <c r="D23" t="n">
        <v>30652</v>
      </c>
      <c r="E23" t="n">
        <v>30652</v>
      </c>
      <c r="F23" t="n">
        <v>0</v>
      </c>
      <c r="G23" t="inlineStr">
        <is>
          <t>match</t>
        </is>
      </c>
    </row>
    <row r="24">
      <c r="A24" t="inlineStr">
        <is>
          <t>AAL.L</t>
        </is>
      </c>
      <c r="B24" t="n">
        <v>2024</v>
      </c>
      <c r="C24" t="inlineStr">
        <is>
          <t>2024-12-31</t>
        </is>
      </c>
      <c r="D24" t="n">
        <v>17745</v>
      </c>
      <c r="E24" t="n">
        <v>17745</v>
      </c>
      <c r="F24" t="n">
        <v>0</v>
      </c>
      <c r="G24" t="inlineStr">
        <is>
          <t>match</t>
        </is>
      </c>
    </row>
    <row r="25">
      <c r="A25" t="inlineStr">
        <is>
          <t>AAL.L</t>
        </is>
      </c>
      <c r="B25" t="n">
        <v>2025</v>
      </c>
      <c r="C25" t="inlineStr">
        <is>
          <t>2025-12-31</t>
        </is>
      </c>
      <c r="D25" t="n">
        <v>18546</v>
      </c>
      <c r="E25" t="n">
        <v>18546</v>
      </c>
      <c r="F25" t="n">
        <v>0</v>
      </c>
      <c r="G25" t="inlineStr">
        <is>
          <t>match</t>
        </is>
      </c>
    </row>
    <row r="26">
      <c r="A26" t="inlineStr">
        <is>
          <t>AEM</t>
        </is>
      </c>
      <c r="B26" t="n">
        <v>2022</v>
      </c>
      <c r="C26" t="inlineStr">
        <is>
          <t>2022-12-31</t>
        </is>
      </c>
      <c r="D26" t="n">
        <v>5741.2</v>
      </c>
      <c r="E26" t="n">
        <v>5741.2</v>
      </c>
      <c r="F26" t="n">
        <v>0</v>
      </c>
      <c r="G26" t="inlineStr">
        <is>
          <t>match</t>
        </is>
      </c>
    </row>
    <row r="27">
      <c r="A27" t="inlineStr">
        <is>
          <t>AEM</t>
        </is>
      </c>
      <c r="B27" t="n">
        <v>2023</v>
      </c>
      <c r="C27" t="inlineStr">
        <is>
          <t>2023-12-31</t>
        </is>
      </c>
      <c r="D27" t="n">
        <v>6626.9</v>
      </c>
      <c r="E27" t="n">
        <v>6626.9</v>
      </c>
      <c r="F27" t="n">
        <v>0</v>
      </c>
      <c r="G27" t="inlineStr">
        <is>
          <t>match</t>
        </is>
      </c>
    </row>
    <row r="28">
      <c r="A28" t="inlineStr">
        <is>
          <t>AEM</t>
        </is>
      </c>
      <c r="B28" t="n">
        <v>2024</v>
      </c>
      <c r="C28" t="inlineStr">
        <is>
          <t>2024-12-31</t>
        </is>
      </c>
      <c r="D28" t="n">
        <v>8285.799999999999</v>
      </c>
      <c r="E28" t="n">
        <v>8285.799999999999</v>
      </c>
      <c r="F28" t="n">
        <v>0</v>
      </c>
      <c r="G28" t="inlineStr">
        <is>
          <t>match</t>
        </is>
      </c>
    </row>
    <row r="29">
      <c r="A29" t="inlineStr">
        <is>
          <t>AEM</t>
        </is>
      </c>
      <c r="B29" t="n">
        <v>2025</v>
      </c>
      <c r="C29" t="inlineStr">
        <is>
          <t>2025-12-31</t>
        </is>
      </c>
      <c r="D29" t="n">
        <v>11907.9</v>
      </c>
      <c r="E29" t="n">
        <v>11907.9</v>
      </c>
      <c r="F29" t="n">
        <v>0</v>
      </c>
      <c r="G29" t="inlineStr">
        <is>
          <t>match</t>
        </is>
      </c>
    </row>
    <row r="30">
      <c r="A30" t="inlineStr">
        <is>
          <t>B</t>
        </is>
      </c>
      <c r="B30" t="n">
        <v>2022</v>
      </c>
      <c r="C30" t="inlineStr">
        <is>
          <t>2022-12-31</t>
        </is>
      </c>
      <c r="D30" t="n">
        <v>11013</v>
      </c>
      <c r="E30" t="n">
        <v>11013</v>
      </c>
      <c r="F30" t="n">
        <v>0</v>
      </c>
      <c r="G30" t="inlineStr">
        <is>
          <t>match</t>
        </is>
      </c>
    </row>
    <row r="31">
      <c r="A31" t="inlineStr">
        <is>
          <t>B</t>
        </is>
      </c>
      <c r="B31" t="n">
        <v>2023</v>
      </c>
      <c r="C31" t="inlineStr">
        <is>
          <t>2023-12-31</t>
        </is>
      </c>
      <c r="D31" t="n">
        <v>11397</v>
      </c>
      <c r="E31" t="n">
        <v>11397</v>
      </c>
      <c r="F31" t="n">
        <v>0</v>
      </c>
      <c r="G31" t="inlineStr">
        <is>
          <t>match</t>
        </is>
      </c>
    </row>
    <row r="32">
      <c r="A32" t="inlineStr">
        <is>
          <t>B</t>
        </is>
      </c>
      <c r="B32" t="n">
        <v>2024</v>
      </c>
      <c r="C32" t="inlineStr">
        <is>
          <t>2024-12-31</t>
        </is>
      </c>
      <c r="D32" t="n">
        <v>12922</v>
      </c>
      <c r="E32" t="n">
        <v>12922</v>
      </c>
      <c r="F32" t="n">
        <v>0</v>
      </c>
      <c r="G32" t="inlineStr">
        <is>
          <t>match</t>
        </is>
      </c>
    </row>
    <row r="33">
      <c r="A33" t="inlineStr">
        <is>
          <t>B</t>
        </is>
      </c>
      <c r="B33" t="n">
        <v>2025</v>
      </c>
      <c r="C33" t="inlineStr">
        <is>
          <t>2025-12-31</t>
        </is>
      </c>
      <c r="D33" t="n">
        <v>16956</v>
      </c>
      <c r="E33" t="n">
        <v>16956</v>
      </c>
      <c r="F33" t="n">
        <v>0</v>
      </c>
      <c r="G33" t="inlineStr">
        <is>
          <t>match</t>
        </is>
      </c>
    </row>
    <row r="34">
      <c r="A34" t="inlineStr">
        <is>
          <t>BHP.AX</t>
        </is>
      </c>
      <c r="B34" t="n">
        <v>2023</v>
      </c>
      <c r="C34" t="inlineStr">
        <is>
          <t>2023-06-30</t>
        </is>
      </c>
      <c r="D34" t="n">
        <v>53817</v>
      </c>
      <c r="E34" t="n">
        <v>53817</v>
      </c>
      <c r="F34" t="n">
        <v>0</v>
      </c>
      <c r="G34" t="inlineStr">
        <is>
          <t>match</t>
        </is>
      </c>
    </row>
    <row r="35">
      <c r="A35" t="inlineStr">
        <is>
          <t>BHP.AX</t>
        </is>
      </c>
      <c r="B35" t="n">
        <v>2024</v>
      </c>
      <c r="C35" t="inlineStr">
        <is>
          <t>2024-06-30</t>
        </is>
      </c>
      <c r="D35" t="n">
        <v>55658</v>
      </c>
      <c r="E35" t="n">
        <v>55658</v>
      </c>
      <c r="F35" t="n">
        <v>0</v>
      </c>
      <c r="G35" t="inlineStr">
        <is>
          <t>match</t>
        </is>
      </c>
    </row>
    <row r="36">
      <c r="A36" t="inlineStr">
        <is>
          <t>BHP.AX</t>
        </is>
      </c>
      <c r="B36" t="n">
        <v>2025</v>
      </c>
      <c r="C36" t="inlineStr">
        <is>
          <t>2025-06-30</t>
        </is>
      </c>
      <c r="D36" t="n">
        <v>51262</v>
      </c>
      <c r="E36" t="n">
        <v>51262</v>
      </c>
      <c r="F36" t="n">
        <v>0</v>
      </c>
      <c r="G36" t="inlineStr">
        <is>
          <t>match</t>
        </is>
      </c>
    </row>
    <row r="37">
      <c r="A37" t="inlineStr">
        <is>
          <t>BHP.AX</t>
        </is>
      </c>
      <c r="B37" t="n">
        <v>2026</v>
      </c>
      <c r="C37" t="inlineStr">
        <is>
          <t>2026-06-30</t>
        </is>
      </c>
      <c r="D37" t="n">
        <v>58760</v>
      </c>
      <c r="E37" t="n">
        <v>58760</v>
      </c>
      <c r="F37" t="n">
        <v>0</v>
      </c>
      <c r="G37" t="inlineStr">
        <is>
          <t>match</t>
        </is>
      </c>
    </row>
    <row r="38">
      <c r="A38" t="inlineStr">
        <is>
          <t>EQX</t>
        </is>
      </c>
      <c r="B38" t="n">
        <v>2022</v>
      </c>
      <c r="C38" t="inlineStr">
        <is>
          <t>2022-12-31</t>
        </is>
      </c>
      <c r="D38" t="n">
        <v>952.2</v>
      </c>
      <c r="E38" t="n">
        <v>952.2</v>
      </c>
      <c r="F38" t="n">
        <v>0</v>
      </c>
      <c r="G38" t="inlineStr">
        <is>
          <t>match</t>
        </is>
      </c>
    </row>
    <row r="39">
      <c r="A39" t="inlineStr">
        <is>
          <t>EQX</t>
        </is>
      </c>
      <c r="B39" t="n">
        <v>2023</v>
      </c>
      <c r="C39" t="inlineStr">
        <is>
          <t>2023-12-31</t>
        </is>
      </c>
      <c r="D39" t="n">
        <v>1088.2</v>
      </c>
      <c r="E39" t="n">
        <v>1088.2</v>
      </c>
      <c r="F39" t="n">
        <v>0</v>
      </c>
      <c r="G39" t="inlineStr">
        <is>
          <t>match</t>
        </is>
      </c>
    </row>
    <row r="40">
      <c r="A40" t="inlineStr">
        <is>
          <t>EQX</t>
        </is>
      </c>
      <c r="B40" t="n">
        <v>2024</v>
      </c>
      <c r="C40" t="inlineStr">
        <is>
          <t>2024-12-31</t>
        </is>
      </c>
      <c r="D40" t="n">
        <v>912.8</v>
      </c>
      <c r="E40" t="n">
        <v>912.8</v>
      </c>
      <c r="F40" t="n">
        <v>0</v>
      </c>
      <c r="G40" t="inlineStr">
        <is>
          <t>match</t>
        </is>
      </c>
    </row>
    <row r="41">
      <c r="A41" t="inlineStr">
        <is>
          <t>EQX</t>
        </is>
      </c>
      <c r="B41" t="n">
        <v>2025</v>
      </c>
      <c r="C41" t="inlineStr">
        <is>
          <t>2025-12-31</t>
        </is>
      </c>
      <c r="D41" t="n">
        <v>1817.2</v>
      </c>
      <c r="E41" t="n">
        <v>1817.2</v>
      </c>
      <c r="F41" t="n">
        <v>0</v>
      </c>
      <c r="G41" t="inlineStr">
        <is>
          <t>match</t>
        </is>
      </c>
    </row>
    <row r="42">
      <c r="A42" t="inlineStr">
        <is>
          <t>EVN.AX</t>
        </is>
      </c>
      <c r="B42" t="n">
        <v>2022</v>
      </c>
      <c r="C42" t="inlineStr">
        <is>
          <t>2022-06-30</t>
        </is>
      </c>
      <c r="D42" t="n">
        <v>2064.9</v>
      </c>
      <c r="E42" t="n">
        <v>2064.9</v>
      </c>
      <c r="F42" t="n">
        <v>0</v>
      </c>
      <c r="G42" t="inlineStr">
        <is>
          <t>match</t>
        </is>
      </c>
    </row>
    <row r="43">
      <c r="A43" t="inlineStr">
        <is>
          <t>FCX</t>
        </is>
      </c>
      <c r="B43" t="n">
        <v>2022</v>
      </c>
      <c r="C43" t="inlineStr">
        <is>
          <t>2022-12-31</t>
        </is>
      </c>
      <c r="D43" t="n">
        <v>22780</v>
      </c>
      <c r="E43" t="n">
        <v>22780</v>
      </c>
      <c r="F43" t="n">
        <v>0</v>
      </c>
      <c r="G43" t="inlineStr">
        <is>
          <t>match</t>
        </is>
      </c>
    </row>
    <row r="44">
      <c r="A44" t="inlineStr">
        <is>
          <t>FCX</t>
        </is>
      </c>
      <c r="B44" t="n">
        <v>2023</v>
      </c>
      <c r="C44" t="inlineStr">
        <is>
          <t>2023-12-31</t>
        </is>
      </c>
      <c r="D44" t="n">
        <v>22855</v>
      </c>
      <c r="E44" t="n">
        <v>22855</v>
      </c>
      <c r="F44" t="n">
        <v>0</v>
      </c>
      <c r="G44" t="inlineStr">
        <is>
          <t>match</t>
        </is>
      </c>
    </row>
    <row r="45">
      <c r="A45" t="inlineStr">
        <is>
          <t>FCX</t>
        </is>
      </c>
      <c r="B45" t="n">
        <v>2024</v>
      </c>
      <c r="C45" t="inlineStr">
        <is>
          <t>2024-12-31</t>
        </is>
      </c>
      <c r="D45" t="n">
        <v>25455</v>
      </c>
      <c r="E45" t="n">
        <v>25455</v>
      </c>
      <c r="F45" t="n">
        <v>0</v>
      </c>
      <c r="G45" t="inlineStr">
        <is>
          <t>match</t>
        </is>
      </c>
    </row>
    <row r="46">
      <c r="A46" t="inlineStr">
        <is>
          <t>FCX</t>
        </is>
      </c>
      <c r="B46" t="n">
        <v>2025</v>
      </c>
      <c r="C46" t="inlineStr">
        <is>
          <t>2025-12-31</t>
        </is>
      </c>
      <c r="D46" t="n">
        <v>25915</v>
      </c>
      <c r="E46" t="n">
        <v>25915</v>
      </c>
      <c r="F46" t="n">
        <v>0</v>
      </c>
      <c r="G46" t="inlineStr">
        <is>
          <t>match</t>
        </is>
      </c>
    </row>
    <row r="47">
      <c r="A47" t="inlineStr">
        <is>
          <t>FMG.AX</t>
        </is>
      </c>
      <c r="B47" t="n">
        <v>2023</v>
      </c>
      <c r="C47" t="inlineStr">
        <is>
          <t>2023-06-30</t>
        </is>
      </c>
      <c r="D47" t="n">
        <v>16871</v>
      </c>
      <c r="E47" t="n">
        <v>16780</v>
      </c>
      <c r="F47" t="n">
        <v>0.5</v>
      </c>
      <c r="G47" t="inlineStr">
        <is>
          <t>match</t>
        </is>
      </c>
    </row>
    <row r="48">
      <c r="A48" t="inlineStr">
        <is>
          <t>FMG.AX</t>
        </is>
      </c>
      <c r="B48" t="n">
        <v>2024</v>
      </c>
      <c r="C48" t="inlineStr">
        <is>
          <t>2024-06-30</t>
        </is>
      </c>
      <c r="D48" t="n">
        <v>18220</v>
      </c>
      <c r="E48" t="n">
        <v>18109</v>
      </c>
      <c r="F48" t="n">
        <v>0.6</v>
      </c>
      <c r="G48" t="inlineStr">
        <is>
          <t>match</t>
        </is>
      </c>
    </row>
    <row r="49">
      <c r="A49" t="inlineStr">
        <is>
          <t>FMG.AX</t>
        </is>
      </c>
      <c r="B49" t="n">
        <v>2025</v>
      </c>
      <c r="C49" t="inlineStr">
        <is>
          <t>2025-06-30</t>
        </is>
      </c>
      <c r="D49" t="n">
        <v>15541</v>
      </c>
      <c r="E49" t="n">
        <v>15420</v>
      </c>
      <c r="F49" t="n">
        <v>0.8</v>
      </c>
      <c r="G49" t="inlineStr">
        <is>
          <t>match</t>
        </is>
      </c>
    </row>
    <row r="50">
      <c r="A50" t="inlineStr">
        <is>
          <t>FMG.AX</t>
        </is>
      </c>
      <c r="B50" t="n">
        <v>2026</v>
      </c>
      <c r="C50" t="inlineStr">
        <is>
          <t>2026-06-30</t>
        </is>
      </c>
      <c r="D50" t="n">
        <v>16966</v>
      </c>
      <c r="E50" t="n">
        <v>16835</v>
      </c>
      <c r="F50" t="n">
        <v>0.8</v>
      </c>
      <c r="G50" t="inlineStr">
        <is>
          <t>match</t>
        </is>
      </c>
    </row>
    <row r="51">
      <c r="A51" t="inlineStr">
        <is>
          <t>FRES.L</t>
        </is>
      </c>
      <c r="B51" t="n">
        <v>2022</v>
      </c>
      <c r="C51" t="inlineStr">
        <is>
          <t>2022-12-31</t>
        </is>
      </c>
      <c r="D51" t="n">
        <v>2433</v>
      </c>
      <c r="E51" t="n">
        <v>2433</v>
      </c>
      <c r="F51" t="n">
        <v>0</v>
      </c>
      <c r="G51" t="inlineStr">
        <is>
          <t>match</t>
        </is>
      </c>
    </row>
    <row r="52">
      <c r="A52" t="inlineStr">
        <is>
          <t>FRES.L</t>
        </is>
      </c>
      <c r="B52" t="n">
        <v>2023</v>
      </c>
      <c r="C52" t="inlineStr">
        <is>
          <t>2023-12-31</t>
        </is>
      </c>
      <c r="D52" t="n">
        <v>2705.1</v>
      </c>
      <c r="E52" t="n">
        <v>2705.1</v>
      </c>
      <c r="F52" t="n">
        <v>0</v>
      </c>
      <c r="G52" t="inlineStr">
        <is>
          <t>match</t>
        </is>
      </c>
    </row>
    <row r="53">
      <c r="A53" t="inlineStr">
        <is>
          <t>FRES.L</t>
        </is>
      </c>
      <c r="B53" t="n">
        <v>2024</v>
      </c>
      <c r="C53" t="inlineStr">
        <is>
          <t>2024-12-31</t>
        </is>
      </c>
      <c r="D53" t="n">
        <v>3496.4</v>
      </c>
      <c r="E53" t="n">
        <v>3496.4</v>
      </c>
      <c r="F53" t="n">
        <v>0</v>
      </c>
      <c r="G53" t="inlineStr">
        <is>
          <t>match</t>
        </is>
      </c>
    </row>
    <row r="54">
      <c r="A54" t="inlineStr">
        <is>
          <t>FRES.L</t>
        </is>
      </c>
      <c r="B54" t="n">
        <v>2025</v>
      </c>
      <c r="C54" t="inlineStr">
        <is>
          <t>2025-12-31</t>
        </is>
      </c>
      <c r="D54" t="n">
        <v>4561.2</v>
      </c>
      <c r="E54" t="n">
        <v>4561.2</v>
      </c>
      <c r="F54" t="n">
        <v>0</v>
      </c>
      <c r="G54" t="inlineStr">
        <is>
          <t>match</t>
        </is>
      </c>
    </row>
    <row r="55">
      <c r="A55" t="inlineStr">
        <is>
          <t>GLEN.L</t>
        </is>
      </c>
      <c r="B55" t="n">
        <v>2022</v>
      </c>
      <c r="C55" t="inlineStr">
        <is>
          <t>2022-12-31</t>
        </is>
      </c>
      <c r="D55" t="n">
        <v>255984</v>
      </c>
      <c r="E55" t="n">
        <v>255984</v>
      </c>
      <c r="F55" t="n">
        <v>0</v>
      </c>
      <c r="G55" t="inlineStr">
        <is>
          <t>match</t>
        </is>
      </c>
    </row>
    <row r="56">
      <c r="A56" t="inlineStr">
        <is>
          <t>GLEN.L</t>
        </is>
      </c>
      <c r="B56" t="n">
        <v>2023</v>
      </c>
      <c r="C56" t="inlineStr">
        <is>
          <t>2023-12-31</t>
        </is>
      </c>
      <c r="D56" t="n">
        <v>217829</v>
      </c>
      <c r="E56" t="n">
        <v>217829</v>
      </c>
      <c r="F56" t="n">
        <v>0</v>
      </c>
      <c r="G56" t="inlineStr">
        <is>
          <t>match</t>
        </is>
      </c>
    </row>
    <row r="57">
      <c r="A57" t="inlineStr">
        <is>
          <t>GLEN.L</t>
        </is>
      </c>
      <c r="B57" t="n">
        <v>2024</v>
      </c>
      <c r="C57" t="inlineStr">
        <is>
          <t>2024-12-31</t>
        </is>
      </c>
      <c r="D57" t="n">
        <v>230944</v>
      </c>
      <c r="E57" t="n">
        <v>230944</v>
      </c>
      <c r="F57" t="n">
        <v>0</v>
      </c>
      <c r="G57" t="inlineStr">
        <is>
          <t>match</t>
        </is>
      </c>
    </row>
    <row r="58">
      <c r="A58" t="inlineStr">
        <is>
          <t>GLEN.L</t>
        </is>
      </c>
      <c r="B58" t="n">
        <v>2025</v>
      </c>
      <c r="C58" t="inlineStr">
        <is>
          <t>2025-12-31</t>
        </is>
      </c>
      <c r="D58" t="n">
        <v>247535</v>
      </c>
      <c r="E58" t="n">
        <v>247535</v>
      </c>
      <c r="F58" t="n">
        <v>0</v>
      </c>
      <c r="G58" t="inlineStr">
        <is>
          <t>match</t>
        </is>
      </c>
    </row>
    <row r="59">
      <c r="A59" t="inlineStr">
        <is>
          <t>INCO.JK</t>
        </is>
      </c>
      <c r="B59" t="n">
        <v>2022</v>
      </c>
      <c r="C59" t="inlineStr">
        <is>
          <t>2022-12-31</t>
        </is>
      </c>
      <c r="D59" t="n">
        <v>1179.5</v>
      </c>
      <c r="E59" t="n">
        <v>1179.5</v>
      </c>
      <c r="F59" t="n">
        <v>0</v>
      </c>
      <c r="G59" t="inlineStr">
        <is>
          <t>match</t>
        </is>
      </c>
    </row>
    <row r="60">
      <c r="A60" t="inlineStr">
        <is>
          <t>INCO.JK</t>
        </is>
      </c>
      <c r="B60" t="n">
        <v>2023</v>
      </c>
      <c r="C60" t="inlineStr">
        <is>
          <t>2023-12-31</t>
        </is>
      </c>
      <c r="D60" t="n">
        <v>1232.3</v>
      </c>
      <c r="E60" t="n">
        <v>1232.3</v>
      </c>
      <c r="F60" t="n">
        <v>0</v>
      </c>
      <c r="G60" t="inlineStr">
        <is>
          <t>match</t>
        </is>
      </c>
    </row>
    <row r="61">
      <c r="A61" t="inlineStr">
        <is>
          <t>INCO.JK</t>
        </is>
      </c>
      <c r="B61" t="n">
        <v>2024</v>
      </c>
      <c r="C61" t="inlineStr">
        <is>
          <t>2024-12-31</t>
        </is>
      </c>
      <c r="D61" t="n">
        <v>950.4</v>
      </c>
      <c r="E61" t="n">
        <v>950.4</v>
      </c>
      <c r="F61" t="n">
        <v>0</v>
      </c>
      <c r="G61" t="inlineStr">
        <is>
          <t>match</t>
        </is>
      </c>
    </row>
    <row r="62">
      <c r="A62" t="inlineStr">
        <is>
          <t>INCO.JK</t>
        </is>
      </c>
      <c r="B62" t="n">
        <v>2025</v>
      </c>
      <c r="C62" t="inlineStr">
        <is>
          <t>2025-12-31</t>
        </is>
      </c>
      <c r="D62" t="n">
        <v>990.2</v>
      </c>
      <c r="E62" t="n">
        <v>990.2</v>
      </c>
      <c r="F62" t="n">
        <v>0</v>
      </c>
      <c r="G62" t="inlineStr">
        <is>
          <t>match</t>
        </is>
      </c>
    </row>
    <row r="63">
      <c r="A63" t="inlineStr">
        <is>
          <t>LUN.TO</t>
        </is>
      </c>
      <c r="B63" t="n">
        <v>2022</v>
      </c>
      <c r="C63" t="inlineStr">
        <is>
          <t>2022-12-31</t>
        </is>
      </c>
      <c r="D63" t="n">
        <v>3041.2</v>
      </c>
      <c r="E63" t="n">
        <v>3041.2</v>
      </c>
      <c r="F63" t="n">
        <v>0</v>
      </c>
      <c r="G63" t="inlineStr">
        <is>
          <t>match</t>
        </is>
      </c>
    </row>
    <row r="64">
      <c r="A64" t="inlineStr">
        <is>
          <t>LUN.TO</t>
        </is>
      </c>
      <c r="B64" t="n">
        <v>2023</v>
      </c>
      <c r="C64" t="inlineStr">
        <is>
          <t>2023-12-31</t>
        </is>
      </c>
      <c r="D64" t="n">
        <v>2743.4</v>
      </c>
      <c r="E64" t="n">
        <v>2743.4</v>
      </c>
      <c r="F64" t="n">
        <v>0</v>
      </c>
      <c r="G64" t="inlineStr">
        <is>
          <t>match</t>
        </is>
      </c>
    </row>
    <row r="65">
      <c r="A65" t="inlineStr">
        <is>
          <t>LUN.TO</t>
        </is>
      </c>
      <c r="B65" t="n">
        <v>2024</v>
      </c>
      <c r="C65" t="inlineStr">
        <is>
          <t>2024-12-31</t>
        </is>
      </c>
      <c r="D65" t="n">
        <v>3270.1</v>
      </c>
      <c r="E65" t="n">
        <v>3270.1</v>
      </c>
      <c r="F65" t="n">
        <v>0</v>
      </c>
      <c r="G65" t="inlineStr">
        <is>
          <t>match</t>
        </is>
      </c>
    </row>
    <row r="66">
      <c r="A66" t="inlineStr">
        <is>
          <t>LUN.TO</t>
        </is>
      </c>
      <c r="B66" t="n">
        <v>2025</v>
      </c>
      <c r="C66" t="inlineStr">
        <is>
          <t>2025-12-31</t>
        </is>
      </c>
      <c r="D66" t="n">
        <v>4053.2</v>
      </c>
      <c r="E66" t="n">
        <v>4053.2</v>
      </c>
      <c r="F66" t="n">
        <v>0</v>
      </c>
      <c r="G66" t="inlineStr">
        <is>
          <t>match</t>
        </is>
      </c>
    </row>
    <row r="67">
      <c r="A67" t="inlineStr">
        <is>
          <t>MIN.AX</t>
        </is>
      </c>
      <c r="B67" t="n">
        <v>2022</v>
      </c>
      <c r="C67" t="inlineStr">
        <is>
          <t>2022-06-30</t>
        </is>
      </c>
      <c r="D67" t="n">
        <v>3418</v>
      </c>
      <c r="E67" t="n">
        <v>3418</v>
      </c>
      <c r="F67" t="n">
        <v>0</v>
      </c>
      <c r="G67" t="inlineStr">
        <is>
          <t>match</t>
        </is>
      </c>
    </row>
    <row r="68">
      <c r="A68" t="inlineStr">
        <is>
          <t>MIN.AX</t>
        </is>
      </c>
      <c r="B68" t="n">
        <v>2023</v>
      </c>
      <c r="C68" t="inlineStr">
        <is>
          <t>2023-06-30</t>
        </is>
      </c>
      <c r="D68" t="n">
        <v>4779</v>
      </c>
      <c r="E68" t="n">
        <v>4779.1</v>
      </c>
      <c r="F68" t="n">
        <v>-0</v>
      </c>
      <c r="G68" t="inlineStr">
        <is>
          <t>match</t>
        </is>
      </c>
    </row>
    <row r="69">
      <c r="A69" t="inlineStr">
        <is>
          <t>MIN.AX</t>
        </is>
      </c>
      <c r="B69" t="n">
        <v>2024</v>
      </c>
      <c r="C69" t="inlineStr">
        <is>
          <t>2024-06-30</t>
        </is>
      </c>
      <c r="D69" t="n">
        <v>5278</v>
      </c>
      <c r="E69" t="n">
        <v>5259</v>
      </c>
      <c r="F69" t="n">
        <v>0.4</v>
      </c>
      <c r="G69" t="inlineStr">
        <is>
          <t>match</t>
        </is>
      </c>
    </row>
    <row r="70">
      <c r="A70" t="inlineStr">
        <is>
          <t>MIN.AX</t>
        </is>
      </c>
      <c r="B70" t="n">
        <v>2026</v>
      </c>
      <c r="C70" t="inlineStr">
        <is>
          <t>2026-06-30</t>
        </is>
      </c>
      <c r="D70" t="n">
        <v>6461</v>
      </c>
      <c r="E70" t="n">
        <v>6461</v>
      </c>
      <c r="F70" t="n">
        <v>0</v>
      </c>
      <c r="G70" t="inlineStr">
        <is>
          <t>match</t>
        </is>
      </c>
    </row>
    <row r="71">
      <c r="A71" t="inlineStr">
        <is>
          <t>MT</t>
        </is>
      </c>
      <c r="B71" t="n">
        <v>2022</v>
      </c>
      <c r="C71" t="inlineStr">
        <is>
          <t>2022-12-31</t>
        </is>
      </c>
      <c r="D71" t="n">
        <v>79844</v>
      </c>
      <c r="E71" t="n">
        <v>79844</v>
      </c>
      <c r="F71" t="n">
        <v>0</v>
      </c>
      <c r="G71" t="inlineStr">
        <is>
          <t>match</t>
        </is>
      </c>
    </row>
    <row r="72">
      <c r="A72" t="inlineStr">
        <is>
          <t>MT</t>
        </is>
      </c>
      <c r="B72" t="n">
        <v>2023</v>
      </c>
      <c r="C72" t="inlineStr">
        <is>
          <t>2023-12-31</t>
        </is>
      </c>
      <c r="D72" t="n">
        <v>68275</v>
      </c>
      <c r="E72" t="n">
        <v>68275</v>
      </c>
      <c r="F72" t="n">
        <v>0</v>
      </c>
      <c r="G72" t="inlineStr">
        <is>
          <t>match</t>
        </is>
      </c>
    </row>
    <row r="73">
      <c r="A73" t="inlineStr">
        <is>
          <t>MT</t>
        </is>
      </c>
      <c r="B73" t="n">
        <v>2024</v>
      </c>
      <c r="C73" t="inlineStr">
        <is>
          <t>2024-12-31</t>
        </is>
      </c>
      <c r="D73" t="n">
        <v>62441</v>
      </c>
      <c r="E73" t="n">
        <v>62441</v>
      </c>
      <c r="F73" t="n">
        <v>0</v>
      </c>
      <c r="G73" t="inlineStr">
        <is>
          <t>match</t>
        </is>
      </c>
    </row>
    <row r="74">
      <c r="A74" t="inlineStr">
        <is>
          <t>MT</t>
        </is>
      </c>
      <c r="B74" t="n">
        <v>2025</v>
      </c>
      <c r="C74" t="inlineStr">
        <is>
          <t>2025-12-31</t>
        </is>
      </c>
      <c r="D74" t="n">
        <v>61352</v>
      </c>
      <c r="E74" t="n">
        <v>61352</v>
      </c>
      <c r="F74" t="n">
        <v>0</v>
      </c>
      <c r="G74" t="inlineStr">
        <is>
          <t>match</t>
        </is>
      </c>
    </row>
    <row r="75">
      <c r="A75" t="inlineStr">
        <is>
          <t>NEM</t>
        </is>
      </c>
      <c r="B75" t="n">
        <v>2022</v>
      </c>
      <c r="C75" t="inlineStr">
        <is>
          <t>2022-12-31</t>
        </is>
      </c>
      <c r="D75" t="n">
        <v>11915</v>
      </c>
      <c r="E75" t="n">
        <v>11915</v>
      </c>
      <c r="F75" t="n">
        <v>0</v>
      </c>
      <c r="G75" t="inlineStr">
        <is>
          <t>match</t>
        </is>
      </c>
    </row>
    <row r="76">
      <c r="A76" t="inlineStr">
        <is>
          <t>NEM</t>
        </is>
      </c>
      <c r="B76" t="n">
        <v>2023</v>
      </c>
      <c r="C76" t="inlineStr">
        <is>
          <t>2023-12-31</t>
        </is>
      </c>
      <c r="D76" t="n">
        <v>11812</v>
      </c>
      <c r="E76" t="n">
        <v>11812</v>
      </c>
      <c r="F76" t="n">
        <v>0</v>
      </c>
      <c r="G76" t="inlineStr">
        <is>
          <t>match</t>
        </is>
      </c>
    </row>
    <row r="77">
      <c r="A77" t="inlineStr">
        <is>
          <t>NEM</t>
        </is>
      </c>
      <c r="B77" t="n">
        <v>2024</v>
      </c>
      <c r="C77" t="inlineStr">
        <is>
          <t>2024-12-31</t>
        </is>
      </c>
      <c r="D77" t="n">
        <v>18682</v>
      </c>
      <c r="E77" t="n">
        <v>18682</v>
      </c>
      <c r="F77" t="n">
        <v>0</v>
      </c>
      <c r="G77" t="inlineStr">
        <is>
          <t>match</t>
        </is>
      </c>
    </row>
    <row r="78">
      <c r="A78" t="inlineStr">
        <is>
          <t>NEM</t>
        </is>
      </c>
      <c r="B78" t="n">
        <v>2025</v>
      </c>
      <c r="C78" t="inlineStr">
        <is>
          <t>2025-12-31</t>
        </is>
      </c>
      <c r="D78" t="n">
        <v>22669</v>
      </c>
      <c r="E78" t="n">
        <v>22669</v>
      </c>
      <c r="F78" t="n">
        <v>0</v>
      </c>
      <c r="G78" t="inlineStr">
        <is>
          <t>match</t>
        </is>
      </c>
    </row>
    <row r="79">
      <c r="A79" t="inlineStr">
        <is>
          <t>NEXA</t>
        </is>
      </c>
      <c r="B79" t="n">
        <v>2022</v>
      </c>
      <c r="C79" t="inlineStr">
        <is>
          <t>2022-12-31</t>
        </is>
      </c>
      <c r="D79" t="n">
        <v>3034</v>
      </c>
      <c r="E79" t="n">
        <v>3034</v>
      </c>
      <c r="F79" t="n">
        <v>0</v>
      </c>
      <c r="G79" t="inlineStr">
        <is>
          <t>match</t>
        </is>
      </c>
    </row>
    <row r="80">
      <c r="A80" t="inlineStr">
        <is>
          <t>NEXA</t>
        </is>
      </c>
      <c r="B80" t="n">
        <v>2023</v>
      </c>
      <c r="C80" t="inlineStr">
        <is>
          <t>2023-12-31</t>
        </is>
      </c>
      <c r="D80" t="n">
        <v>2573.2</v>
      </c>
      <c r="E80" t="n">
        <v>2573.2</v>
      </c>
      <c r="F80" t="n">
        <v>0</v>
      </c>
      <c r="G80" t="inlineStr">
        <is>
          <t>match</t>
        </is>
      </c>
    </row>
    <row r="81">
      <c r="A81" t="inlineStr">
        <is>
          <t>NEXA</t>
        </is>
      </c>
      <c r="B81" t="n">
        <v>2024</v>
      </c>
      <c r="C81" t="inlineStr">
        <is>
          <t>2024-12-31</t>
        </is>
      </c>
      <c r="D81" t="n">
        <v>2766.5</v>
      </c>
      <c r="E81" t="n">
        <v>2766.5</v>
      </c>
      <c r="F81" t="n">
        <v>0</v>
      </c>
      <c r="G81" t="inlineStr">
        <is>
          <t>match</t>
        </is>
      </c>
    </row>
    <row r="82">
      <c r="A82" t="inlineStr">
        <is>
          <t>NEXA</t>
        </is>
      </c>
      <c r="B82" t="n">
        <v>2025</v>
      </c>
      <c r="C82" t="inlineStr">
        <is>
          <t>2025-12-31</t>
        </is>
      </c>
      <c r="D82" t="n">
        <v>3002.1</v>
      </c>
      <c r="E82" t="n">
        <v>3002.1</v>
      </c>
      <c r="F82" t="n">
        <v>0</v>
      </c>
      <c r="G82" t="inlineStr">
        <is>
          <t>match</t>
        </is>
      </c>
    </row>
    <row r="83">
      <c r="A83" t="inlineStr">
        <is>
          <t>NST.AX</t>
        </is>
      </c>
      <c r="B83" t="n">
        <v>2023</v>
      </c>
      <c r="C83" t="inlineStr">
        <is>
          <t>2023-06-30</t>
        </is>
      </c>
      <c r="D83" t="n">
        <v>4131.1</v>
      </c>
      <c r="E83" t="n">
        <v>4131.1</v>
      </c>
      <c r="F83" t="n">
        <v>0</v>
      </c>
      <c r="G83" t="inlineStr">
        <is>
          <t>match</t>
        </is>
      </c>
    </row>
    <row r="84">
      <c r="A84" t="inlineStr">
        <is>
          <t>NST.AX</t>
        </is>
      </c>
      <c r="B84" t="n">
        <v>2024</v>
      </c>
      <c r="C84" t="inlineStr">
        <is>
          <t>2024-06-30</t>
        </is>
      </c>
      <c r="D84" t="n">
        <v>4921.2</v>
      </c>
      <c r="E84" t="n">
        <v>4921.2</v>
      </c>
      <c r="F84" t="n">
        <v>0</v>
      </c>
      <c r="G84" t="inlineStr">
        <is>
          <t>match</t>
        </is>
      </c>
    </row>
    <row r="85">
      <c r="A85" t="inlineStr">
        <is>
          <t>NST.AX</t>
        </is>
      </c>
      <c r="B85" t="n">
        <v>2025</v>
      </c>
      <c r="C85" t="inlineStr">
        <is>
          <t>2025-06-30</t>
        </is>
      </c>
      <c r="D85" t="n">
        <v>6414.9</v>
      </c>
      <c r="E85" t="n">
        <v>6414.9</v>
      </c>
      <c r="F85" t="n">
        <v>0</v>
      </c>
      <c r="G85" t="inlineStr">
        <is>
          <t>match</t>
        </is>
      </c>
    </row>
    <row r="86">
      <c r="A86" t="inlineStr">
        <is>
          <t>NST.AX</t>
        </is>
      </c>
      <c r="B86" t="n">
        <v>2026</v>
      </c>
      <c r="C86" t="inlineStr">
        <is>
          <t>2026-06-30</t>
        </is>
      </c>
      <c r="D86" t="n">
        <v>7623.1</v>
      </c>
      <c r="E86" t="n">
        <v>7623.1</v>
      </c>
      <c r="F86" t="n">
        <v>0</v>
      </c>
      <c r="G86" t="inlineStr">
        <is>
          <t>match</t>
        </is>
      </c>
    </row>
    <row r="87">
      <c r="A87" t="inlineStr">
        <is>
          <t>RIO.L</t>
        </is>
      </c>
      <c r="B87" t="n">
        <v>2022</v>
      </c>
      <c r="C87" t="inlineStr">
        <is>
          <t>2022-12-31</t>
        </is>
      </c>
      <c r="D87" t="n">
        <v>55554</v>
      </c>
      <c r="E87" t="n">
        <v>55554</v>
      </c>
      <c r="F87" t="n">
        <v>0</v>
      </c>
      <c r="G87" t="inlineStr">
        <is>
          <t>match</t>
        </is>
      </c>
    </row>
    <row r="88">
      <c r="A88" t="inlineStr">
        <is>
          <t>RIO.L</t>
        </is>
      </c>
      <c r="B88" t="n">
        <v>2023</v>
      </c>
      <c r="C88" t="inlineStr">
        <is>
          <t>2023-12-31</t>
        </is>
      </c>
      <c r="D88" t="n">
        <v>54041</v>
      </c>
      <c r="E88" t="n">
        <v>54041</v>
      </c>
      <c r="F88" t="n">
        <v>0</v>
      </c>
      <c r="G88" t="inlineStr">
        <is>
          <t>match</t>
        </is>
      </c>
    </row>
    <row r="89">
      <c r="A89" t="inlineStr">
        <is>
          <t>RIO.L</t>
        </is>
      </c>
      <c r="B89" t="n">
        <v>2024</v>
      </c>
      <c r="C89" t="inlineStr">
        <is>
          <t>2024-12-31</t>
        </is>
      </c>
      <c r="D89" t="n">
        <v>53658</v>
      </c>
      <c r="E89" t="n">
        <v>53658</v>
      </c>
      <c r="F89" t="n">
        <v>0</v>
      </c>
      <c r="G89" t="inlineStr">
        <is>
          <t>match</t>
        </is>
      </c>
    </row>
    <row r="90">
      <c r="A90" t="inlineStr">
        <is>
          <t>RIO.L</t>
        </is>
      </c>
      <c r="B90" t="n">
        <v>2025</v>
      </c>
      <c r="C90" t="inlineStr">
        <is>
          <t>2025-12-31</t>
        </is>
      </c>
      <c r="D90" t="n">
        <v>57638</v>
      </c>
      <c r="E90" t="n">
        <v>57638</v>
      </c>
      <c r="F90" t="n">
        <v>0</v>
      </c>
      <c r="G90" t="inlineStr">
        <is>
          <t>match</t>
        </is>
      </c>
    </row>
    <row r="91">
      <c r="A91" t="inlineStr">
        <is>
          <t>SCCO</t>
        </is>
      </c>
      <c r="B91" t="n">
        <v>2022</v>
      </c>
      <c r="C91" t="inlineStr">
        <is>
          <t>2022-12-31</t>
        </is>
      </c>
      <c r="D91" t="n">
        <v>10047.9</v>
      </c>
      <c r="E91" t="n">
        <v>10047.9</v>
      </c>
      <c r="F91" t="n">
        <v>0</v>
      </c>
      <c r="G91" t="inlineStr">
        <is>
          <t>match</t>
        </is>
      </c>
    </row>
    <row r="92">
      <c r="A92" t="inlineStr">
        <is>
          <t>SCCO</t>
        </is>
      </c>
      <c r="B92" t="n">
        <v>2023</v>
      </c>
      <c r="C92" t="inlineStr">
        <is>
          <t>2023-12-31</t>
        </is>
      </c>
      <c r="D92" t="n">
        <v>9895.799999999999</v>
      </c>
      <c r="E92" t="n">
        <v>9895.799999999999</v>
      </c>
      <c r="F92" t="n">
        <v>0</v>
      </c>
      <c r="G92" t="inlineStr">
        <is>
          <t>match</t>
        </is>
      </c>
    </row>
    <row r="93">
      <c r="A93" t="inlineStr">
        <is>
          <t>SCCO</t>
        </is>
      </c>
      <c r="B93" t="n">
        <v>2024</v>
      </c>
      <c r="C93" t="inlineStr">
        <is>
          <t>2024-12-31</t>
        </is>
      </c>
      <c r="D93" t="n">
        <v>11433.4</v>
      </c>
      <c r="E93" t="n">
        <v>11433.4</v>
      </c>
      <c r="F93" t="n">
        <v>0</v>
      </c>
      <c r="G93" t="inlineStr">
        <is>
          <t>match</t>
        </is>
      </c>
    </row>
    <row r="94">
      <c r="A94" t="inlineStr">
        <is>
          <t>SCCO</t>
        </is>
      </c>
      <c r="B94" t="n">
        <v>2025</v>
      </c>
      <c r="C94" t="inlineStr">
        <is>
          <t>2025-12-31</t>
        </is>
      </c>
      <c r="D94" t="n">
        <v>13420</v>
      </c>
      <c r="E94" t="n">
        <v>13420</v>
      </c>
      <c r="F94" t="n">
        <v>0</v>
      </c>
      <c r="G94" t="inlineStr">
        <is>
          <t>match</t>
        </is>
      </c>
    </row>
    <row r="95">
      <c r="A95" t="inlineStr">
        <is>
          <t>EVN.AX</t>
        </is>
      </c>
      <c r="B95" t="n">
        <v>2023</v>
      </c>
      <c r="C95" t="inlineStr">
        <is>
          <t>2023-06-30</t>
        </is>
      </c>
      <c r="D95" t="n">
        <v>2226.9</v>
      </c>
      <c r="E95" t="n">
        <v>2285.9</v>
      </c>
      <c r="F95" t="n">
        <v>-2.6</v>
      </c>
      <c r="G95" t="inlineStr">
        <is>
          <t>small difference (1-5%)</t>
        </is>
      </c>
    </row>
    <row r="96">
      <c r="A96" t="inlineStr">
        <is>
          <t>EVN.AX</t>
        </is>
      </c>
      <c r="B96" t="n">
        <v>2024</v>
      </c>
      <c r="C96" t="inlineStr">
        <is>
          <t>2024-06-30</t>
        </is>
      </c>
      <c r="D96" t="n">
        <v>3215.8</v>
      </c>
      <c r="E96" t="n">
        <v>3304</v>
      </c>
      <c r="F96" t="n">
        <v>-2.7</v>
      </c>
      <c r="G96" t="inlineStr">
        <is>
          <t>small difference (1-5%)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2026-09-27T22:46:35Z</dcterms:created>
  <dcterms:modified xmlns:dcterms="http://purl.org/dc/terms/" xmlns:xsi="http://www.w3.org/2001/XMLSchema-instance" xsi:type="dcterms:W3CDTF">2026-09-27T22:46:35Z</dcterms:modified>
</cp:coreProperties>
</file>