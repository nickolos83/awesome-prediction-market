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tities" sheetId="1" state="visible" r:id="rId1"/>
    <sheet xmlns:r="http://schemas.openxmlformats.org/officeDocument/2006/relationships" name="Year-end close" sheetId="2" state="visible" r:id="rId2"/>
    <sheet xmlns:r="http://schemas.openxmlformats.org/officeDocument/2006/relationships" name="Year-end close USD" sheetId="3" state="visible" r:id="rId3"/>
    <sheet xmlns:r="http://schemas.openxmlformats.org/officeDocument/2006/relationships" name="2y forward" sheetId="4" state="visible" r:id="rId4"/>
    <sheet xmlns:r="http://schemas.openxmlformats.org/officeDocument/2006/relationships" name="2y forward USD" sheetId="5" state="visible" r:id="rId5"/>
    <sheet xmlns:r="http://schemas.openxmlformats.org/officeDocument/2006/relationships" name="Dividend yield" sheetId="6" state="visible" r:id="rId6"/>
    <sheet xmlns:r="http://schemas.openxmlformats.org/officeDocument/2006/relationships" name="Rates 2y" sheetId="7" state="visible" r:id="rId7"/>
    <sheet xmlns:r="http://schemas.openxmlformats.org/officeDocument/2006/relationships" name="FX year-end" sheetId="8" state="visible" r:id="rId8"/>
    <sheet xmlns:r="http://schemas.openxmlformats.org/officeDocument/2006/relationships" name="FX 2y forward" sheetId="9" state="visible" r:id="rId9"/>
    <sheet xmlns:r="http://schemas.openxmlformats.org/officeDocument/2006/relationships" name="Detail" sheetId="10" state="visible" r:id="rId10"/>
    <sheet xmlns:r="http://schemas.openxmlformats.org/officeDocument/2006/relationships" name="Analyst targets (now)" sheetId="11" state="visible" r:id="rId11"/>
    <sheet xmlns:r="http://schemas.openxmlformats.org/officeDocument/2006/relationships" name="Verification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%"/>
  </numFmts>
  <fonts count="5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color rgb="000000FF"/>
      <sz val="10"/>
    </font>
    <font>
      <name val="Arial"/>
      <sz val="10"/>
    </font>
    <font>
      <name val="Arial"/>
      <color rgb="00008000"/>
      <sz val="10"/>
    </font>
  </fonts>
  <fills count="5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FF2CC"/>
      </patternFill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pivotButton="0" quotePrefix="0" xfId="0"/>
    <xf numFmtId="0" fontId="3" fillId="0" borderId="0" pivotButton="0" quotePrefix="0" xfId="0"/>
    <xf numFmtId="4" fontId="0" fillId="0" borderId="0" pivotButton="0" quotePrefix="0" xfId="0"/>
    <xf numFmtId="4" fontId="1" fillId="0" borderId="0" pivotButton="0" quotePrefix="0" xfId="0"/>
    <xf numFmtId="4" fontId="0" fillId="3" borderId="0" pivotButton="0" quotePrefix="0" xfId="0"/>
    <xf numFmtId="4" fontId="0" fillId="4" borderId="0" pivotButton="0" quotePrefix="0" xfId="0"/>
    <xf numFmtId="4" fontId="1" fillId="3" borderId="0" pivotButton="0" quotePrefix="0" xfId="0"/>
    <xf numFmtId="4" fontId="4" fillId="0" borderId="0" pivotButton="0" quotePrefix="0" xfId="0"/>
    <xf numFmtId="4" fontId="3" fillId="0" borderId="0" pivotButton="0" quotePrefix="0" xfId="0"/>
    <xf numFmtId="10" fontId="0" fillId="0" borderId="0" pivotButton="0" quotePrefix="0" xfId="0"/>
    <xf numFmtId="10" fontId="2" fillId="0" borderId="0" pivotButton="0" quotePrefix="0" xfId="0"/>
    <xf numFmtId="164" fontId="3" fillId="0" borderId="0" pivotButton="0" quotePrefix="0" xfId="0"/>
    <xf numFmtId="165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comments/comment1.xml><?xml version="1.0" encoding="utf-8"?>
<comments xmlns="http://schemas.openxmlformats.org/spreadsheetml/2006/main">
  <authors>
    <author>Claude</author>
  </authors>
  <commentList>
    <comment ref="D3" authorId="0" shapeId="0">
      <text>
        <t>2-for-1 split on 2017-10-25: earlier years are pre-split prices, so a jump here is not a real price move.</t>
      </text>
    </comment>
    <comment ref="J4" authorId="0" shapeId="0">
      <text>
        <t>As traded. Yahoo shows 10.5300 (history rescaled after a split / bonus issue / demerger).</t>
      </text>
    </comment>
    <comment ref="K4" authorId="0" shapeId="0">
      <text>
        <t>As traded. Yahoo shows 10.2300 (history rescaled after a split / bonus issue / demerger).</t>
      </text>
    </comment>
    <comment ref="L4" authorId="0" shapeId="0">
      <text>
        <t>3-for-1 share consolidation on 2025-05-22: earlier years are pre-consolidation prices, so a jump here is not a real price move.</t>
      </text>
    </comment>
    <comment ref="D6" authorId="0" shapeId="0">
      <text>
        <t>As traded. Yahoo shows 0.2743 (history rescaled after a split / bonus issue / demerger).</t>
      </text>
    </comment>
    <comment ref="E6" authorId="0" shapeId="0">
      <text>
        <t>As traded. Yahoo shows 0.1621 (history rescaled after a split / bonus issue / demerger).</t>
      </text>
    </comment>
    <comment ref="F6" authorId="0" shapeId="0">
      <text>
        <t>As traded. Yahoo shows 0.5611 (history rescaled after a split / bonus issue / demerger).</t>
      </text>
    </comment>
    <comment ref="D8" authorId="0" shapeId="0">
      <text>
        <t>Researched close (2017-12-29). Source: TMX Money daily history (independent of Yahoo)</t>
      </text>
    </comment>
    <comment ref="E8" authorId="0" shapeId="0">
      <text>
        <t>Researched close (2018-12-31). Source: TMX Money daily history (independent of Yahoo)</t>
      </text>
    </comment>
    <comment ref="F8" authorId="0" shapeId="0">
      <text>
        <t>Researched close (2019-12-31). Source: TMX Money daily history (independent of Yahoo)</t>
      </text>
    </comment>
    <comment ref="G8" authorId="0" shapeId="0">
      <text>
        <t>Researched close (2020-12-31). Source: TMX Money daily history (independent of Yahoo)</t>
      </text>
    </comment>
    <comment ref="H8" authorId="0" shapeId="0">
      <text>
        <t>Researched close (2021-12-31). Source: TMX Money daily history (independent of Yahoo)</t>
      </text>
    </comment>
    <comment ref="I8" authorId="0" shapeId="0">
      <text>
        <t>Researched close (2022-12-30). Source: TMX Money daily history (independent of Yahoo)</t>
      </text>
    </comment>
    <comment ref="J8" authorId="0" shapeId="0">
      <text>
        <t>Researched close (2023-12-29). Source: TMX Money daily history (independent of Yahoo)</t>
      </text>
    </comment>
    <comment ref="K8" authorId="0" shapeId="0">
      <text>
        <t>Researched close (2024-07-16). Source: TMX Money daily history (independent of Yahoo)</t>
      </text>
    </comment>
    <comment ref="D16" authorId="0" shapeId="0">
      <text>
        <t>Researched close (2017-12-29). Source: TMX Money daily history (independent of Yahoo)</t>
      </text>
    </comment>
    <comment ref="E16" authorId="0" shapeId="0">
      <text>
        <t>Researched close (2018-12-31). Source: TMX Money daily history (independent of Yahoo)</t>
      </text>
    </comment>
    <comment ref="F16" authorId="0" shapeId="0">
      <text>
        <t>Researched close (2019-12-31). Source: TMX Money daily history (independent of Yahoo)</t>
      </text>
    </comment>
    <comment ref="G16" authorId="0" shapeId="0">
      <text>
        <t>Researched close (2020-12-31). Source: TMX Money daily history (independent of Yahoo)</t>
      </text>
    </comment>
    <comment ref="H16" authorId="0" shapeId="0">
      <text>
        <t>Researched close (2021-12-31). Source: TMX Money daily history (independent of Yahoo)</t>
      </text>
    </comment>
    <comment ref="I16" authorId="0" shapeId="0">
      <text>
        <t>Researched close (2022-12-30). Source: TMX Money daily history (independent of Yahoo)</t>
      </text>
    </comment>
    <comment ref="J16" authorId="0" shapeId="0">
      <text>
        <t>Researched close (2023-12-29). Source: TMX Money daily history (independent of Yahoo)</t>
      </text>
    </comment>
    <comment ref="K16" authorId="0" shapeId="0">
      <text>
        <t>Researched close (2024-12-31). Source: TMX Money daily history (independent of Yahoo)</t>
      </text>
    </comment>
    <comment ref="L16" authorId="0" shapeId="0">
      <text>
        <t>Researched close (2025-06-18). Source: TMX Money daily history (independent of Yahoo)</t>
      </text>
    </comment>
    <comment ref="D19" authorId="0" shapeId="0">
      <text>
        <t>As traded. Yahoo shows 5.6000 (history rescaled after a split / bonus issue / demerger).</t>
      </text>
    </comment>
    <comment ref="E19" authorId="0" shapeId="0">
      <text>
        <t>As traded. Yahoo shows 5.1000 (history rescaled after a split / bonus issue / demerger).</t>
      </text>
    </comment>
    <comment ref="F19" authorId="0" shapeId="0">
      <text>
        <t>5-for-1 share consolidation on 2019-08-20: earlier years are pre-consolidation prices, so a jump here is not a real price move.</t>
      </text>
    </comment>
    <comment ref="D22" authorId="0" shapeId="0">
      <text>
        <t>As traded. Yahoo shows 0.3074 (history rescaled after a split / bonus issue / demerger).</t>
      </text>
    </comment>
    <comment ref="E22" authorId="0" shapeId="0">
      <text>
        <t>As traded. Yahoo shows 0.3074 (history rescaled after a split / bonus issue / demerger).</t>
      </text>
    </comment>
    <comment ref="F22" authorId="0" shapeId="0">
      <text>
        <t>As traded. Yahoo shows 0.3040 (history rescaled after a split / bonus issue / demerger).</t>
      </text>
    </comment>
    <comment ref="G22" authorId="0" shapeId="0">
      <text>
        <t>As traded. Yahoo shows 0.7260 (history rescaled after a split / bonus issue / demerger).</t>
      </text>
    </comment>
    <comment ref="H22" authorId="0" shapeId="0">
      <text>
        <t>As traded. Yahoo shows 1.6500 (history rescaled after a split / bonus issue / demerger).</t>
      </text>
    </comment>
    <comment ref="I22" authorId="0" shapeId="0">
      <text>
        <t>10-for-1 share consolidation on 2022-01-06: earlier years are pre-consolidation prices, so a jump here is not a real price move.</t>
      </text>
    </comment>
    <comment ref="A23" authorId="0" shapeId="0">
      <text>
        <t>No free price history found for this delisted stock.</t>
      </text>
    </comment>
    <comment ref="A25" authorId="0" shapeId="0">
      <text>
        <t>No free price history found for this delisted stock.</t>
      </text>
    </comment>
    <comment ref="D30" authorId="0" shapeId="0">
      <text>
        <t>As traded. Yahoo shows 2.1502 (history rescaled after a split / bonus issue / demerger).
10-for-1 share consolidation on 2017-11-30: earlier years are pre-consolidation prices, so a jump here is not a real price move.</t>
      </text>
    </comment>
    <comment ref="E30" authorId="0" shapeId="0">
      <text>
        <t>As traded. Yahoo shows 1.5634 (history rescaled after a split / bonus issue / demerger).</t>
      </text>
    </comment>
    <comment ref="F30" authorId="0" shapeId="0">
      <text>
        <t>As traded. Yahoo shows 2.2982 (history rescaled after a split / bonus issue / demerger).</t>
      </text>
    </comment>
    <comment ref="D32" authorId="0" shapeId="0">
      <text>
        <t>As traded. Yahoo shows 22.8000 (history rescaled after a split / bonus issue / demerger).</t>
      </text>
    </comment>
    <comment ref="E32" authorId="0" shapeId="0">
      <text>
        <t>As traded. Yahoo shows 18.2000 (history rescaled after a split / bonus issue / demerger).</t>
      </text>
    </comment>
    <comment ref="F32" authorId="0" shapeId="0">
      <text>
        <t>As traded. Yahoo shows 12.7000 (history rescaled after a split / bonus issue / demerger).</t>
      </text>
    </comment>
    <comment ref="G32" authorId="0" shapeId="0">
      <text>
        <t>As traded. Yahoo shows 9.8500 (history rescaled after a split / bonus issue / demerger).</t>
      </text>
    </comment>
    <comment ref="H32" authorId="0" shapeId="0">
      <text>
        <t>As traded. Yahoo shows 8.8700 (history rescaled after a split / bonus issue / demerger).</t>
      </text>
    </comment>
    <comment ref="I32" authorId="0" shapeId="0">
      <text>
        <t>10-for-1 share consolidation on 2022-07-28: earlier years are pre-consolidation prices, so a jump here is not a real price move.</t>
      </text>
    </comment>
    <comment ref="D34" authorId="0" shapeId="0">
      <text>
        <t>Researched close (2017-08-15). Source: CNBC unadjusted history; Eastern Goldfields (EGS) last trade before suspension</t>
      </text>
    </comment>
    <comment ref="E34" authorId="0" shapeId="0">
      <text>
        <t>Researched close (2018-07-20). Source: CNBC unadjusted history; Eastern Goldfields (EGS) last trade before suspension</t>
      </text>
    </comment>
    <comment ref="F34" authorId="0" shapeId="0">
      <text>
        <t>As traded. Yahoo shows 0.1681 (history rescaled after a split / bonus issue / demerger).
15-for-1 share consolidation on 2019-06-12: earlier years are pre-consolidation prices, so a jump here is not a real price move.</t>
      </text>
    </comment>
    <comment ref="G34" authorId="0" shapeId="0">
      <text>
        <t>As traded. Yahoo shows 0.2798 (history rescaled after a split / bonus issue / demerger).</t>
      </text>
    </comment>
    <comment ref="H34" authorId="0" shapeId="0">
      <text>
        <t>As traded. Yahoo shows 0.0606 (history rescaled after a split / bonus issue / demerger).</t>
      </text>
    </comment>
    <comment ref="D35" authorId="0" shapeId="0">
      <text>
        <t>As traded. Yahoo shows 9.6900 (history rescaled after a split / bonus issue / demerger).</t>
      </text>
    </comment>
    <comment ref="E35" authorId="0" shapeId="0">
      <text>
        <t>As traded. Yahoo shows 14.9400 (history rescaled after a split / bonus issue / demerger).</t>
      </text>
    </comment>
    <comment ref="F35" authorId="0" shapeId="0">
      <text>
        <t>As traded. Yahoo shows 7.6500 (history rescaled after a split / bonus issue / demerger).</t>
      </text>
    </comment>
    <comment ref="G35" authorId="0" shapeId="0">
      <text>
        <t>As traded. Yahoo shows 7.3800 (history rescaled after a split / bonus issue / demerger).</t>
      </text>
    </comment>
    <comment ref="H35" authorId="0" shapeId="0">
      <text>
        <t>As traded. Yahoo shows 6.6000 (history rescaled after a split / bonus issue / demerger).</t>
      </text>
    </comment>
    <comment ref="I35" authorId="0" shapeId="0">
      <text>
        <t>As traded. Yahoo shows 7.7400 (history rescaled after a split / bonus issue / demerger).</t>
      </text>
    </comment>
    <comment ref="J35" authorId="0" shapeId="0">
      <text>
        <t>As traded. Yahoo shows 7.6200 (history rescaled after a split / bonus issue / demerger).</t>
      </text>
    </comment>
    <comment ref="K35" authorId="0" shapeId="0">
      <text>
        <t>As traded. Yahoo shows 11.9400 (history rescaled after a split / bonus issue / demerger).</t>
      </text>
    </comment>
    <comment ref="L35" authorId="0" shapeId="0">
      <text>
        <t>3-for-1 share consolidation on 2025-06-23: earlier years are pre-consolidation prices, so a jump here is not a real price move.</t>
      </text>
    </comment>
    <comment ref="G36" authorId="0" shapeId="0">
      <text>
        <t>As traded. Yahoo shows 22.7700 (history rescaled after a split / bonus issue / demerger).</t>
      </text>
    </comment>
    <comment ref="H36" authorId="0" shapeId="0">
      <text>
        <t>As traded. Yahoo shows 12.1800 (history rescaled after a split / bonus issue / demerger).</t>
      </text>
    </comment>
    <comment ref="I36" authorId="0" shapeId="0">
      <text>
        <t>3-for-1 share consolidation on 2022-05-04: earlier years are pre-consolidation prices, so a jump here is not a real price move.</t>
      </text>
    </comment>
    <comment ref="D37" authorId="0" shapeId="0">
      <text>
        <t>Researched close (2017-12-29). Source: TMX Money daily history (independent of Yahoo)</t>
      </text>
    </comment>
    <comment ref="E37" authorId="0" shapeId="0">
      <text>
        <t>Researched close (2018-12-31). Source: TMX Money daily history (independent of Yahoo)</t>
      </text>
    </comment>
    <comment ref="F37" authorId="0" shapeId="0">
      <text>
        <t>Researched close (2019-12-31). Source: TMX Money daily history (independent of Yahoo)</t>
      </text>
    </comment>
    <comment ref="G37" authorId="0" shapeId="0">
      <text>
        <t>Researched close (2020-12-31). Source: TMX Money daily history (independent of Yahoo)</t>
      </text>
    </comment>
    <comment ref="H37" authorId="0" shapeId="0">
      <text>
        <t>Researched close (2021-12-31). Source: TMX Money daily history (independent of Yahoo)</t>
      </text>
    </comment>
    <comment ref="I37" authorId="0" shapeId="0">
      <text>
        <t>Researched close (2022-12-30). Source: TMX Money daily history (independent of Yahoo)</t>
      </text>
    </comment>
    <comment ref="J37" authorId="0" shapeId="0">
      <text>
        <t>Researched close (2023-12-29). Source: TMX Money daily history (independent of Yahoo)</t>
      </text>
    </comment>
    <comment ref="K37" authorId="0" shapeId="0">
      <text>
        <t>Researched close (2024-12-31). Source: TMX Money daily history (independent of Yahoo)</t>
      </text>
    </comment>
    <comment ref="L37" authorId="0" shapeId="0">
      <text>
        <t>Researched close (2025-12-31). Source: TMX Money daily history (independent of Yahoo); matches Orla 2025 AIF (C$18.46)</t>
      </text>
    </comment>
    <comment ref="M37" authorId="0" shapeId="0">
      <text>
        <t>Researched close (2026-08-04). Source: TMX Money daily history (independent of Yahoo)</t>
      </text>
    </comment>
    <comment ref="D38" authorId="0" shapeId="0">
      <text>
        <t>Researched close (2017-12-29). Source: TMX Money daily history (independent of Yahoo)</t>
      </text>
    </comment>
    <comment ref="E38" authorId="0" shapeId="0">
      <text>
        <t>Researched close (2018-12-31). Source: TMX Money daily history (independent of Yahoo)</t>
      </text>
    </comment>
    <comment ref="F38" authorId="0" shapeId="0">
      <text>
        <t>Researched close (2019-12-31). Source: TMX Money daily history (independent of Yahoo)</t>
      </text>
    </comment>
    <comment ref="G38" authorId="0" shapeId="0">
      <text>
        <t>Researched close (2020-12-31). Source: TMX Money daily history (independent of Yahoo)</t>
      </text>
    </comment>
    <comment ref="H38" authorId="0" shapeId="0">
      <text>
        <t>Researched close (2021-12-31). Source: TMX Money daily history (independent of Yahoo)</t>
      </text>
    </comment>
    <comment ref="I38" authorId="0" shapeId="0">
      <text>
        <t>Researched close (2022-11-01). Source: TMX Money daily history (independent of Yahoo)</t>
      </text>
    </comment>
    <comment ref="D39" authorId="0" shapeId="0">
      <text>
        <t>As traded. Yahoo shows 3.6550 (history rescaled after a split / bonus issue / demerger).</t>
      </text>
    </comment>
    <comment ref="E39" authorId="0" shapeId="0">
      <text>
        <t>As traded. Yahoo shows 3.4000 (history rescaled after a split / bonus issue / demerger).</t>
      </text>
    </comment>
    <comment ref="F39" authorId="0" shapeId="0">
      <text>
        <t>As traded. Yahoo shows 2.6350 (history rescaled after a split / bonus issue / demerger).</t>
      </text>
    </comment>
    <comment ref="G39" authorId="0" shapeId="0">
      <text>
        <t>As traded. Yahoo shows 3.7400 (history rescaled after a split / bonus issue / demerger).</t>
      </text>
    </comment>
    <comment ref="H39" authorId="0" shapeId="0">
      <text>
        <t>As traded. Yahoo shows 5.6950 (history rescaled after a split / bonus issue / demerger).</t>
      </text>
    </comment>
    <comment ref="I39" authorId="0" shapeId="0">
      <text>
        <t>As traded. Yahoo shows 1.6320 (history rescaled after a split / bonus issue / demerger).</t>
      </text>
    </comment>
    <comment ref="J39" authorId="0" shapeId="0">
      <text>
        <t>As traded. Yahoo shows 0.9690 (history rescaled after a split / bonus issue / demerger).</t>
      </text>
    </comment>
    <comment ref="K39" authorId="0" shapeId="0">
      <text>
        <t>As traded. Yahoo shows 1.5300 (history rescaled after a split / bonus issue / demerger).</t>
      </text>
    </comment>
    <comment ref="L39" authorId="0" shapeId="0">
      <text>
        <t>17-for-1 share consolidation on 2025-04-04: earlier years are pre-consolidation prices, so a jump here is not a real price move.</t>
      </text>
    </comment>
    <comment ref="D42" authorId="0" shapeId="0">
      <text>
        <t>As traded. Yahoo shows 4.1437 (history rescaled after a split / bonus issue / demerger).</t>
      </text>
    </comment>
    <comment ref="E42" authorId="0" shapeId="0">
      <text>
        <t>As traded. Yahoo shows 4.6545 (history rescaled after a split / bonus issue / demerger).</t>
      </text>
    </comment>
    <comment ref="F42" authorId="0" shapeId="0">
      <text>
        <t>As traded. Yahoo shows 4.1823 (history rescaled after a split / bonus issue / demerger).</t>
      </text>
    </comment>
    <comment ref="G42" authorId="0" shapeId="0">
      <text>
        <t>As traded. Yahoo shows 3.6041 (history rescaled after a split / bonus issue / demerger).</t>
      </text>
    </comment>
    <comment ref="D43" authorId="0" shapeId="0">
      <text>
        <t>As traded. Yahoo shows 1.0214 (history rescaled after a split / bonus issue / demerger).</t>
      </text>
    </comment>
    <comment ref="E43" authorId="0" shapeId="0">
      <text>
        <t>As traded. Yahoo shows 1.0348 (history rescaled after a split / bonus issue / demerger).</t>
      </text>
    </comment>
    <comment ref="F43" authorId="0" shapeId="0">
      <text>
        <t>As traded. Yahoo shows 1.1289 (history rescaled after a split / bonus issue / demerger).</t>
      </text>
    </comment>
    <comment ref="G43" authorId="0" shapeId="0">
      <text>
        <t>As traded. Yahoo shows 0.7123 (history rescaled after a split / bonus issue / demerger).</t>
      </text>
    </comment>
    <comment ref="H43" authorId="0" shapeId="0">
      <text>
        <t>As traded. Yahoo shows 0.3494 (history rescaled after a split / bonus issue / demerger).</t>
      </text>
    </comment>
    <comment ref="D44" authorId="0" shapeId="0">
      <text>
        <t>As traded. Yahoo shows 1.6102 (history rescaled after a split / bonus issue / demerger).</t>
      </text>
    </comment>
    <comment ref="E44" authorId="0" shapeId="0">
      <text>
        <t>As traded. Yahoo shows 1.9811 (history rescaled after a split / bonus issue / demerger).</t>
      </text>
    </comment>
    <comment ref="F44" authorId="0" shapeId="0">
      <text>
        <t>As traded. Yahoo shows 1.1839 (history rescaled after a split / bonus issue / demerger).</t>
      </text>
    </comment>
    <comment ref="G44" authorId="0" shapeId="0">
      <text>
        <t>As traded. Yahoo shows 1.0272 (history rescaled after a split / bonus issue / demerger).</t>
      </text>
    </comment>
    <comment ref="H44" authorId="0" shapeId="0">
      <text>
        <t>As traded. Yahoo shows 0.6377 (history rescaled after a split / bonus issue / demerger).</t>
      </text>
    </comment>
    <comment ref="I44" authorId="0" shapeId="0">
      <text>
        <t>As traded. Yahoo shows 0.3373 (history rescaled after a split / bonus issue / demerger).</t>
      </text>
    </comment>
    <comment ref="D47" authorId="0" shapeId="0">
      <text>
        <t>As traded. Yahoo shows 2.1600 (history rescaled after a split / bonus issue / demerger).</t>
      </text>
    </comment>
    <comment ref="E47" authorId="0" shapeId="0">
      <text>
        <t>As traded. Yahoo shows 1.5600 (history rescaled after a split / bonus issue / demerger).</t>
      </text>
    </comment>
    <comment ref="F47" authorId="0" shapeId="0">
      <text>
        <t>As traded. Yahoo shows 1.5600 (history rescaled after a split / bonus issue / demerger).</t>
      </text>
    </comment>
    <comment ref="G47" authorId="0" shapeId="0">
      <text>
        <t>As traded. Yahoo shows 4.5600 (history rescaled after a split / bonus issue / demerger).</t>
      </text>
    </comment>
    <comment ref="H47" authorId="0" shapeId="0">
      <text>
        <t>As traded. Yahoo shows 4.1000 (history rescaled after a split / bonus issue / demerger).
6-for-1 share consolidation on 2021-08-26: earlier years are pre-consolidation prices, so a jump here is not a real price move.</t>
      </text>
    </comment>
    <comment ref="I47" authorId="0" shapeId="0">
      <text>
        <t>As traded. Yahoo shows 2.9600 (history rescaled after a split / bonus issue / demerger).</t>
      </text>
    </comment>
    <comment ref="J47" authorId="0" shapeId="0">
      <text>
        <t>As traded. Yahoo shows 1.5000 (history rescaled after a split / bonus issue / demerger).</t>
      </text>
    </comment>
    <comment ref="K47" authorId="0" shapeId="0">
      <text>
        <t>2-for-1 share consolidation on 2024-02-09: earlier years are pre-consolidation prices, so a jump here is not a real price move.</t>
      </text>
    </comment>
    <comment ref="D49" authorId="0" shapeId="0">
      <text>
        <t>As traded. Yahoo shows 0.3675 (history rescaled after a split / bonus issue / demerger).</t>
      </text>
    </comment>
    <comment ref="E49" authorId="0" shapeId="0">
      <text>
        <t>As traded. Yahoo shows 0.5639 (history rescaled after a split / bonus issue / demerger).</t>
      </text>
    </comment>
    <comment ref="F49" authorId="0" shapeId="0">
      <text>
        <t>As traded. Yahoo shows 2.0908 (history rescaled after a split / bonus issue / demerger).</t>
      </text>
    </comment>
    <comment ref="G49" authorId="0" shapeId="0">
      <text>
        <t>As traded. Yahoo shows 1.6473 (history rescaled after a split / bonus issue / demerger).</t>
      </text>
    </comment>
    <comment ref="H49" authorId="0" shapeId="0">
      <text>
        <t>As traded. Yahoo shows 1.8850 (history rescaled after a split / bonus issue / demerger).</t>
      </text>
    </comment>
    <comment ref="I49" authorId="0" shapeId="0">
      <text>
        <t>As traded. Yahoo shows 1.3325 (history rescaled after a split / bonus issue / demerger).</t>
      </text>
    </comment>
    <comment ref="J49" authorId="0" shapeId="0">
      <text>
        <t>As traded. Yahoo shows 2.0150 (history rescaled after a split / bonus issue / demerger).</t>
      </text>
    </comment>
    <comment ref="K49" authorId="0" shapeId="0">
      <text>
        <t>As traded. Yahoo shows 2.1450 (history rescaled after a split / bonus issue / demerger).</t>
      </text>
    </comment>
    <comment ref="L49" authorId="0" shapeId="0">
      <text>
        <t>6.5-for-1 share consolidation on 2025-11-18: earlier years are pre-consolidation prices, so a jump here is not a real price move.</t>
      </text>
    </comment>
    <comment ref="A53" authorId="0" shapeId="0">
      <text>
        <t>No free price history found for this delisted stock.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9"/>
  <sheetViews>
    <sheetView workbookViewId="0">
      <selection activeCell="A1" sqref="A1"/>
    </sheetView>
  </sheetViews>
  <sheetFormatPr baseColWidth="8" defaultRowHeight="15"/>
  <cols>
    <col width="40" customWidth="1" min="1" max="1"/>
    <col width="34" customWidth="1" min="2" max="2"/>
    <col width="13" customWidth="1" min="3" max="3"/>
    <col width="14" customWidth="1" min="4" max="4"/>
    <col width="9" customWidth="1" min="5" max="5"/>
    <col width="60" customWidth="1" min="6" max="6"/>
  </cols>
  <sheetData>
    <row r="1">
      <c r="A1" s="1" t="inlineStr">
        <is>
          <t>entity</t>
        </is>
      </c>
      <c r="B1" s="1" t="inlineStr">
        <is>
          <t>listed_parent</t>
        </is>
      </c>
      <c r="C1" s="1" t="inlineStr">
        <is>
          <t>ticker</t>
        </is>
      </c>
      <c r="D1" s="1" t="inlineStr">
        <is>
          <t>exchange</t>
        </is>
      </c>
      <c r="E1" s="1" t="inlineStr">
        <is>
          <t>currency</t>
        </is>
      </c>
      <c r="F1" s="1" t="inlineStr">
        <is>
          <t>cross_check</t>
        </is>
      </c>
      <c r="G1" s="1" t="inlineStr">
        <is>
          <t>note</t>
        </is>
      </c>
    </row>
    <row r="2">
      <c r="A2" t="inlineStr">
        <is>
          <t>1911 Gold Corp</t>
        </is>
      </c>
      <c r="B2" t="inlineStr">
        <is>
          <t>1911 Gold Corp</t>
        </is>
      </c>
      <c r="C2" t="inlineStr">
        <is>
          <t>AUMB.V</t>
        </is>
      </c>
      <c r="D2" t="inlineStr">
        <is>
          <t>TSXV</t>
        </is>
      </c>
      <c r="E2" t="inlineStr">
        <is>
          <t>CAD</t>
        </is>
      </c>
      <c r="F2" t="inlineStr">
        <is>
          <t>AUMBF</t>
        </is>
      </c>
    </row>
    <row r="3">
      <c r="A3" t="inlineStr">
        <is>
          <t>Alamos Gold Inc.</t>
        </is>
      </c>
      <c r="B3" t="inlineStr">
        <is>
          <t>Alamos Gold Inc</t>
        </is>
      </c>
      <c r="C3" t="inlineStr">
        <is>
          <t>AGI.TO</t>
        </is>
      </c>
      <c r="D3" t="inlineStr">
        <is>
          <t>TSX</t>
        </is>
      </c>
      <c r="E3" t="inlineStr">
        <is>
          <t>CAD</t>
        </is>
      </c>
      <c r="F3" t="inlineStr">
        <is>
          <t>AGI</t>
        </is>
      </c>
    </row>
    <row r="4">
      <c r="A4" t="inlineStr">
        <is>
          <t>Allied Gold South Africa</t>
        </is>
      </c>
      <c r="B4" t="inlineStr">
        <is>
          <t>Allied Gold Corp</t>
        </is>
      </c>
      <c r="C4" t="inlineStr">
        <is>
          <t>AAUC.TO</t>
        </is>
      </c>
      <c r="D4" t="inlineStr">
        <is>
          <t>TSX</t>
        </is>
      </c>
      <c r="E4" t="inlineStr">
        <is>
          <t>CAD</t>
        </is>
      </c>
      <c r="G4" t="inlineStr">
        <is>
          <t>Mapped to parent Allied Gold Corp (listed TSX 11 Sep 2023); specific SA entity unconfirmed</t>
        </is>
      </c>
    </row>
    <row r="5">
      <c r="A5" t="inlineStr">
        <is>
          <t>AngloGold Ashanti Limited</t>
        </is>
      </c>
      <c r="B5" t="inlineStr">
        <is>
          <t>AngloGold Ashanti plc</t>
        </is>
      </c>
      <c r="C5" t="inlineStr">
        <is>
          <t>AU</t>
        </is>
      </c>
      <c r="D5" t="inlineStr">
        <is>
          <t>NYSE</t>
        </is>
      </c>
      <c r="E5" t="inlineStr">
        <is>
          <t>USD</t>
        </is>
      </c>
      <c r="F5" t="inlineStr">
        <is>
          <t>ANG.JO</t>
        </is>
      </c>
    </row>
    <row r="6">
      <c r="A6" t="inlineStr">
        <is>
          <t>Argonaut Gold Corporate Account</t>
        </is>
      </c>
      <c r="B6" t="inlineStr">
        <is>
          <t>Argonaut Gold Inc</t>
        </is>
      </c>
      <c r="C6" t="inlineStr">
        <is>
          <t>AR.TO</t>
        </is>
      </c>
      <c r="D6" t="inlineStr">
        <is>
          <t>TSX</t>
        </is>
      </c>
      <c r="E6" t="inlineStr">
        <is>
          <t>CAD</t>
        </is>
      </c>
      <c r="F6" t="inlineStr">
        <is>
          <t>ARNGF</t>
        </is>
      </c>
      <c r="G6" t="inlineStr">
        <is>
          <t>Argonaut Gold was taken over by Alamos Gold on 12 Jul 2024</t>
        </is>
      </c>
    </row>
    <row r="7">
      <c r="A7" t="inlineStr">
        <is>
          <t>Atlantic Mining NS Inc.</t>
        </is>
      </c>
      <c r="B7" t="inlineStr">
        <is>
          <t>St Barbara Ltd</t>
        </is>
      </c>
      <c r="C7" t="inlineStr">
        <is>
          <t>SBM.AX</t>
        </is>
      </c>
      <c r="D7" t="inlineStr">
        <is>
          <t>ASX</t>
        </is>
      </c>
      <c r="E7" t="inlineStr">
        <is>
          <t>AUD</t>
        </is>
      </c>
      <c r="G7" t="inlineStr">
        <is>
          <t>Nova Scotia operations; St Barbara bought Atlantic Gold on 19 Jul 2019</t>
        </is>
      </c>
    </row>
    <row r="8">
      <c r="A8" t="inlineStr">
        <is>
          <t>B2Gold Corporation</t>
        </is>
      </c>
      <c r="B8" t="inlineStr">
        <is>
          <t>B2Gold Corp</t>
        </is>
      </c>
      <c r="C8" t="inlineStr">
        <is>
          <t>BTO.TO</t>
        </is>
      </c>
      <c r="D8" t="inlineStr">
        <is>
          <t>TSX</t>
        </is>
      </c>
      <c r="E8" t="inlineStr">
        <is>
          <t>CAD</t>
        </is>
      </c>
      <c r="F8" t="inlineStr">
        <is>
          <t>BTG</t>
        </is>
      </c>
    </row>
    <row r="9">
      <c r="A9" t="inlineStr">
        <is>
          <t>Barkerville Gold Mines</t>
        </is>
      </c>
      <c r="B9" t="inlineStr">
        <is>
          <t>Osisko Gold Group Inc (formerly Osisko Development)</t>
        </is>
      </c>
      <c r="C9" t="inlineStr">
        <is>
          <t>OGG.V</t>
        </is>
      </c>
      <c r="D9" t="inlineStr">
        <is>
          <t>TSXV</t>
        </is>
      </c>
      <c r="E9" t="inlineStr">
        <is>
          <t>CAD</t>
        </is>
      </c>
      <c r="F9" t="inlineStr">
        <is>
          <t>OGG;OGG.TO;OR.TO</t>
        </is>
      </c>
      <c r="G9" t="inlineStr">
        <is>
          <t>Barkerville (BGM.V) until Osisko Gold Royalties bought it on 21 Nov 2019; moved into Osisko Development (listed late 2020), renamed Osisko Gold (OGG) Jul 2026</t>
        </is>
      </c>
    </row>
    <row r="10">
      <c r="A10" t="inlineStr">
        <is>
          <t>Bralorne Gold Mines (Talisker Resources)</t>
        </is>
      </c>
      <c r="B10" t="inlineStr">
        <is>
          <t>Talisker Resources Ltd</t>
        </is>
      </c>
      <c r="C10" t="inlineStr">
        <is>
          <t>TSK.TO</t>
        </is>
      </c>
      <c r="D10" t="inlineStr">
        <is>
          <t>TSX</t>
        </is>
      </c>
      <c r="E10" t="inlineStr">
        <is>
          <t>CAD</t>
        </is>
      </c>
      <c r="F10" t="inlineStr">
        <is>
          <t>TSK.CN;TSKFF</t>
        </is>
      </c>
      <c r="G10" t="inlineStr">
        <is>
          <t>Subsidiary of Talisker since 16 Dec 2019</t>
        </is>
      </c>
    </row>
    <row r="11">
      <c r="A11" t="inlineStr">
        <is>
          <t>Calibre Mining Corporation</t>
        </is>
      </c>
      <c r="B11" t="inlineStr">
        <is>
          <t>Calibre Mining Corp</t>
        </is>
      </c>
      <c r="C11" t="inlineStr">
        <is>
          <t>CXB.TO</t>
        </is>
      </c>
      <c r="D11" t="inlineStr">
        <is>
          <t>TSX</t>
        </is>
      </c>
      <c r="E11" t="inlineStr">
        <is>
          <t>CAD</t>
        </is>
      </c>
      <c r="F11" t="inlineStr">
        <is>
          <t>CXBMF</t>
        </is>
      </c>
      <c r="G11" t="inlineStr">
        <is>
          <t>Taken over by Equinox Gold on 17 Jun 2025</t>
        </is>
      </c>
    </row>
    <row r="12">
      <c r="A12" t="inlineStr">
        <is>
          <t>Catalyst (Plutonic) Pty Ltd</t>
        </is>
      </c>
      <c r="B12" t="inlineStr">
        <is>
          <t>Catalyst Metals Ltd</t>
        </is>
      </c>
      <c r="C12" t="inlineStr">
        <is>
          <t>CYL.AX</t>
        </is>
      </c>
      <c r="D12" t="inlineStr">
        <is>
          <t>ASX</t>
        </is>
      </c>
      <c r="E12" t="inlineStr">
        <is>
          <t>AUD</t>
        </is>
      </c>
      <c r="G12" t="inlineStr">
        <is>
          <t>Plutonic mine; Catalyst bought Superior Gold on 30 Jun 2023</t>
        </is>
      </c>
    </row>
    <row r="13">
      <c r="A13" t="inlineStr">
        <is>
          <t>Centerra Gold Inc.</t>
        </is>
      </c>
      <c r="B13" t="inlineStr">
        <is>
          <t>Centerra Gold Inc</t>
        </is>
      </c>
      <c r="C13" t="inlineStr">
        <is>
          <t>CG.TO</t>
        </is>
      </c>
      <c r="D13" t="inlineStr">
        <is>
          <t>TSX</t>
        </is>
      </c>
      <c r="E13" t="inlineStr">
        <is>
          <t>CAD</t>
        </is>
      </c>
      <c r="F13" t="inlineStr">
        <is>
          <t>CGAU</t>
        </is>
      </c>
    </row>
    <row r="14">
      <c r="A14" t="inlineStr">
        <is>
          <t>Cerrado Gold - Minera Don Nicolas - Arge</t>
        </is>
      </c>
      <c r="B14" t="inlineStr">
        <is>
          <t>Cerrado Gold Inc</t>
        </is>
      </c>
      <c r="C14" t="inlineStr">
        <is>
          <t>CERT.V</t>
        </is>
      </c>
      <c r="D14" t="inlineStr">
        <is>
          <t>TSXV</t>
        </is>
      </c>
      <c r="E14" t="inlineStr">
        <is>
          <t>CAD</t>
        </is>
      </c>
      <c r="F14" t="inlineStr">
        <is>
          <t>CRDOF</t>
        </is>
      </c>
      <c r="G14" t="inlineStr">
        <is>
          <t>Subsidiary of Cerrado Gold since Mar 2020</t>
        </is>
      </c>
    </row>
    <row r="15">
      <c r="A15" t="inlineStr">
        <is>
          <t>Eldorado</t>
        </is>
      </c>
      <c r="B15" t="inlineStr">
        <is>
          <t>Eldorado Gold Corp</t>
        </is>
      </c>
      <c r="C15" t="inlineStr">
        <is>
          <t>ELD.TO</t>
        </is>
      </c>
      <c r="D15" t="inlineStr">
        <is>
          <t>TSX</t>
        </is>
      </c>
      <c r="E15" t="inlineStr">
        <is>
          <t>CAD</t>
        </is>
      </c>
      <c r="F15" t="inlineStr">
        <is>
          <t>EGO</t>
        </is>
      </c>
    </row>
    <row r="16">
      <c r="A16" t="inlineStr">
        <is>
          <t>Equinox Gold NAM - Leapfrog</t>
        </is>
      </c>
      <c r="B16" t="inlineStr">
        <is>
          <t>Equinox Gold Corp</t>
        </is>
      </c>
      <c r="C16" t="inlineStr">
        <is>
          <t>EQX.TO</t>
        </is>
      </c>
      <c r="D16" t="inlineStr">
        <is>
          <t>TSX</t>
        </is>
      </c>
      <c r="E16" t="inlineStr">
        <is>
          <t>CAD</t>
        </is>
      </c>
      <c r="F16" t="inlineStr">
        <is>
          <t>EQX</t>
        </is>
      </c>
      <c r="G16" t="inlineStr">
        <is>
          <t>Equinox Gold North America unit</t>
        </is>
      </c>
    </row>
    <row r="17">
      <c r="A17" t="inlineStr">
        <is>
          <t>Fortuna Mining Corp</t>
        </is>
      </c>
      <c r="B17" t="inlineStr">
        <is>
          <t>Fortuna Mining Corp</t>
        </is>
      </c>
      <c r="C17" t="inlineStr">
        <is>
          <t>FVI.TO</t>
        </is>
      </c>
      <c r="D17" t="inlineStr">
        <is>
          <t>TSX</t>
        </is>
      </c>
      <c r="E17" t="inlineStr">
        <is>
          <t>CAD</t>
        </is>
      </c>
      <c r="F17" t="inlineStr">
        <is>
          <t>FSM</t>
        </is>
      </c>
    </row>
    <row r="18">
      <c r="A18" t="inlineStr">
        <is>
          <t>Freda Rebecca Gold Mine</t>
        </is>
      </c>
      <c r="G18" t="inlineStr">
        <is>
          <t>No listing. Asa Resource Group (AIM) suspended 2017; mine now held by Kuvimba Mining House (Zimbabwe state)</t>
        </is>
      </c>
    </row>
    <row r="19">
      <c r="A19" t="inlineStr">
        <is>
          <t>G Ex Australia Pty Ltd</t>
        </is>
      </c>
      <c r="G19" t="inlineStr">
        <is>
          <t>No listing found (likely Dynamics G-Ex Pty Ltd, a private geology supplier - unconfirmed)</t>
        </is>
      </c>
    </row>
    <row r="20">
      <c r="A20" t="inlineStr">
        <is>
          <t>Genesis Minerals Limited</t>
        </is>
      </c>
      <c r="B20" t="inlineStr">
        <is>
          <t>Genesis Minerals Ltd</t>
        </is>
      </c>
      <c r="C20" t="inlineStr">
        <is>
          <t>GMD.AX</t>
        </is>
      </c>
      <c r="D20" t="inlineStr">
        <is>
          <t>ASX</t>
        </is>
      </c>
      <c r="E20" t="inlineStr">
        <is>
          <t>AUD</t>
        </is>
      </c>
    </row>
    <row r="21">
      <c r="A21" t="inlineStr">
        <is>
          <t>Gold Fields Limited</t>
        </is>
      </c>
      <c r="B21" t="inlineStr">
        <is>
          <t>Gold Fields Ltd</t>
        </is>
      </c>
      <c r="C21" t="inlineStr">
        <is>
          <t>GFI</t>
        </is>
      </c>
      <c r="D21" t="inlineStr">
        <is>
          <t>NYSE</t>
        </is>
      </c>
      <c r="E21" t="inlineStr">
        <is>
          <t>USD</t>
        </is>
      </c>
      <c r="F21" t="inlineStr">
        <is>
          <t>GFI.JO</t>
        </is>
      </c>
    </row>
    <row r="22">
      <c r="A22" t="inlineStr">
        <is>
          <t>Gold Road Resources</t>
        </is>
      </c>
      <c r="B22" t="inlineStr">
        <is>
          <t>Gold Road Resources Ltd</t>
        </is>
      </c>
      <c r="C22" t="inlineStr">
        <is>
          <t>GOR.AX</t>
        </is>
      </c>
      <c r="D22" t="inlineStr">
        <is>
          <t>ASX</t>
        </is>
      </c>
      <c r="E22" t="inlineStr">
        <is>
          <t>AUD</t>
        </is>
      </c>
      <c r="F22" t="inlineStr">
        <is>
          <t>ELKMF</t>
        </is>
      </c>
      <c r="G22" t="inlineStr">
        <is>
          <t>Taken over by Gold Fields; last traded 26 Sep 2025</t>
        </is>
      </c>
    </row>
    <row r="23">
      <c r="A23" t="inlineStr">
        <is>
          <t>Golden Spur Resources Pty Ltd</t>
        </is>
      </c>
      <c r="B23" t="inlineStr">
        <is>
          <t>Bellevue Gold Ltd</t>
        </is>
      </c>
      <c r="C23" t="inlineStr">
        <is>
          <t>BGL.AX</t>
        </is>
      </c>
      <c r="D23" t="inlineStr">
        <is>
          <t>ASX</t>
        </is>
      </c>
      <c r="E23" t="inlineStr">
        <is>
          <t>AUD</t>
        </is>
      </c>
      <c r="G23" t="inlineStr">
        <is>
          <t>Subsidiary of Bellevue Gold</t>
        </is>
      </c>
    </row>
    <row r="24">
      <c r="A24" t="inlineStr">
        <is>
          <t>Golden Star (Wassa) Ltd</t>
        </is>
      </c>
      <c r="B24" t="inlineStr">
        <is>
          <t>Chifeng Jilong Gold Mining Co Ltd</t>
        </is>
      </c>
      <c r="C24" t="inlineStr">
        <is>
          <t>600988.SS</t>
        </is>
      </c>
      <c r="D24" t="inlineStr">
        <is>
          <t>SSE</t>
        </is>
      </c>
      <c r="E24" t="inlineStr">
        <is>
          <t>CNY</t>
        </is>
      </c>
      <c r="F24" t="inlineStr">
        <is>
          <t>6693.HK</t>
        </is>
      </c>
      <c r="G24" t="inlineStr">
        <is>
          <t>Golden Star Resources (GSC.TO/GSS) owned Wassa until Chifeng bought it on 28 Jan 2022</t>
        </is>
      </c>
    </row>
    <row r="25">
      <c r="A25" t="inlineStr">
        <is>
          <t>Grupo Minero Bacis S.A. de C.V.</t>
        </is>
      </c>
      <c r="G25" t="inlineStr">
        <is>
          <t>Private (Mexico)</t>
        </is>
      </c>
    </row>
    <row r="26">
      <c r="A26" t="inlineStr">
        <is>
          <t>Harmony Gold Mining Company Ltd</t>
        </is>
      </c>
      <c r="B26" t="inlineStr">
        <is>
          <t>Harmony Gold Mining Co Ltd</t>
        </is>
      </c>
      <c r="C26" t="inlineStr">
        <is>
          <t>HMY</t>
        </is>
      </c>
      <c r="D26" t="inlineStr">
        <is>
          <t>NYSE</t>
        </is>
      </c>
      <c r="E26" t="inlineStr">
        <is>
          <t>USD</t>
        </is>
      </c>
      <c r="F26" t="inlineStr">
        <is>
          <t>HAR.JO</t>
        </is>
      </c>
    </row>
    <row r="27">
      <c r="A27" t="inlineStr">
        <is>
          <t>Hellyer Gold Mines Pty Ltd</t>
        </is>
      </c>
      <c r="G27" t="inlineStr">
        <is>
          <t>No listing. Parent NQ Minerals (Aquis) went into administration Aug 2021; now privately owned</t>
        </is>
      </c>
    </row>
    <row r="28">
      <c r="A28" t="inlineStr">
        <is>
          <t>Hummingbird Resources plc.</t>
        </is>
      </c>
      <c r="B28" t="inlineStr">
        <is>
          <t>Hummingbird Resources plc</t>
        </is>
      </c>
      <c r="C28" t="inlineStr">
        <is>
          <t>HUM.L</t>
        </is>
      </c>
      <c r="D28" t="inlineStr">
        <is>
          <t>LSE AIM</t>
        </is>
      </c>
      <c r="E28" t="inlineStr">
        <is>
          <t>GBp</t>
        </is>
      </c>
      <c r="G28" t="inlineStr">
        <is>
          <t>Taken private by Nioko Resources; last traded on AIM 28 Feb 2025</t>
        </is>
      </c>
    </row>
    <row r="29">
      <c r="A29" t="inlineStr">
        <is>
          <t>IAMGOLD</t>
        </is>
      </c>
      <c r="B29" t="inlineStr">
        <is>
          <t>IAMGOLD Corp</t>
        </is>
      </c>
      <c r="C29" t="inlineStr">
        <is>
          <t>IMG.TO</t>
        </is>
      </c>
      <c r="D29" t="inlineStr">
        <is>
          <t>TSX</t>
        </is>
      </c>
      <c r="E29" t="inlineStr">
        <is>
          <t>CAD</t>
        </is>
      </c>
      <c r="F29" t="inlineStr">
        <is>
          <t>IAG</t>
        </is>
      </c>
    </row>
    <row r="30">
      <c r="A30" t="inlineStr">
        <is>
          <t>JSC "AK ALTYNALMAS"</t>
        </is>
      </c>
      <c r="G30" t="inlineStr">
        <is>
          <t>Private (Kazakhstan); shares registered on KASE but not traded</t>
        </is>
      </c>
    </row>
    <row r="31">
      <c r="A31" t="inlineStr">
        <is>
          <t>K92 Mining Ltd</t>
        </is>
      </c>
      <c r="B31" t="inlineStr">
        <is>
          <t>K92 Mining Inc</t>
        </is>
      </c>
      <c r="C31" t="inlineStr">
        <is>
          <t>KNT.TO</t>
        </is>
      </c>
      <c r="D31" t="inlineStr">
        <is>
          <t>TSX</t>
        </is>
      </c>
      <c r="E31" t="inlineStr">
        <is>
          <t>CAD</t>
        </is>
      </c>
      <c r="F31" t="inlineStr">
        <is>
          <t>KNTNF</t>
        </is>
      </c>
    </row>
    <row r="32">
      <c r="A32" t="inlineStr">
        <is>
          <t>Kinross Gold Inc.</t>
        </is>
      </c>
      <c r="B32" t="inlineStr">
        <is>
          <t>Kinross Gold Corp</t>
        </is>
      </c>
      <c r="C32" t="inlineStr">
        <is>
          <t>K.TO</t>
        </is>
      </c>
      <c r="D32" t="inlineStr">
        <is>
          <t>TSX</t>
        </is>
      </c>
      <c r="E32" t="inlineStr">
        <is>
          <t>CAD</t>
        </is>
      </c>
      <c r="F32" t="inlineStr">
        <is>
          <t>KGC</t>
        </is>
      </c>
    </row>
    <row r="33">
      <c r="A33" t="inlineStr">
        <is>
          <t>Lane Xang Minerals Limited (LXML)</t>
        </is>
      </c>
      <c r="B33" t="inlineStr">
        <is>
          <t>Chifeng Jilin Gold Mining Co Ltd</t>
        </is>
      </c>
      <c r="C33" t="inlineStr">
        <is>
          <t>600988.SS</t>
        </is>
      </c>
      <c r="D33" t="inlineStr">
        <is>
          <t>SSE</t>
        </is>
      </c>
      <c r="E33" t="inlineStr">
        <is>
          <t>CNY</t>
        </is>
      </c>
      <c r="F33" t="inlineStr">
        <is>
          <t>6693.HK</t>
        </is>
      </c>
      <c r="G33" t="inlineStr">
        <is>
          <t>Sepon mine; bought by Chifeng from MMG on 30 Nov 2018</t>
        </is>
      </c>
    </row>
    <row r="34">
      <c r="A34" t="inlineStr">
        <is>
          <t>Mandalay Resources – Björkdalsgruvan AB</t>
        </is>
      </c>
      <c r="B34" t="inlineStr">
        <is>
          <t>Alkane Resources Ltd</t>
        </is>
      </c>
      <c r="C34" t="inlineStr">
        <is>
          <t>ALK.AX</t>
        </is>
      </c>
      <c r="D34" t="inlineStr">
        <is>
          <t>ASX</t>
        </is>
      </c>
      <c r="E34" t="inlineStr">
        <is>
          <t>AUD</t>
        </is>
      </c>
      <c r="F34" t="inlineStr">
        <is>
          <t>ALK.TO;MND.TO</t>
        </is>
      </c>
      <c r="G34" t="inlineStr">
        <is>
          <t>Mandalay Resources (MND.TO) owned Björkdal until its merger with Alkane on 5 Aug 2025</t>
        </is>
      </c>
    </row>
    <row r="35">
      <c r="A35" t="inlineStr">
        <is>
          <t>McEwen Mining - Black Fox Mine</t>
        </is>
      </c>
      <c r="B35" t="inlineStr">
        <is>
          <t>McEwen Mining Inc</t>
        </is>
      </c>
      <c r="C35" t="inlineStr">
        <is>
          <t>MUX</t>
        </is>
      </c>
      <c r="D35" t="inlineStr">
        <is>
          <t>NYSE</t>
        </is>
      </c>
      <c r="E35" t="inlineStr">
        <is>
          <t>USD</t>
        </is>
      </c>
      <c r="F35" t="inlineStr">
        <is>
          <t>MUX.TO</t>
        </is>
      </c>
      <c r="G35" t="inlineStr">
        <is>
          <t>Black Fox bought by McEwen from Primero on 6 Oct 2017</t>
        </is>
      </c>
    </row>
    <row r="36">
      <c r="A36" t="inlineStr">
        <is>
          <t>Mensin Gold Bibiani Limited</t>
        </is>
      </c>
      <c r="B36" t="inlineStr">
        <is>
          <t>Asante Gold Corp</t>
        </is>
      </c>
      <c r="C36" t="inlineStr">
        <is>
          <t>ASE.V</t>
        </is>
      </c>
      <c r="D36" t="inlineStr">
        <is>
          <t>TSXV</t>
        </is>
      </c>
      <c r="E36" t="inlineStr">
        <is>
          <t>CAD</t>
        </is>
      </c>
      <c r="F36" t="inlineStr">
        <is>
          <t>ASE.CN;ASGOF</t>
        </is>
      </c>
      <c r="G36" t="inlineStr">
        <is>
          <t>Subsidiary of Asante Gold since 19 Aug 2021 (bought from Resolute)</t>
        </is>
      </c>
    </row>
    <row r="37">
      <c r="A37" t="inlineStr">
        <is>
          <t>Minera Las Cenizas S.A.</t>
        </is>
      </c>
      <c r="G37" t="inlineStr">
        <is>
          <t>Private (Chile)</t>
        </is>
      </c>
    </row>
    <row r="38">
      <c r="A38" t="inlineStr">
        <is>
          <t>Mineros - Argentina</t>
        </is>
      </c>
      <c r="B38" t="inlineStr">
        <is>
          <t>Mineros SA</t>
        </is>
      </c>
      <c r="C38" t="inlineStr">
        <is>
          <t>MSA.TO</t>
        </is>
      </c>
      <c r="D38" t="inlineStr">
        <is>
          <t>TSX</t>
        </is>
      </c>
      <c r="E38" t="inlineStr">
        <is>
          <t>CAD</t>
        </is>
      </c>
      <c r="G38" t="inlineStr">
        <is>
          <t>Mineros SA (Colombia); TSX listing from 19 Nov 2021. Argentine Gualcamayo mine sold 2023</t>
        </is>
      </c>
    </row>
    <row r="39">
      <c r="A39" t="inlineStr">
        <is>
          <t>Model Earth</t>
        </is>
      </c>
      <c r="G39" t="inlineStr">
        <is>
          <t>Private geology consultancy (Perth) - no listing (identity unconfirmed)</t>
        </is>
      </c>
    </row>
    <row r="40">
      <c r="A40" t="inlineStr">
        <is>
          <t>Mt Weld Mining Pty Limited</t>
        </is>
      </c>
      <c r="B40" t="inlineStr">
        <is>
          <t>Lynas Rare Earths Ltd</t>
        </is>
      </c>
      <c r="C40" t="inlineStr">
        <is>
          <t>LYC.AX</t>
        </is>
      </c>
      <c r="D40" t="inlineStr">
        <is>
          <t>ASX</t>
        </is>
      </c>
      <c r="E40" t="inlineStr">
        <is>
          <t>AUD</t>
        </is>
      </c>
    </row>
    <row r="41">
      <c r="A41" t="inlineStr">
        <is>
          <t>Nalunaq A/S</t>
        </is>
      </c>
      <c r="B41" t="inlineStr">
        <is>
          <t>Amaroq Minerals Ltd</t>
        </is>
      </c>
      <c r="C41" t="inlineStr">
        <is>
          <t>AMRQ.L</t>
        </is>
      </c>
      <c r="D41" t="inlineStr">
        <is>
          <t>LSE</t>
        </is>
      </c>
      <c r="E41" t="inlineStr">
        <is>
          <t>GBp</t>
        </is>
      </c>
      <c r="F41" t="inlineStr">
        <is>
          <t>AMRQ.IC</t>
        </is>
      </c>
      <c r="G41" t="inlineStr">
        <is>
          <t>Subsidiary of Amaroq (formerly AEX Gold). Left the TSXV 19 Mar 2026; LSE since 2020</t>
        </is>
      </c>
    </row>
    <row r="42">
      <c r="A42" t="inlineStr">
        <is>
          <t>Navoi Mining &amp; Metallurgy Company (NGMK)</t>
        </is>
      </c>
      <c r="G42" t="inlineStr">
        <is>
          <t>State-owned (Uzbekistan); only Eurobonds listed, IPO paused</t>
        </is>
      </c>
    </row>
    <row r="43">
      <c r="A43" t="inlineStr">
        <is>
          <t>New Found Gold Corp</t>
        </is>
      </c>
      <c r="B43" t="inlineStr">
        <is>
          <t>New Found Gold Corp</t>
        </is>
      </c>
      <c r="C43" t="inlineStr">
        <is>
          <t>NFGC.TO</t>
        </is>
      </c>
      <c r="D43" t="inlineStr">
        <is>
          <t>TSX</t>
        </is>
      </c>
      <c r="E43" t="inlineStr">
        <is>
          <t>CAD</t>
        </is>
      </c>
      <c r="F43" t="inlineStr">
        <is>
          <t>NFGC</t>
        </is>
      </c>
      <c r="G43" t="inlineStr">
        <is>
          <t>TSXV (NFG) until 26 Aug 2026, then TSX (NFGC)</t>
        </is>
      </c>
    </row>
    <row r="44">
      <c r="A44" t="inlineStr">
        <is>
          <t>NQM GOLD 2 PTY LTD</t>
        </is>
      </c>
      <c r="G44" t="inlineStr">
        <is>
          <t>Pajingo mine. Parent Shandong Yulong Gold (601028.SS) from Nov 2022 until it delisted on 27 May 2025; no listed parent now</t>
        </is>
      </c>
    </row>
    <row r="45">
      <c r="A45" t="inlineStr">
        <is>
          <t>OceanaGold (Philippines) Inc.</t>
        </is>
      </c>
      <c r="B45" t="inlineStr">
        <is>
          <t>OceanaGold Corp</t>
        </is>
      </c>
      <c r="C45" t="inlineStr">
        <is>
          <t>OGC.TO</t>
        </is>
      </c>
      <c r="D45" t="inlineStr">
        <is>
          <t>TSX</t>
        </is>
      </c>
      <c r="E45" t="inlineStr">
        <is>
          <t>CAD</t>
        </is>
      </c>
      <c r="F45" t="inlineStr">
        <is>
          <t>OGP.PS;OGC</t>
        </is>
      </c>
      <c r="G45" t="inlineStr">
        <is>
          <t>About 80% owned by OceanaGold; OGPI itself listed on the PSE on 13 May 2024 (OGP.PS)</t>
        </is>
      </c>
    </row>
    <row r="46">
      <c r="A46" t="inlineStr">
        <is>
          <t>Ora Banda Mining Ltd</t>
        </is>
      </c>
      <c r="B46" t="inlineStr">
        <is>
          <t>Ora Banda Mining Ltd</t>
        </is>
      </c>
      <c r="C46" t="inlineStr">
        <is>
          <t>OBM.AX</t>
        </is>
      </c>
      <c r="D46" t="inlineStr">
        <is>
          <t>ASX</t>
        </is>
      </c>
      <c r="E46" t="inlineStr">
        <is>
          <t>AUD</t>
        </is>
      </c>
    </row>
    <row r="47">
      <c r="A47" t="inlineStr">
        <is>
          <t>Orla Mining Ltd</t>
        </is>
      </c>
      <c r="B47" t="inlineStr">
        <is>
          <t>Orla Mining Ltd</t>
        </is>
      </c>
      <c r="C47" t="inlineStr">
        <is>
          <t>OLA.TO</t>
        </is>
      </c>
      <c r="D47" t="inlineStr">
        <is>
          <t>TSX</t>
        </is>
      </c>
      <c r="E47" t="inlineStr">
        <is>
          <t>CAD</t>
        </is>
      </c>
      <c r="G47" t="inlineStr">
        <is>
          <t>Taken over by Equinox Gold on 31 Jul 2026 (1 EQX share per Orla share)</t>
        </is>
      </c>
    </row>
    <row r="48">
      <c r="A48" t="inlineStr">
        <is>
          <t>Pantoro Gold Limited</t>
        </is>
      </c>
      <c r="B48" t="inlineStr">
        <is>
          <t>Pantoro Gold Ltd</t>
        </is>
      </c>
      <c r="C48" t="inlineStr">
        <is>
          <t>PNR.AX</t>
        </is>
      </c>
      <c r="D48" t="inlineStr">
        <is>
          <t>ASX</t>
        </is>
      </c>
      <c r="E48" t="inlineStr">
        <is>
          <t>AUD</t>
        </is>
      </c>
    </row>
    <row r="49">
      <c r="A49" t="inlineStr">
        <is>
          <t>Premier Gold Mines USA Inc</t>
        </is>
      </c>
      <c r="B49" t="inlineStr">
        <is>
          <t>i-80 Gold Corp</t>
        </is>
      </c>
      <c r="C49" t="inlineStr">
        <is>
          <t>IAU.TO</t>
        </is>
      </c>
      <c r="D49" t="inlineStr">
        <is>
          <t>TSX</t>
        </is>
      </c>
      <c r="E49" t="inlineStr">
        <is>
          <t>CAD</t>
        </is>
      </c>
      <c r="F49" t="inlineStr">
        <is>
          <t>IAUX;PG.TO</t>
        </is>
      </c>
      <c r="G49" t="inlineStr">
        <is>
          <t>Premier Gold Mines (PG.TO) until Equinox bought it on 7 Apr 2021; since then part of i-80 Gold (listed 13 Apr 2021)</t>
        </is>
      </c>
    </row>
    <row r="50">
      <c r="A50" t="inlineStr">
        <is>
          <t>PT J Resources Nusantara</t>
        </is>
      </c>
      <c r="B50" t="inlineStr">
        <is>
          <t>PT J Resources Asia Pasifik Tbk</t>
        </is>
      </c>
      <c r="C50" t="inlineStr">
        <is>
          <t>PSAB.JK</t>
        </is>
      </c>
      <c r="D50" t="inlineStr">
        <is>
          <t>IDX</t>
        </is>
      </c>
      <c r="E50" t="inlineStr">
        <is>
          <t>IDR</t>
        </is>
      </c>
    </row>
    <row r="51">
      <c r="A51" t="inlineStr">
        <is>
          <t>Pure Gold Mining</t>
        </is>
      </c>
      <c r="B51" t="inlineStr">
        <is>
          <t>Pure Gold Mining Inc</t>
        </is>
      </c>
      <c r="C51" t="inlineStr">
        <is>
          <t>PGM.V</t>
        </is>
      </c>
      <c r="D51" t="inlineStr">
        <is>
          <t>TSXV</t>
        </is>
      </c>
      <c r="E51" t="inlineStr">
        <is>
          <t>CAD</t>
        </is>
      </c>
      <c r="F51" t="inlineStr">
        <is>
          <t>LRTNF;PUR.L</t>
        </is>
      </c>
      <c r="G51" t="inlineStr">
        <is>
          <t>CCAA Oct 2022; delisted 2023; now part of West Red Lake Gold</t>
        </is>
      </c>
    </row>
    <row r="52">
      <c r="A52" t="inlineStr">
        <is>
          <t>Qkr Namibia Navachab Gold Mine (Pty) Ltd</t>
        </is>
      </c>
      <c r="G52" t="inlineStr">
        <is>
          <t>Private (QKR Corporation 92.5%, Epangelo 7.5%)</t>
        </is>
      </c>
    </row>
    <row r="53">
      <c r="A53" t="inlineStr">
        <is>
          <t>Ramelius Resources Limited</t>
        </is>
      </c>
      <c r="B53" t="inlineStr">
        <is>
          <t>Ramelius Resources Ltd</t>
        </is>
      </c>
      <c r="C53" t="inlineStr">
        <is>
          <t>RMS.AX</t>
        </is>
      </c>
      <c r="D53" t="inlineStr">
        <is>
          <t>ASX</t>
        </is>
      </c>
      <c r="E53" t="inlineStr">
        <is>
          <t>AUD</t>
        </is>
      </c>
    </row>
    <row r="54">
      <c r="A54" t="inlineStr">
        <is>
          <t>Regis Resources Limited</t>
        </is>
      </c>
      <c r="B54" t="inlineStr">
        <is>
          <t>Regis Resources Ltd</t>
        </is>
      </c>
      <c r="C54" t="inlineStr">
        <is>
          <t>RRL.AX</t>
        </is>
      </c>
      <c r="D54" t="inlineStr">
        <is>
          <t>ASX</t>
        </is>
      </c>
      <c r="E54" t="inlineStr">
        <is>
          <t>AUD</t>
        </is>
      </c>
    </row>
    <row r="55">
      <c r="A55" t="inlineStr">
        <is>
          <t>Resolute Corporate Services</t>
        </is>
      </c>
      <c r="B55" t="inlineStr">
        <is>
          <t>Resolute Mining Ltd</t>
        </is>
      </c>
      <c r="C55" t="inlineStr">
        <is>
          <t>RSG.AX</t>
        </is>
      </c>
      <c r="D55" t="inlineStr">
        <is>
          <t>ASX</t>
        </is>
      </c>
      <c r="E55" t="inlineStr">
        <is>
          <t>AUD</t>
        </is>
      </c>
      <c r="F55" t="inlineStr">
        <is>
          <t>RSG.L</t>
        </is>
      </c>
      <c r="G55" t="inlineStr">
        <is>
          <t>Subsidiary of Resolute Mining</t>
        </is>
      </c>
    </row>
    <row r="56">
      <c r="A56" t="inlineStr">
        <is>
          <t>RG GOLD</t>
        </is>
      </c>
      <c r="B56" t="inlineStr">
        <is>
          <t>Zijin Gold International Co Ltd</t>
        </is>
      </c>
      <c r="C56" t="inlineStr">
        <is>
          <t>2259.HK</t>
        </is>
      </c>
      <c r="D56" t="inlineStr">
        <is>
          <t>HKEX</t>
        </is>
      </c>
      <c r="E56" t="inlineStr">
        <is>
          <t>HKD</t>
        </is>
      </c>
      <c r="F56" t="inlineStr">
        <is>
          <t>2899.HK</t>
        </is>
      </c>
      <c r="G56" t="inlineStr">
        <is>
          <t>Private (Verny Capital/RCF) until Zijin Gold bought it on 13 Oct 2025; Zijin Gold listed 30 Sep 2025</t>
        </is>
      </c>
    </row>
    <row r="57">
      <c r="A57" t="inlineStr">
        <is>
          <t>SALINAS GOLD MINERACAO LTDA</t>
        </is>
      </c>
      <c r="G57" t="inlineStr">
        <is>
          <t>Private (Brazil; RiverMet Resource Capital)</t>
        </is>
      </c>
    </row>
    <row r="58">
      <c r="A58" t="inlineStr">
        <is>
          <t>Saudi Gold Refinery Company Ltd</t>
        </is>
      </c>
      <c r="G58" t="inlineStr">
        <is>
          <t>Private (Al-Othaim group)</t>
        </is>
      </c>
    </row>
    <row r="59">
      <c r="A59" t="inlineStr">
        <is>
          <t>Spanish Mountain Gold Ltd.</t>
        </is>
      </c>
      <c r="B59" t="inlineStr">
        <is>
          <t>Spanish Mountain Gold Ltd</t>
        </is>
      </c>
      <c r="C59" t="inlineStr">
        <is>
          <t>SPA.V</t>
        </is>
      </c>
      <c r="D59" t="inlineStr">
        <is>
          <t>TSXV</t>
        </is>
      </c>
      <c r="E59" t="inlineStr">
        <is>
          <t>CAD</t>
        </is>
      </c>
    </row>
    <row r="60">
      <c r="A60" t="inlineStr">
        <is>
          <t>SSR Mining Inc.</t>
        </is>
      </c>
      <c r="B60" t="inlineStr">
        <is>
          <t>SSR Mining Inc</t>
        </is>
      </c>
      <c r="C60" t="inlineStr">
        <is>
          <t>SSRM</t>
        </is>
      </c>
      <c r="D60" t="inlineStr">
        <is>
          <t>NASDAQ</t>
        </is>
      </c>
      <c r="E60" t="inlineStr">
        <is>
          <t>USD</t>
        </is>
      </c>
      <c r="F60" t="inlineStr">
        <is>
          <t>SSRM.TO</t>
        </is>
      </c>
    </row>
    <row r="61">
      <c r="A61" t="inlineStr">
        <is>
          <t>Standard Gold de Colombia S.A.S.</t>
        </is>
      </c>
      <c r="G61" t="inlineStr">
        <is>
          <t>Private (Colombia) - no listed parent found</t>
        </is>
      </c>
    </row>
    <row r="62">
      <c r="A62" t="inlineStr">
        <is>
          <t>STLLR Gold Inc.</t>
        </is>
      </c>
      <c r="B62" t="inlineStr">
        <is>
          <t>STLLR Gold Inc</t>
        </is>
      </c>
      <c r="C62" t="inlineStr">
        <is>
          <t>STLR.TO</t>
        </is>
      </c>
      <c r="D62" t="inlineStr">
        <is>
          <t>TSX</t>
        </is>
      </c>
      <c r="E62" t="inlineStr">
        <is>
          <t>CAD</t>
        </is>
      </c>
      <c r="F62" t="inlineStr">
        <is>
          <t>ME.TO</t>
        </is>
      </c>
    </row>
    <row r="63">
      <c r="A63" t="inlineStr">
        <is>
          <t>Tumad</t>
        </is>
      </c>
      <c r="G63" t="inlineStr">
        <is>
          <t>Private (Nurol Holding, Turkey)</t>
        </is>
      </c>
    </row>
    <row r="64">
      <c r="A64" t="inlineStr">
        <is>
          <t>Vault Minerals Limited</t>
        </is>
      </c>
      <c r="B64" t="inlineStr">
        <is>
          <t>Vault Minerals Ltd</t>
        </is>
      </c>
      <c r="C64" t="inlineStr">
        <is>
          <t>VAU.AX</t>
        </is>
      </c>
      <c r="D64" t="inlineStr">
        <is>
          <t>ASX</t>
        </is>
      </c>
      <c r="E64" t="inlineStr">
        <is>
          <t>AUD</t>
        </is>
      </c>
      <c r="F64" t="inlineStr">
        <is>
          <t>RED.AX</t>
        </is>
      </c>
      <c r="G64" t="inlineStr">
        <is>
          <t>Formerly Red 5 (RED.AX); merged with Silver Lake Jun 2024; Genesis Minerals takeover pending (vote late Oct 2026)</t>
        </is>
      </c>
    </row>
    <row r="65">
      <c r="A65" t="inlineStr">
        <is>
          <t>Wahgnion Gold Operations SA</t>
        </is>
      </c>
      <c r="G65" t="inlineStr">
        <is>
          <t>State-owned (Burkina Faso, SOPAMIB) since 2024-25. Earlier owners: Teranga (TGZ.TO) to Feb 2021, Endeavour (EDV) to Jun 2023, Lilium (private)</t>
        </is>
      </c>
    </row>
    <row r="66">
      <c r="A66" t="inlineStr">
        <is>
          <t>Wesdome Gold Mines Ltd.</t>
        </is>
      </c>
      <c r="B66" t="inlineStr">
        <is>
          <t>Wesdome Gold Mines Ltd</t>
        </is>
      </c>
      <c r="C66" t="inlineStr">
        <is>
          <t>WDO.TO</t>
        </is>
      </c>
      <c r="D66" t="inlineStr">
        <is>
          <t>TSX</t>
        </is>
      </c>
      <c r="E66" t="inlineStr">
        <is>
          <t>CAD</t>
        </is>
      </c>
    </row>
    <row r="67">
      <c r="A67" t="inlineStr">
        <is>
          <t>West African Resources Ltd</t>
        </is>
      </c>
      <c r="B67" t="inlineStr">
        <is>
          <t>West African Resources Ltd</t>
        </is>
      </c>
      <c r="C67" t="inlineStr">
        <is>
          <t>WAF.AX</t>
        </is>
      </c>
      <c r="D67" t="inlineStr">
        <is>
          <t>ASX</t>
        </is>
      </c>
      <c r="E67" t="inlineStr">
        <is>
          <t>AUD</t>
        </is>
      </c>
    </row>
    <row r="68">
      <c r="A68" t="inlineStr">
        <is>
          <t>Westgold Resources Limited</t>
        </is>
      </c>
      <c r="B68" t="inlineStr">
        <is>
          <t>Westgold Resources Ltd</t>
        </is>
      </c>
      <c r="C68" t="inlineStr">
        <is>
          <t>WGX.AX</t>
        </is>
      </c>
      <c r="D68" t="inlineStr">
        <is>
          <t>ASX</t>
        </is>
      </c>
      <c r="E68" t="inlineStr">
        <is>
          <t>AUD</t>
        </is>
      </c>
    </row>
    <row r="69">
      <c r="A69" t="inlineStr">
        <is>
          <t>Wiluna Operations Pty Ltd</t>
        </is>
      </c>
      <c r="B69" t="inlineStr">
        <is>
          <t>Wiluna Mining Corp Ltd (formerly Blackham Resources)</t>
        </is>
      </c>
      <c r="C69" t="inlineStr">
        <is>
          <t>WMC.AX</t>
        </is>
      </c>
      <c r="D69" t="inlineStr">
        <is>
          <t>ASX</t>
        </is>
      </c>
      <c r="E69" t="inlineStr">
        <is>
          <t>AUD</t>
        </is>
      </c>
      <c r="F69" t="inlineStr">
        <is>
          <t>BLK.AX;WMX.AX</t>
        </is>
      </c>
      <c r="G69" t="inlineStr">
        <is>
          <t>Parent suspended Jul 2022 (administration), removed from ASX Apr 2024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55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32" customWidth="1" min="2" max="2"/>
    <col width="9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</cols>
  <sheetData>
    <row r="1">
      <c r="A1" s="1" t="inlineStr">
        <is>
          <t>ticker</t>
        </is>
      </c>
      <c r="B1" s="1" t="inlineStr">
        <is>
          <t>company</t>
        </is>
      </c>
      <c r="C1" s="1" t="inlineStr">
        <is>
          <t>currency</t>
        </is>
      </c>
      <c r="D1" s="1" t="inlineStr">
        <is>
          <t>2017</t>
        </is>
      </c>
      <c r="E1" s="1" t="inlineStr">
        <is>
          <t>2018</t>
        </is>
      </c>
      <c r="F1" s="1" t="inlineStr">
        <is>
          <t>2019</t>
        </is>
      </c>
      <c r="G1" s="1" t="inlineStr">
        <is>
          <t>2020</t>
        </is>
      </c>
      <c r="H1" s="1" t="inlineStr">
        <is>
          <t>2021</t>
        </is>
      </c>
      <c r="I1" s="1" t="inlineStr">
        <is>
          <t>2022</t>
        </is>
      </c>
      <c r="J1" s="1" t="inlineStr">
        <is>
          <t>2023</t>
        </is>
      </c>
      <c r="K1" s="1" t="inlineStr">
        <is>
          <t>2024</t>
        </is>
      </c>
      <c r="L1" s="1" t="inlineStr">
        <is>
          <t>2025</t>
        </is>
      </c>
      <c r="M1" s="1" t="inlineStr">
        <is>
          <t>2026</t>
        </is>
      </c>
    </row>
    <row r="2">
      <c r="A2" s="2" t="inlineStr">
        <is>
          <t>2259.HK</t>
        </is>
      </c>
      <c r="B2" s="2" t="inlineStr">
        <is>
          <t>Zijin Gold International Co Ltd</t>
        </is>
      </c>
      <c r="C2" s="2" t="inlineStr">
        <is>
          <t>HKD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>
        <v>146.2</v>
      </c>
      <c r="M2" s="3" t="n">
        <v>143.1</v>
      </c>
    </row>
    <row r="3">
      <c r="A3" s="2" t="inlineStr">
        <is>
          <t>600988.SS</t>
        </is>
      </c>
      <c r="B3" s="2" t="inlineStr">
        <is>
          <t>Chifeng Jilong Gold Mining Co Ltd</t>
        </is>
      </c>
      <c r="C3" s="2" t="inlineStr">
        <is>
          <t>CNY</t>
        </is>
      </c>
      <c r="D3" s="4" t="n">
        <v>6.44</v>
      </c>
      <c r="E3" s="3" t="n">
        <v>3.99</v>
      </c>
      <c r="F3" s="3" t="n">
        <v>5.03</v>
      </c>
      <c r="G3" s="3" t="n">
        <v>17.91</v>
      </c>
      <c r="H3" s="3" t="n">
        <v>14.9</v>
      </c>
      <c r="I3" s="3" t="n">
        <v>18.05</v>
      </c>
      <c r="J3" s="3" t="n">
        <v>14.01</v>
      </c>
      <c r="K3" s="3" t="n">
        <v>15.61</v>
      </c>
      <c r="L3" s="3" t="n">
        <v>31.24</v>
      </c>
      <c r="M3" s="3" t="n">
        <v>40.28</v>
      </c>
    </row>
    <row r="4">
      <c r="A4" s="2" t="inlineStr">
        <is>
          <t>AAUC.TO</t>
        </is>
      </c>
      <c r="B4" s="2" t="inlineStr">
        <is>
          <t>Allied Gold Corp</t>
        </is>
      </c>
      <c r="C4" s="2" t="inlineStr">
        <is>
          <t>CAD</t>
        </is>
      </c>
      <c r="D4" s="3" t="n"/>
      <c r="E4" s="3" t="n"/>
      <c r="F4" s="3" t="n"/>
      <c r="G4" s="3" t="n"/>
      <c r="H4" s="3" t="n"/>
      <c r="I4" s="3" t="n"/>
      <c r="J4" s="5" t="n">
        <v>3.51</v>
      </c>
      <c r="K4" s="5" t="n">
        <v>3.41</v>
      </c>
      <c r="L4" s="4" t="n">
        <v>31.45</v>
      </c>
      <c r="M4" s="3" t="n">
        <v>31.55</v>
      </c>
    </row>
    <row r="5">
      <c r="A5" s="2" t="inlineStr">
        <is>
          <t>AGI.TO</t>
        </is>
      </c>
      <c r="B5" s="2" t="inlineStr">
        <is>
          <t>Alamos Gold Inc</t>
        </is>
      </c>
      <c r="C5" s="2" t="inlineStr">
        <is>
          <t>CAD</t>
        </is>
      </c>
      <c r="D5" s="3" t="n">
        <v>8.19</v>
      </c>
      <c r="E5" s="3" t="n">
        <v>4.91</v>
      </c>
      <c r="F5" s="3" t="n">
        <v>7.83</v>
      </c>
      <c r="G5" s="3" t="n">
        <v>11.12</v>
      </c>
      <c r="H5" s="3" t="n">
        <v>9.73</v>
      </c>
      <c r="I5" s="3" t="n">
        <v>13.69</v>
      </c>
      <c r="J5" s="3" t="n">
        <v>17.82</v>
      </c>
      <c r="K5" s="3" t="n">
        <v>26.52</v>
      </c>
      <c r="L5" s="3" t="n">
        <v>53</v>
      </c>
      <c r="M5" s="3" t="n">
        <v>48.83</v>
      </c>
    </row>
    <row r="6">
      <c r="A6" s="2" t="inlineStr">
        <is>
          <t>ALK.AX</t>
        </is>
      </c>
      <c r="B6" s="2" t="inlineStr">
        <is>
          <t>Alkane Resources Ltd</t>
        </is>
      </c>
      <c r="C6" s="2" t="inlineStr">
        <is>
          <t>AUD</t>
        </is>
      </c>
      <c r="D6" s="5" t="n">
        <v>0.33</v>
      </c>
      <c r="E6" s="5" t="n">
        <v>0.195</v>
      </c>
      <c r="F6" s="5" t="n">
        <v>0.5853</v>
      </c>
      <c r="G6" s="3" t="n">
        <v>0.955</v>
      </c>
      <c r="H6" s="3" t="n">
        <v>0.915</v>
      </c>
      <c r="I6" s="3" t="n">
        <v>0.535</v>
      </c>
      <c r="J6" s="3" t="n">
        <v>0.655</v>
      </c>
      <c r="K6" s="3" t="n">
        <v>0.51</v>
      </c>
      <c r="L6" s="3" t="n">
        <v>1.345</v>
      </c>
      <c r="M6" s="3" t="n">
        <v>1.895</v>
      </c>
    </row>
    <row r="7">
      <c r="A7" s="2" t="inlineStr">
        <is>
          <t>AMRQ.L</t>
        </is>
      </c>
      <c r="B7" s="2" t="inlineStr">
        <is>
          <t>Amaroq Minerals Ltd</t>
        </is>
      </c>
      <c r="C7" s="2" t="inlineStr">
        <is>
          <t>GBp</t>
        </is>
      </c>
      <c r="D7" s="3" t="n"/>
      <c r="E7" s="3" t="n"/>
      <c r="F7" s="3" t="n"/>
      <c r="G7" s="3" t="n">
        <v>44.5</v>
      </c>
      <c r="H7" s="3" t="n">
        <v>34.5</v>
      </c>
      <c r="I7" s="3" t="n">
        <v>41.5</v>
      </c>
      <c r="J7" s="3" t="n">
        <v>63.5</v>
      </c>
      <c r="K7" s="3" t="n">
        <v>102</v>
      </c>
      <c r="L7" s="3" t="n">
        <v>109</v>
      </c>
      <c r="M7" s="3" t="n">
        <v>119.5</v>
      </c>
    </row>
    <row r="8">
      <c r="A8" s="2" t="inlineStr">
        <is>
          <t>AR.TO</t>
        </is>
      </c>
      <c r="B8" s="2" t="inlineStr">
        <is>
          <t>Argonaut Gold Inc</t>
        </is>
      </c>
      <c r="C8" s="2" t="inlineStr">
        <is>
          <t>CAD</t>
        </is>
      </c>
      <c r="D8" s="6" t="n">
        <v>2.4</v>
      </c>
      <c r="E8" s="6" t="n">
        <v>1.56</v>
      </c>
      <c r="F8" s="6" t="n">
        <v>1.95</v>
      </c>
      <c r="G8" s="6" t="n">
        <v>2.74</v>
      </c>
      <c r="H8" s="6" t="n">
        <v>2.4</v>
      </c>
      <c r="I8" s="6" t="n">
        <v>0.52</v>
      </c>
      <c r="J8" s="6" t="n">
        <v>0.47</v>
      </c>
      <c r="K8" s="6" t="n">
        <v>0.52</v>
      </c>
      <c r="L8" s="3" t="n"/>
      <c r="M8" s="3" t="n"/>
    </row>
    <row r="9">
      <c r="A9" s="2" t="inlineStr">
        <is>
          <t>ASE.V</t>
        </is>
      </c>
      <c r="B9" s="2" t="inlineStr">
        <is>
          <t>Asante Gold Corp</t>
        </is>
      </c>
      <c r="C9" s="2" t="inlineStr">
        <is>
          <t>CAD</t>
        </is>
      </c>
      <c r="D9" s="3" t="n">
        <v>0.075</v>
      </c>
      <c r="E9" s="3" t="n">
        <v>0.03</v>
      </c>
      <c r="F9" s="3" t="n">
        <v>0.045</v>
      </c>
      <c r="G9" s="3" t="n">
        <v>0.11</v>
      </c>
      <c r="H9" s="3" t="n">
        <v>1.22</v>
      </c>
      <c r="I9" s="3" t="n">
        <v>1.37</v>
      </c>
      <c r="J9" s="3" t="n">
        <v>1.42</v>
      </c>
      <c r="K9" s="3" t="n">
        <v>1.05</v>
      </c>
      <c r="L9" s="3" t="n">
        <v>1.65</v>
      </c>
      <c r="M9" s="3" t="n">
        <v>0.86</v>
      </c>
    </row>
    <row r="10">
      <c r="A10" s="2" t="inlineStr">
        <is>
          <t>AU</t>
        </is>
      </c>
      <c r="B10" s="2" t="inlineStr">
        <is>
          <t>AngloGold Ashanti plc</t>
        </is>
      </c>
      <c r="C10" s="2" t="inlineStr">
        <is>
          <t>USD</t>
        </is>
      </c>
      <c r="D10" s="3" t="n">
        <v>10.19</v>
      </c>
      <c r="E10" s="3" t="n">
        <v>12.55</v>
      </c>
      <c r="F10" s="3" t="n">
        <v>22.34</v>
      </c>
      <c r="G10" s="3" t="n">
        <v>22.62</v>
      </c>
      <c r="H10" s="3" t="n">
        <v>20.98</v>
      </c>
      <c r="I10" s="3" t="n">
        <v>19.42</v>
      </c>
      <c r="J10" s="3" t="n">
        <v>18.69</v>
      </c>
      <c r="K10" s="3" t="n">
        <v>23.08</v>
      </c>
      <c r="L10" s="3" t="n">
        <v>85.28</v>
      </c>
      <c r="M10" s="3" t="n">
        <v>99.03</v>
      </c>
    </row>
    <row r="11">
      <c r="A11" s="2" t="inlineStr">
        <is>
          <t>AUMB.V</t>
        </is>
      </c>
      <c r="B11" s="2" t="inlineStr">
        <is>
          <t>1911 Gold Corp</t>
        </is>
      </c>
      <c r="C11" s="2" t="inlineStr">
        <is>
          <t>CAD</t>
        </is>
      </c>
      <c r="D11" s="3" t="n"/>
      <c r="E11" s="3" t="n">
        <v>0.29</v>
      </c>
      <c r="F11" s="3" t="n">
        <v>0.25</v>
      </c>
      <c r="G11" s="3" t="n">
        <v>0.51</v>
      </c>
      <c r="H11" s="3" t="n">
        <v>0.305</v>
      </c>
      <c r="I11" s="3" t="n">
        <v>0.16</v>
      </c>
      <c r="J11" s="3" t="n">
        <v>0.075</v>
      </c>
      <c r="K11" s="3" t="n">
        <v>0.155</v>
      </c>
      <c r="L11" s="3" t="n">
        <v>0.88</v>
      </c>
      <c r="M11" s="3" t="n">
        <v>0.83</v>
      </c>
    </row>
    <row r="12">
      <c r="A12" s="2" t="inlineStr">
        <is>
          <t>BGL.AX</t>
        </is>
      </c>
      <c r="B12" s="2" t="inlineStr">
        <is>
          <t>Bellevue Gold Ltd</t>
        </is>
      </c>
      <c r="C12" s="2" t="inlineStr">
        <is>
          <t>AUD</t>
        </is>
      </c>
      <c r="D12" s="3" t="n">
        <v>0.265</v>
      </c>
      <c r="E12" s="3" t="n">
        <v>0.41</v>
      </c>
      <c r="F12" s="3" t="n">
        <v>0.535</v>
      </c>
      <c r="G12" s="3" t="n">
        <v>1.12</v>
      </c>
      <c r="H12" s="3" t="n">
        <v>0.845</v>
      </c>
      <c r="I12" s="3" t="n">
        <v>1.13</v>
      </c>
      <c r="J12" s="3" t="n">
        <v>1.675</v>
      </c>
      <c r="K12" s="3" t="n">
        <v>1.125</v>
      </c>
      <c r="L12" s="3" t="n">
        <v>1.705</v>
      </c>
      <c r="M12" s="3" t="n">
        <v>1.595</v>
      </c>
    </row>
    <row r="13">
      <c r="A13" s="2" t="inlineStr">
        <is>
          <t>BTO.TO</t>
        </is>
      </c>
      <c r="B13" s="2" t="inlineStr">
        <is>
          <t>B2Gold Corp</t>
        </is>
      </c>
      <c r="C13" s="2" t="inlineStr">
        <is>
          <t>CAD</t>
        </is>
      </c>
      <c r="D13" s="3" t="n">
        <v>3.88</v>
      </c>
      <c r="E13" s="3" t="n">
        <v>3.99</v>
      </c>
      <c r="F13" s="3" t="n">
        <v>5.21</v>
      </c>
      <c r="G13" s="3" t="n">
        <v>7.13</v>
      </c>
      <c r="H13" s="3" t="n">
        <v>4.98</v>
      </c>
      <c r="I13" s="3" t="n">
        <v>4.81</v>
      </c>
      <c r="J13" s="3" t="n">
        <v>4.19</v>
      </c>
      <c r="K13" s="3" t="n">
        <v>3.52</v>
      </c>
      <c r="L13" s="3" t="n">
        <v>6.18</v>
      </c>
      <c r="M13" s="3" t="n">
        <v>7.73</v>
      </c>
    </row>
    <row r="14">
      <c r="A14" s="2" t="inlineStr">
        <is>
          <t>CERT.V</t>
        </is>
      </c>
      <c r="B14" s="2" t="inlineStr">
        <is>
          <t>Cerrado Gold Inc</t>
        </is>
      </c>
      <c r="C14" s="2" t="inlineStr">
        <is>
          <t>CAD</t>
        </is>
      </c>
      <c r="D14" s="3" t="n"/>
      <c r="E14" s="3" t="n"/>
      <c r="F14" s="3" t="n"/>
      <c r="G14" s="3" t="n">
        <v>0.05</v>
      </c>
      <c r="H14" s="3" t="n">
        <v>1.41</v>
      </c>
      <c r="I14" s="3" t="n">
        <v>0.88</v>
      </c>
      <c r="J14" s="3" t="n">
        <v>0.6</v>
      </c>
      <c r="K14" s="3" t="n">
        <v>0.385</v>
      </c>
      <c r="L14" s="3" t="n">
        <v>1.65</v>
      </c>
      <c r="M14" s="3" t="n">
        <v>2.42</v>
      </c>
    </row>
    <row r="15">
      <c r="A15" s="2" t="inlineStr">
        <is>
          <t>CG.TO</t>
        </is>
      </c>
      <c r="B15" s="2" t="inlineStr">
        <is>
          <t>Centerra Gold Inc</t>
        </is>
      </c>
      <c r="C15" s="2" t="inlineStr">
        <is>
          <t>CAD</t>
        </is>
      </c>
      <c r="D15" s="3" t="n">
        <v>6.44</v>
      </c>
      <c r="E15" s="3" t="n">
        <v>5.86</v>
      </c>
      <c r="F15" s="3" t="n">
        <v>10.33</v>
      </c>
      <c r="G15" s="3" t="n">
        <v>14.74</v>
      </c>
      <c r="H15" s="3" t="n">
        <v>9.75</v>
      </c>
      <c r="I15" s="3" t="n">
        <v>7.01</v>
      </c>
      <c r="J15" s="3" t="n">
        <v>7.91</v>
      </c>
      <c r="K15" s="3" t="n">
        <v>8.18</v>
      </c>
      <c r="L15" s="3" t="n">
        <v>19.76</v>
      </c>
      <c r="M15" s="3" t="n">
        <v>31.89</v>
      </c>
    </row>
    <row r="16">
      <c r="A16" s="2" t="inlineStr">
        <is>
          <t>CXB.TO</t>
        </is>
      </c>
      <c r="B16" s="2" t="inlineStr">
        <is>
          <t>Calibre Mining Corp</t>
        </is>
      </c>
      <c r="C16" s="2" t="inlineStr">
        <is>
          <t>CAD</t>
        </is>
      </c>
      <c r="D16" s="6" t="n">
        <v>1.3</v>
      </c>
      <c r="E16" s="6" t="n">
        <v>0.365</v>
      </c>
      <c r="F16" s="6" t="n">
        <v>0.9399999999999999</v>
      </c>
      <c r="G16" s="6" t="n">
        <v>2.42</v>
      </c>
      <c r="H16" s="6" t="n">
        <v>1.34</v>
      </c>
      <c r="I16" s="6" t="n">
        <v>0.9</v>
      </c>
      <c r="J16" s="6" t="n">
        <v>1.36</v>
      </c>
      <c r="K16" s="6" t="n">
        <v>2.15</v>
      </c>
      <c r="L16" s="6" t="n">
        <v>2.99</v>
      </c>
      <c r="M16" s="3" t="n"/>
    </row>
    <row r="17">
      <c r="A17" s="2" t="inlineStr">
        <is>
          <t>CYL.AX</t>
        </is>
      </c>
      <c r="B17" s="2" t="inlineStr">
        <is>
          <t>Catalyst Metals Ltd</t>
        </is>
      </c>
      <c r="C17" s="2" t="inlineStr">
        <is>
          <t>AUD</t>
        </is>
      </c>
      <c r="D17" s="3" t="n">
        <v>1.23</v>
      </c>
      <c r="E17" s="3" t="n">
        <v>1.75</v>
      </c>
      <c r="F17" s="3" t="n">
        <v>2.82</v>
      </c>
      <c r="G17" s="3" t="n">
        <v>2.12</v>
      </c>
      <c r="H17" s="3" t="n">
        <v>1.965</v>
      </c>
      <c r="I17" s="3" t="n">
        <v>1.18</v>
      </c>
      <c r="J17" s="3" t="n">
        <v>0.805</v>
      </c>
      <c r="K17" s="3" t="n">
        <v>2.58</v>
      </c>
      <c r="L17" s="3" t="n">
        <v>7.36</v>
      </c>
      <c r="M17" s="3" t="n">
        <v>5.89</v>
      </c>
    </row>
    <row r="18">
      <c r="A18" s="2" t="inlineStr">
        <is>
          <t>ELD.TO</t>
        </is>
      </c>
      <c r="B18" s="2" t="inlineStr">
        <is>
          <t>Eldorado Gold Corp</t>
        </is>
      </c>
      <c r="C18" s="2" t="inlineStr">
        <is>
          <t>CAD</t>
        </is>
      </c>
      <c r="D18" s="3" t="n">
        <v>9.1</v>
      </c>
      <c r="E18" s="3" t="n">
        <v>4</v>
      </c>
      <c r="F18" s="3" t="n">
        <v>10.43</v>
      </c>
      <c r="G18" s="3" t="n">
        <v>16.87</v>
      </c>
      <c r="H18" s="3" t="n">
        <v>11.86</v>
      </c>
      <c r="I18" s="3" t="n">
        <v>11.29</v>
      </c>
      <c r="J18" s="3" t="n">
        <v>17.2</v>
      </c>
      <c r="K18" s="3" t="n">
        <v>21.38</v>
      </c>
      <c r="L18" s="3" t="n">
        <v>49.33</v>
      </c>
      <c r="M18" s="3" t="n">
        <v>59.34</v>
      </c>
    </row>
    <row r="19">
      <c r="A19" s="2" t="inlineStr">
        <is>
          <t>EQX.TO</t>
        </is>
      </c>
      <c r="B19" s="2" t="inlineStr">
        <is>
          <t>Equinox Gold Corp</t>
        </is>
      </c>
      <c r="C19" s="2" t="inlineStr">
        <is>
          <t>CAD</t>
        </is>
      </c>
      <c r="D19" s="5" t="n">
        <v>1.12</v>
      </c>
      <c r="E19" s="5" t="n">
        <v>1.02</v>
      </c>
      <c r="F19" s="4" t="n">
        <v>9.99</v>
      </c>
      <c r="G19" s="3" t="n">
        <v>13.17</v>
      </c>
      <c r="H19" s="3" t="n">
        <v>8.56</v>
      </c>
      <c r="I19" s="3" t="n">
        <v>4.43</v>
      </c>
      <c r="J19" s="3" t="n">
        <v>6.44</v>
      </c>
      <c r="K19" s="3" t="n">
        <v>7.24</v>
      </c>
      <c r="L19" s="3" t="n">
        <v>19.29</v>
      </c>
      <c r="M19" s="3" t="n">
        <v>16.87</v>
      </c>
    </row>
    <row r="20">
      <c r="A20" s="2" t="inlineStr">
        <is>
          <t>FVI.TO</t>
        </is>
      </c>
      <c r="B20" s="2" t="inlineStr">
        <is>
          <t>Fortuna Mining Corp</t>
        </is>
      </c>
      <c r="C20" s="2" t="inlineStr">
        <is>
          <t>CAD</t>
        </is>
      </c>
      <c r="D20" s="3" t="n">
        <v>6.56</v>
      </c>
      <c r="E20" s="3" t="n">
        <v>5</v>
      </c>
      <c r="F20" s="3" t="n">
        <v>5.29</v>
      </c>
      <c r="G20" s="3" t="n">
        <v>10.46</v>
      </c>
      <c r="H20" s="3" t="n">
        <v>4.94</v>
      </c>
      <c r="I20" s="3" t="n">
        <v>5.09</v>
      </c>
      <c r="J20" s="3" t="n">
        <v>5.1</v>
      </c>
      <c r="K20" s="3" t="n">
        <v>6.17</v>
      </c>
      <c r="L20" s="3" t="n">
        <v>13.45</v>
      </c>
      <c r="M20" s="3" t="n">
        <v>16.56</v>
      </c>
    </row>
    <row r="21">
      <c r="A21" s="2" t="inlineStr">
        <is>
          <t>GFI</t>
        </is>
      </c>
      <c r="B21" s="2" t="inlineStr">
        <is>
          <t>Gold Fields Ltd</t>
        </is>
      </c>
      <c r="C21" s="2" t="inlineStr">
        <is>
          <t>USD</t>
        </is>
      </c>
      <c r="D21" s="3" t="n">
        <v>4.3</v>
      </c>
      <c r="E21" s="3" t="n">
        <v>3.52</v>
      </c>
      <c r="F21" s="3" t="n">
        <v>6.6</v>
      </c>
      <c r="G21" s="3" t="n">
        <v>9.27</v>
      </c>
      <c r="H21" s="3" t="n">
        <v>10.99</v>
      </c>
      <c r="I21" s="3" t="n">
        <v>10.35</v>
      </c>
      <c r="J21" s="3" t="n">
        <v>14.46</v>
      </c>
      <c r="K21" s="3" t="n">
        <v>13.2</v>
      </c>
      <c r="L21" s="3" t="n">
        <v>43.66</v>
      </c>
      <c r="M21" s="3" t="n">
        <v>40.38</v>
      </c>
    </row>
    <row r="22">
      <c r="A22" s="2" t="inlineStr">
        <is>
          <t>GMD.AX</t>
        </is>
      </c>
      <c r="B22" s="2" t="inlineStr">
        <is>
          <t>Genesis Minerals Ltd</t>
        </is>
      </c>
      <c r="C22" s="2" t="inlineStr">
        <is>
          <t>AUD</t>
        </is>
      </c>
      <c r="D22" s="5" t="n">
        <v>0.033</v>
      </c>
      <c r="E22" s="5" t="n">
        <v>0.033</v>
      </c>
      <c r="F22" s="5" t="n">
        <v>0.032</v>
      </c>
      <c r="G22" s="5" t="n">
        <v>0.074</v>
      </c>
      <c r="H22" s="5" t="n">
        <v>0.165</v>
      </c>
      <c r="I22" s="4" t="n">
        <v>1.25</v>
      </c>
      <c r="J22" s="3" t="n">
        <v>1.79</v>
      </c>
      <c r="K22" s="3" t="n">
        <v>2.47</v>
      </c>
      <c r="L22" s="3" t="n">
        <v>7.25</v>
      </c>
      <c r="M22" s="3" t="n">
        <v>7.65</v>
      </c>
    </row>
    <row r="23">
      <c r="A23" s="2" t="inlineStr">
        <is>
          <t>GOR.AX</t>
        </is>
      </c>
      <c r="B23" s="2" t="inlineStr">
        <is>
          <t>Gold Road Resources Ltd</t>
        </is>
      </c>
      <c r="C23" s="2" t="inlineStr">
        <is>
          <t>AUD</t>
        </is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</row>
    <row r="24">
      <c r="A24" s="2" t="inlineStr">
        <is>
          <t>HMY</t>
        </is>
      </c>
      <c r="B24" s="2" t="inlineStr">
        <is>
          <t>Harmony Gold Mining Co Ltd</t>
        </is>
      </c>
      <c r="C24" s="2" t="inlineStr">
        <is>
          <t>USD</t>
        </is>
      </c>
      <c r="D24" s="3" t="n">
        <v>1.87</v>
      </c>
      <c r="E24" s="3" t="n">
        <v>1.79</v>
      </c>
      <c r="F24" s="3" t="n">
        <v>3.63</v>
      </c>
      <c r="G24" s="3" t="n">
        <v>4.68</v>
      </c>
      <c r="H24" s="3" t="n">
        <v>4.11</v>
      </c>
      <c r="I24" s="3" t="n">
        <v>3.4</v>
      </c>
      <c r="J24" s="3" t="n">
        <v>6.15</v>
      </c>
      <c r="K24" s="3" t="n">
        <v>8.210000000000001</v>
      </c>
      <c r="L24" s="3" t="n">
        <v>19.9</v>
      </c>
      <c r="M24" s="3" t="n">
        <v>18.97</v>
      </c>
    </row>
    <row r="25">
      <c r="A25" s="2" t="inlineStr">
        <is>
          <t>HUM.L</t>
        </is>
      </c>
      <c r="B25" s="2" t="inlineStr">
        <is>
          <t>Hummingbird Resources plc</t>
        </is>
      </c>
      <c r="C25" s="2" t="inlineStr">
        <is>
          <t>GBp</t>
        </is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</row>
    <row r="26">
      <c r="A26" s="2" t="inlineStr">
        <is>
          <t>IAU.TO</t>
        </is>
      </c>
      <c r="B26" s="2" t="inlineStr">
        <is>
          <t>i-80 Gold Corp</t>
        </is>
      </c>
      <c r="C26" s="2" t="inlineStr">
        <is>
          <t>CAD</t>
        </is>
      </c>
      <c r="D26" s="3" t="n"/>
      <c r="E26" s="3" t="n"/>
      <c r="F26" s="3" t="n"/>
      <c r="G26" s="3" t="n"/>
      <c r="H26" s="3" t="n">
        <v>3.09</v>
      </c>
      <c r="I26" s="3" t="n">
        <v>3.78</v>
      </c>
      <c r="J26" s="3" t="n">
        <v>2.33</v>
      </c>
      <c r="K26" s="3" t="n">
        <v>0.6899999999999999</v>
      </c>
      <c r="L26" s="3" t="n">
        <v>2.02</v>
      </c>
      <c r="M26" s="3" t="n">
        <v>2.48</v>
      </c>
    </row>
    <row r="27">
      <c r="A27" s="2" t="inlineStr">
        <is>
          <t>IMG.TO</t>
        </is>
      </c>
      <c r="B27" s="2" t="inlineStr">
        <is>
          <t>IAMGOLD Corp</t>
        </is>
      </c>
      <c r="C27" s="2" t="inlineStr">
        <is>
          <t>CAD</t>
        </is>
      </c>
      <c r="D27" s="3" t="n">
        <v>7.33</v>
      </c>
      <c r="E27" s="3" t="n">
        <v>5.01</v>
      </c>
      <c r="F27" s="3" t="n">
        <v>4.85</v>
      </c>
      <c r="G27" s="3" t="n">
        <v>4.67</v>
      </c>
      <c r="H27" s="3" t="n">
        <v>3.94</v>
      </c>
      <c r="I27" s="3" t="n">
        <v>3.47</v>
      </c>
      <c r="J27" s="3" t="n">
        <v>3.34</v>
      </c>
      <c r="K27" s="3" t="n">
        <v>7.43</v>
      </c>
      <c r="L27" s="3" t="n">
        <v>22.65</v>
      </c>
      <c r="M27" s="3" t="n">
        <v>27.85</v>
      </c>
    </row>
    <row r="28">
      <c r="A28" s="2" t="inlineStr">
        <is>
          <t>K.TO</t>
        </is>
      </c>
      <c r="B28" s="2" t="inlineStr">
        <is>
          <t>Kinross Gold Corp</t>
        </is>
      </c>
      <c r="C28" s="2" t="inlineStr">
        <is>
          <t>CAD</t>
        </is>
      </c>
      <c r="D28" s="3" t="n">
        <v>5.42</v>
      </c>
      <c r="E28" s="3" t="n">
        <v>4.4</v>
      </c>
      <c r="F28" s="3" t="n">
        <v>6.16</v>
      </c>
      <c r="G28" s="3" t="n">
        <v>9.34</v>
      </c>
      <c r="H28" s="3" t="n">
        <v>7.34</v>
      </c>
      <c r="I28" s="3" t="n">
        <v>5.52</v>
      </c>
      <c r="J28" s="3" t="n">
        <v>8.02</v>
      </c>
      <c r="K28" s="3" t="n">
        <v>13.35</v>
      </c>
      <c r="L28" s="3" t="n">
        <v>38.66</v>
      </c>
      <c r="M28" s="3" t="n">
        <v>35.46</v>
      </c>
    </row>
    <row r="29">
      <c r="A29" s="2" t="inlineStr">
        <is>
          <t>KNT.TO</t>
        </is>
      </c>
      <c r="B29" s="2" t="inlineStr">
        <is>
          <t>K92 Mining Inc</t>
        </is>
      </c>
      <c r="C29" s="2" t="inlineStr">
        <is>
          <t>CAD</t>
        </is>
      </c>
      <c r="D29" s="3" t="n">
        <v>0.54</v>
      </c>
      <c r="E29" s="3" t="n">
        <v>0.84</v>
      </c>
      <c r="F29" s="3" t="n">
        <v>2.88</v>
      </c>
      <c r="G29" s="3" t="n">
        <v>7.61</v>
      </c>
      <c r="H29" s="3" t="n">
        <v>7.19</v>
      </c>
      <c r="I29" s="3" t="n">
        <v>7.67</v>
      </c>
      <c r="J29" s="3" t="n">
        <v>6.51</v>
      </c>
      <c r="K29" s="3" t="n">
        <v>8.68</v>
      </c>
      <c r="L29" s="3" t="n">
        <v>22.69</v>
      </c>
      <c r="M29" s="3" t="n">
        <v>29.45</v>
      </c>
    </row>
    <row r="30">
      <c r="A30" s="2" t="inlineStr">
        <is>
          <t>LYC.AX</t>
        </is>
      </c>
      <c r="B30" s="2" t="inlineStr">
        <is>
          <t>Lynas Rare Earths Ltd</t>
        </is>
      </c>
      <c r="C30" s="2" t="inlineStr">
        <is>
          <t>AUD</t>
        </is>
      </c>
      <c r="D30" s="7" t="n">
        <v>2.18</v>
      </c>
      <c r="E30" s="5" t="n">
        <v>1.585</v>
      </c>
      <c r="F30" s="5" t="n">
        <v>2.33</v>
      </c>
      <c r="G30" s="3" t="n">
        <v>3.98</v>
      </c>
      <c r="H30" s="3" t="n">
        <v>10.17</v>
      </c>
      <c r="I30" s="3" t="n">
        <v>7.85</v>
      </c>
      <c r="J30" s="3" t="n">
        <v>7.16</v>
      </c>
      <c r="K30" s="3" t="n">
        <v>6.43</v>
      </c>
      <c r="L30" s="3" t="n">
        <v>12.44</v>
      </c>
      <c r="M30" s="3" t="n">
        <v>14.22</v>
      </c>
    </row>
    <row r="31">
      <c r="A31" s="2" t="inlineStr">
        <is>
          <t>MSA.TO</t>
        </is>
      </c>
      <c r="B31" s="2" t="inlineStr">
        <is>
          <t>Mineros SA</t>
        </is>
      </c>
      <c r="C31" s="2" t="inlineStr">
        <is>
          <t>CAD</t>
        </is>
      </c>
      <c r="D31" s="3" t="n"/>
      <c r="E31" s="3" t="n"/>
      <c r="F31" s="3" t="n"/>
      <c r="G31" s="3" t="n"/>
      <c r="H31" s="3" t="n">
        <v>1.13</v>
      </c>
      <c r="I31" s="3" t="n">
        <v>0.7</v>
      </c>
      <c r="J31" s="3" t="n">
        <v>0.65</v>
      </c>
      <c r="K31" s="3" t="n">
        <v>1.49</v>
      </c>
      <c r="L31" s="3" t="n">
        <v>5.62</v>
      </c>
      <c r="M31" s="3" t="n">
        <v>9.949999999999999</v>
      </c>
    </row>
    <row r="32">
      <c r="A32" s="2" t="inlineStr">
        <is>
          <t>MUX</t>
        </is>
      </c>
      <c r="B32" s="2" t="inlineStr">
        <is>
          <t>McEwen Mining Inc</t>
        </is>
      </c>
      <c r="C32" s="2" t="inlineStr">
        <is>
          <t>USD</t>
        </is>
      </c>
      <c r="D32" s="5" t="n">
        <v>2.28</v>
      </c>
      <c r="E32" s="5" t="n">
        <v>1.82</v>
      </c>
      <c r="F32" s="5" t="n">
        <v>1.27</v>
      </c>
      <c r="G32" s="5" t="n">
        <v>0.985</v>
      </c>
      <c r="H32" s="5" t="n">
        <v>0.887</v>
      </c>
      <c r="I32" s="4" t="n">
        <v>5.86</v>
      </c>
      <c r="J32" s="3" t="n">
        <v>7.21</v>
      </c>
      <c r="K32" s="3" t="n">
        <v>7.78</v>
      </c>
      <c r="L32" s="3" t="n">
        <v>18.51</v>
      </c>
      <c r="M32" s="3" t="n">
        <v>19.02</v>
      </c>
    </row>
    <row r="33">
      <c r="A33" s="2" t="inlineStr">
        <is>
          <t>NFGC.TO</t>
        </is>
      </c>
      <c r="B33" s="2" t="inlineStr">
        <is>
          <t>New Found Gold Corp</t>
        </is>
      </c>
      <c r="C33" s="2" t="inlineStr">
        <is>
          <t>CAD</t>
        </is>
      </c>
      <c r="D33" s="3" t="n"/>
      <c r="E33" s="3" t="n"/>
      <c r="F33" s="3" t="n"/>
      <c r="G33" s="3" t="n">
        <v>4.07</v>
      </c>
      <c r="H33" s="3" t="n">
        <v>8.98</v>
      </c>
      <c r="I33" s="3" t="n">
        <v>5.45</v>
      </c>
      <c r="J33" s="3" t="n">
        <v>4.67</v>
      </c>
      <c r="K33" s="3" t="n">
        <v>2.59</v>
      </c>
      <c r="L33" s="3" t="n">
        <v>4.06</v>
      </c>
      <c r="M33" s="3" t="n">
        <v>2.49</v>
      </c>
    </row>
    <row r="34">
      <c r="A34" s="2" t="inlineStr">
        <is>
          <t>OBM.AX</t>
        </is>
      </c>
      <c r="B34" s="2" t="inlineStr">
        <is>
          <t>Ora Banda Mining Ltd</t>
        </is>
      </c>
      <c r="C34" s="2" t="inlineStr">
        <is>
          <t>AUD</t>
        </is>
      </c>
      <c r="D34" s="6" t="n">
        <v>0.235</v>
      </c>
      <c r="E34" s="6" t="n">
        <v>0.115</v>
      </c>
      <c r="F34" s="7" t="n">
        <v>0.185</v>
      </c>
      <c r="G34" s="5" t="n">
        <v>0.305</v>
      </c>
      <c r="H34" s="5" t="n">
        <v>0.066</v>
      </c>
      <c r="I34" s="3" t="n">
        <v>0.08400000000000001</v>
      </c>
      <c r="J34" s="3" t="n">
        <v>0.24</v>
      </c>
      <c r="K34" s="3" t="n">
        <v>0.65</v>
      </c>
      <c r="L34" s="3" t="n">
        <v>1.53</v>
      </c>
      <c r="M34" s="3" t="n">
        <v>1.545</v>
      </c>
    </row>
    <row r="35">
      <c r="A35" s="2" t="inlineStr">
        <is>
          <t>OGC.TO</t>
        </is>
      </c>
      <c r="B35" s="2" t="inlineStr">
        <is>
          <t>OceanaGold Corp</t>
        </is>
      </c>
      <c r="C35" s="2" t="inlineStr">
        <is>
          <t>CAD</t>
        </is>
      </c>
      <c r="D35" s="5" t="n">
        <v>3.23</v>
      </c>
      <c r="E35" s="5" t="n">
        <v>4.98</v>
      </c>
      <c r="F35" s="5" t="n">
        <v>2.55</v>
      </c>
      <c r="G35" s="5" t="n">
        <v>2.46</v>
      </c>
      <c r="H35" s="5" t="n">
        <v>2.2</v>
      </c>
      <c r="I35" s="5" t="n">
        <v>2.58</v>
      </c>
      <c r="J35" s="5" t="n">
        <v>2.54</v>
      </c>
      <c r="K35" s="5" t="n">
        <v>3.98</v>
      </c>
      <c r="L35" s="4" t="n">
        <v>38.9</v>
      </c>
      <c r="M35" s="3" t="n">
        <v>39.88</v>
      </c>
    </row>
    <row r="36">
      <c r="A36" s="2" t="inlineStr">
        <is>
          <t>OGG.V</t>
        </is>
      </c>
      <c r="B36" s="2" t="inlineStr">
        <is>
          <t>Osisko Gold Group Inc (formerly Osisko Development)</t>
        </is>
      </c>
      <c r="C36" s="2" t="inlineStr">
        <is>
          <t>CAD</t>
        </is>
      </c>
      <c r="D36" s="3" t="n"/>
      <c r="E36" s="3" t="n"/>
      <c r="F36" s="3" t="n"/>
      <c r="G36" s="5" t="n">
        <v>7.59</v>
      </c>
      <c r="H36" s="5" t="n">
        <v>4.06</v>
      </c>
      <c r="I36" s="4" t="n">
        <v>5.77</v>
      </c>
      <c r="J36" s="3" t="n">
        <v>3.85</v>
      </c>
      <c r="K36" s="3" t="n">
        <v>2.34</v>
      </c>
      <c r="L36" s="3" t="n">
        <v>4.65</v>
      </c>
      <c r="M36" s="3" t="n">
        <v>3.98</v>
      </c>
    </row>
    <row r="37">
      <c r="A37" s="2" t="inlineStr">
        <is>
          <t>OLA.TO</t>
        </is>
      </c>
      <c r="B37" s="2" t="inlineStr">
        <is>
          <t>Orla Mining Ltd</t>
        </is>
      </c>
      <c r="C37" s="2" t="inlineStr">
        <is>
          <t>CAD</t>
        </is>
      </c>
      <c r="D37" s="6" t="n">
        <v>1.78</v>
      </c>
      <c r="E37" s="6" t="n">
        <v>1.05</v>
      </c>
      <c r="F37" s="6" t="n">
        <v>2</v>
      </c>
      <c r="G37" s="6" t="n">
        <v>6.86</v>
      </c>
      <c r="H37" s="6" t="n">
        <v>4.83</v>
      </c>
      <c r="I37" s="6" t="n">
        <v>5.48</v>
      </c>
      <c r="J37" s="6" t="n">
        <v>4.32</v>
      </c>
      <c r="K37" s="6" t="n">
        <v>7.96</v>
      </c>
      <c r="L37" s="6" t="n">
        <v>18.46</v>
      </c>
      <c r="M37" s="6" t="n">
        <v>13.46</v>
      </c>
    </row>
    <row r="38">
      <c r="A38" s="2" t="inlineStr">
        <is>
          <t>PGM.V</t>
        </is>
      </c>
      <c r="B38" s="2" t="inlineStr">
        <is>
          <t>Pure Gold Mining Inc</t>
        </is>
      </c>
      <c r="C38" s="2" t="inlineStr">
        <is>
          <t>CAD</t>
        </is>
      </c>
      <c r="D38" s="6" t="n">
        <v>0.5600000000000001</v>
      </c>
      <c r="E38" s="6" t="n">
        <v>0.65</v>
      </c>
      <c r="F38" s="6" t="n">
        <v>0.8100000000000001</v>
      </c>
      <c r="G38" s="6" t="n">
        <v>2.58</v>
      </c>
      <c r="H38" s="6" t="n">
        <v>0.68</v>
      </c>
      <c r="I38" s="6" t="n">
        <v>0.015</v>
      </c>
      <c r="J38" s="3" t="n"/>
      <c r="K38" s="3" t="n"/>
      <c r="L38" s="3" t="n"/>
      <c r="M38" s="3" t="n"/>
    </row>
    <row r="39">
      <c r="A39" s="2" t="inlineStr">
        <is>
          <t>PNR.AX</t>
        </is>
      </c>
      <c r="B39" s="2" t="inlineStr">
        <is>
          <t>Pantoro Gold Ltd</t>
        </is>
      </c>
      <c r="C39" s="2" t="inlineStr">
        <is>
          <t>AUD</t>
        </is>
      </c>
      <c r="D39" s="5" t="n">
        <v>0.215</v>
      </c>
      <c r="E39" s="5" t="n">
        <v>0.2</v>
      </c>
      <c r="F39" s="5" t="n">
        <v>0.155</v>
      </c>
      <c r="G39" s="5" t="n">
        <v>0.22</v>
      </c>
      <c r="H39" s="5" t="n">
        <v>0.335</v>
      </c>
      <c r="I39" s="5" t="n">
        <v>0.096</v>
      </c>
      <c r="J39" s="5" t="n">
        <v>0.057</v>
      </c>
      <c r="K39" s="5" t="n">
        <v>0.09</v>
      </c>
      <c r="L39" s="4" t="n">
        <v>4.89</v>
      </c>
      <c r="M39" s="3" t="n">
        <v>2.94</v>
      </c>
    </row>
    <row r="40">
      <c r="A40" s="2" t="inlineStr">
        <is>
          <t>PSAB.JK</t>
        </is>
      </c>
      <c r="B40" s="2" t="inlineStr">
        <is>
          <t>PT J Resources Asia Pasifik Tbk</t>
        </is>
      </c>
      <c r="C40" s="2" t="inlineStr">
        <is>
          <t>IDR</t>
        </is>
      </c>
      <c r="D40" s="3" t="n">
        <v>179</v>
      </c>
      <c r="E40" s="3" t="n">
        <v>202</v>
      </c>
      <c r="F40" s="3" t="n">
        <v>260</v>
      </c>
      <c r="G40" s="3" t="n">
        <v>264</v>
      </c>
      <c r="H40" s="3" t="n">
        <v>139</v>
      </c>
      <c r="I40" s="3" t="n">
        <v>107</v>
      </c>
      <c r="J40" s="3" t="n">
        <v>88</v>
      </c>
      <c r="K40" s="3" t="n">
        <v>234</v>
      </c>
      <c r="L40" s="3" t="n">
        <v>550</v>
      </c>
      <c r="M40" s="3" t="n">
        <v>535</v>
      </c>
    </row>
    <row r="41">
      <c r="A41" s="2" t="inlineStr">
        <is>
          <t>RMS.AX</t>
        </is>
      </c>
      <c r="B41" s="2" t="inlineStr">
        <is>
          <t>Ramelius Resources Ltd</t>
        </is>
      </c>
      <c r="C41" s="2" t="inlineStr">
        <is>
          <t>AUD</t>
        </is>
      </c>
      <c r="D41" s="3" t="n">
        <v>0.385</v>
      </c>
      <c r="E41" s="3" t="n">
        <v>0.47</v>
      </c>
      <c r="F41" s="3" t="n">
        <v>1.235</v>
      </c>
      <c r="G41" s="3" t="n">
        <v>1.685</v>
      </c>
      <c r="H41" s="3" t="n">
        <v>1.57</v>
      </c>
      <c r="I41" s="3" t="n">
        <v>0.93</v>
      </c>
      <c r="J41" s="3" t="n">
        <v>1.685</v>
      </c>
      <c r="K41" s="3" t="n">
        <v>2.07</v>
      </c>
      <c r="L41" s="3" t="n">
        <v>4.16</v>
      </c>
      <c r="M41" s="3" t="n">
        <v>3.87</v>
      </c>
    </row>
    <row r="42">
      <c r="A42" s="2" t="inlineStr">
        <is>
          <t>RRL.AX</t>
        </is>
      </c>
      <c r="B42" s="2" t="inlineStr">
        <is>
          <t>Regis Resources Ltd</t>
        </is>
      </c>
      <c r="C42" s="2" t="inlineStr">
        <is>
          <t>AUD</t>
        </is>
      </c>
      <c r="D42" s="5" t="n">
        <v>4.3</v>
      </c>
      <c r="E42" s="5" t="n">
        <v>4.83</v>
      </c>
      <c r="F42" s="5" t="n">
        <v>4.34</v>
      </c>
      <c r="G42" s="5" t="n">
        <v>3.74</v>
      </c>
      <c r="H42" s="3" t="n">
        <v>1.95</v>
      </c>
      <c r="I42" s="3" t="n">
        <v>2.06</v>
      </c>
      <c r="J42" s="3" t="n">
        <v>2.18</v>
      </c>
      <c r="K42" s="3" t="n">
        <v>2.55</v>
      </c>
      <c r="L42" s="3" t="n">
        <v>7.55</v>
      </c>
      <c r="M42" s="3" t="n">
        <v>7.72</v>
      </c>
    </row>
    <row r="43">
      <c r="A43" s="2" t="inlineStr">
        <is>
          <t>RSG.AX</t>
        </is>
      </c>
      <c r="B43" s="2" t="inlineStr">
        <is>
          <t>Resolute Mining Ltd</t>
        </is>
      </c>
      <c r="C43" s="2" t="inlineStr">
        <is>
          <t>AUD</t>
        </is>
      </c>
      <c r="D43" s="5" t="n">
        <v>1.14</v>
      </c>
      <c r="E43" s="5" t="n">
        <v>1.155</v>
      </c>
      <c r="F43" s="5" t="n">
        <v>1.26</v>
      </c>
      <c r="G43" s="5" t="n">
        <v>0.795</v>
      </c>
      <c r="H43" s="5" t="n">
        <v>0.39</v>
      </c>
      <c r="I43" s="3" t="n">
        <v>0.2</v>
      </c>
      <c r="J43" s="3" t="n">
        <v>0.445</v>
      </c>
      <c r="K43" s="3" t="n">
        <v>0.395</v>
      </c>
      <c r="L43" s="3" t="n">
        <v>1.225</v>
      </c>
      <c r="M43" s="3" t="n">
        <v>1.22</v>
      </c>
    </row>
    <row r="44">
      <c r="A44" s="2" t="inlineStr">
        <is>
          <t>SBM.AX</t>
        </is>
      </c>
      <c r="B44" s="2" t="inlineStr">
        <is>
          <t>St Barbara Ltd</t>
        </is>
      </c>
      <c r="C44" s="2" t="inlineStr">
        <is>
          <t>AUD</t>
        </is>
      </c>
      <c r="D44" s="5" t="n">
        <v>3.82</v>
      </c>
      <c r="E44" s="5" t="n">
        <v>4.7</v>
      </c>
      <c r="F44" s="5" t="n">
        <v>2.72</v>
      </c>
      <c r="G44" s="5" t="n">
        <v>2.36</v>
      </c>
      <c r="H44" s="5" t="n">
        <v>1.465</v>
      </c>
      <c r="I44" s="5" t="n">
        <v>0.775</v>
      </c>
      <c r="J44" s="3" t="n">
        <v>0.21</v>
      </c>
      <c r="K44" s="3" t="n">
        <v>0.225</v>
      </c>
      <c r="L44" s="3" t="n">
        <v>0.58</v>
      </c>
      <c r="M44" s="3" t="n">
        <v>0.82</v>
      </c>
    </row>
    <row r="45">
      <c r="A45" s="2" t="inlineStr">
        <is>
          <t>SPA.V</t>
        </is>
      </c>
      <c r="B45" s="2" t="inlineStr">
        <is>
          <t>Spanish Mountain Gold Ltd</t>
        </is>
      </c>
      <c r="C45" s="2" t="inlineStr">
        <is>
          <t>CAD</t>
        </is>
      </c>
      <c r="D45" s="3" t="n">
        <v>0.14</v>
      </c>
      <c r="E45" s="3" t="n">
        <v>0.07000000000000001</v>
      </c>
      <c r="F45" s="3" t="n">
        <v>0.09</v>
      </c>
      <c r="G45" s="3" t="n">
        <v>0.38</v>
      </c>
      <c r="H45" s="3" t="n">
        <v>0.22</v>
      </c>
      <c r="I45" s="3" t="n">
        <v>0.16</v>
      </c>
      <c r="J45" s="3" t="n">
        <v>0.18</v>
      </c>
      <c r="K45" s="3" t="n">
        <v>0.1</v>
      </c>
      <c r="L45" s="3" t="n">
        <v>0.24</v>
      </c>
      <c r="M45" s="3" t="n">
        <v>0.35</v>
      </c>
    </row>
    <row r="46">
      <c r="A46" s="2" t="inlineStr">
        <is>
          <t>SSRM</t>
        </is>
      </c>
      <c r="B46" s="2" t="inlineStr">
        <is>
          <t>SSR Mining Inc</t>
        </is>
      </c>
      <c r="C46" s="2" t="inlineStr">
        <is>
          <t>USD</t>
        </is>
      </c>
      <c r="D46" s="3" t="n">
        <v>8.789999999999999</v>
      </c>
      <c r="E46" s="3" t="n">
        <v>12.09</v>
      </c>
      <c r="F46" s="3" t="n">
        <v>19.26</v>
      </c>
      <c r="G46" s="3" t="n">
        <v>20.11</v>
      </c>
      <c r="H46" s="3" t="n">
        <v>17.7</v>
      </c>
      <c r="I46" s="3" t="n">
        <v>15.67</v>
      </c>
      <c r="J46" s="3" t="n">
        <v>10.76</v>
      </c>
      <c r="K46" s="3" t="n">
        <v>6.96</v>
      </c>
      <c r="L46" s="3" t="n">
        <v>21.92</v>
      </c>
      <c r="M46" s="3" t="n">
        <v>35.68</v>
      </c>
    </row>
    <row r="47">
      <c r="A47" s="2" t="inlineStr">
        <is>
          <t>STLR.TO</t>
        </is>
      </c>
      <c r="B47" s="2" t="inlineStr">
        <is>
          <t>STLLR Gold Inc</t>
        </is>
      </c>
      <c r="C47" s="2" t="inlineStr">
        <is>
          <t>CAD</t>
        </is>
      </c>
      <c r="D47" s="5" t="n">
        <v>0.18</v>
      </c>
      <c r="E47" s="5" t="n">
        <v>0.13</v>
      </c>
      <c r="F47" s="5" t="n">
        <v>0.13</v>
      </c>
      <c r="G47" s="5" t="n">
        <v>0.38</v>
      </c>
      <c r="H47" s="7" t="n">
        <v>2.05</v>
      </c>
      <c r="I47" s="5" t="n">
        <v>1.48</v>
      </c>
      <c r="J47" s="5" t="n">
        <v>0.75</v>
      </c>
      <c r="K47" s="4" t="n">
        <v>0.83</v>
      </c>
      <c r="L47" s="3" t="n">
        <v>1.63</v>
      </c>
      <c r="M47" s="3" t="n">
        <v>1.66</v>
      </c>
    </row>
    <row r="48">
      <c r="A48" s="2" t="inlineStr">
        <is>
          <t>TSK.TO</t>
        </is>
      </c>
      <c r="B48" s="2" t="inlineStr">
        <is>
          <t>Talisker Resources Ltd</t>
        </is>
      </c>
      <c r="C48" s="2" t="inlineStr">
        <is>
          <t>CAD</t>
        </is>
      </c>
      <c r="D48" s="3" t="n"/>
      <c r="E48" s="3" t="n">
        <v>0.03</v>
      </c>
      <c r="F48" s="3" t="n">
        <v>0.33</v>
      </c>
      <c r="G48" s="3" t="n">
        <v>0.335</v>
      </c>
      <c r="H48" s="3" t="n">
        <v>0.31</v>
      </c>
      <c r="I48" s="3" t="n">
        <v>0.14</v>
      </c>
      <c r="J48" s="3" t="n">
        <v>0.33</v>
      </c>
      <c r="K48" s="3" t="n">
        <v>0.315</v>
      </c>
      <c r="L48" s="3" t="n">
        <v>1.44</v>
      </c>
      <c r="M48" s="3" t="n">
        <v>1.21</v>
      </c>
    </row>
    <row r="49">
      <c r="A49" s="2" t="inlineStr">
        <is>
          <t>VAU.AX</t>
        </is>
      </c>
      <c r="B49" s="2" t="inlineStr">
        <is>
          <t>Vault Minerals Ltd</t>
        </is>
      </c>
      <c r="C49" s="2" t="inlineStr">
        <is>
          <t>AUD</t>
        </is>
      </c>
      <c r="D49" s="5" t="n">
        <v>0.058</v>
      </c>
      <c r="E49" s="5" t="n">
        <v>0.089</v>
      </c>
      <c r="F49" s="5" t="n">
        <v>0.33</v>
      </c>
      <c r="G49" s="5" t="n">
        <v>0.26</v>
      </c>
      <c r="H49" s="5" t="n">
        <v>0.29</v>
      </c>
      <c r="I49" s="5" t="n">
        <v>0.205</v>
      </c>
      <c r="J49" s="5" t="n">
        <v>0.31</v>
      </c>
      <c r="K49" s="5" t="n">
        <v>0.33</v>
      </c>
      <c r="L49" s="4" t="n">
        <v>5.46</v>
      </c>
      <c r="M49" s="3" t="n">
        <v>6.35</v>
      </c>
    </row>
    <row r="50">
      <c r="A50" s="2" t="inlineStr">
        <is>
          <t>WAF.AX</t>
        </is>
      </c>
      <c r="B50" s="2" t="inlineStr">
        <is>
          <t>West African Resources Ltd</t>
        </is>
      </c>
      <c r="C50" s="2" t="inlineStr">
        <is>
          <t>AUD</t>
        </is>
      </c>
      <c r="D50" s="3" t="n">
        <v>0.41</v>
      </c>
      <c r="E50" s="3" t="n">
        <v>0.25</v>
      </c>
      <c r="F50" s="3" t="n">
        <v>0.43</v>
      </c>
      <c r="G50" s="3" t="n">
        <v>1.045</v>
      </c>
      <c r="H50" s="3" t="n">
        <v>1.32</v>
      </c>
      <c r="I50" s="3" t="n">
        <v>1.175</v>
      </c>
      <c r="J50" s="3" t="n">
        <v>0.945</v>
      </c>
      <c r="K50" s="3" t="n">
        <v>1.435</v>
      </c>
      <c r="L50" s="3" t="n">
        <v>3</v>
      </c>
      <c r="M50" s="3" t="n">
        <v>3.52</v>
      </c>
    </row>
    <row r="51">
      <c r="A51" s="2" t="inlineStr">
        <is>
          <t>WDO.TO</t>
        </is>
      </c>
      <c r="B51" s="2" t="inlineStr">
        <is>
          <t>Wesdome Gold Mines Ltd</t>
        </is>
      </c>
      <c r="C51" s="2" t="inlineStr">
        <is>
          <t>CAD</t>
        </is>
      </c>
      <c r="D51" s="3" t="n">
        <v>2.11</v>
      </c>
      <c r="E51" s="3" t="n">
        <v>4.43</v>
      </c>
      <c r="F51" s="3" t="n">
        <v>10.17</v>
      </c>
      <c r="G51" s="3" t="n">
        <v>10.62</v>
      </c>
      <c r="H51" s="3" t="n">
        <v>11.51</v>
      </c>
      <c r="I51" s="3" t="n">
        <v>7.48</v>
      </c>
      <c r="J51" s="3" t="n">
        <v>7.71</v>
      </c>
      <c r="K51" s="3" t="n">
        <v>12.91</v>
      </c>
      <c r="L51" s="3" t="n">
        <v>22.74</v>
      </c>
      <c r="M51" s="3" t="n">
        <v>36.61</v>
      </c>
    </row>
    <row r="52">
      <c r="A52" s="2" t="inlineStr">
        <is>
          <t>WGX.AX</t>
        </is>
      </c>
      <c r="B52" s="2" t="inlineStr">
        <is>
          <t>Westgold Resources Ltd</t>
        </is>
      </c>
      <c r="C52" s="2" t="inlineStr">
        <is>
          <t>AUD</t>
        </is>
      </c>
      <c r="D52" s="3" t="n">
        <v>1.77</v>
      </c>
      <c r="E52" s="3" t="n">
        <v>0.88</v>
      </c>
      <c r="F52" s="3" t="n">
        <v>2.29</v>
      </c>
      <c r="G52" s="3" t="n">
        <v>2.64</v>
      </c>
      <c r="H52" s="3" t="n">
        <v>2.04</v>
      </c>
      <c r="I52" s="3" t="n">
        <v>0.875</v>
      </c>
      <c r="J52" s="3" t="n">
        <v>2.18</v>
      </c>
      <c r="K52" s="3" t="n">
        <v>2.83</v>
      </c>
      <c r="L52" s="3" t="n">
        <v>6.44</v>
      </c>
      <c r="M52" s="3" t="n">
        <v>5.46</v>
      </c>
    </row>
    <row r="53">
      <c r="A53" s="2" t="inlineStr">
        <is>
          <t>WMC.AX</t>
        </is>
      </c>
      <c r="B53" s="2" t="inlineStr">
        <is>
          <t>Wiluna Mining Corp Ltd (formerly Blackham Resources)</t>
        </is>
      </c>
      <c r="C53" s="2" t="inlineStr">
        <is>
          <t>AUD</t>
        </is>
      </c>
      <c r="D53" s="3" t="n"/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</row>
    <row r="54"/>
    <row r="55">
      <c r="A55" s="2" t="inlineStr">
        <is>
          <t>Last close of each year, in the currency the stock trades in (GBp = pence). 2026 = latest close. Highlighted cells were corrected to the as-traded price; hover for Yahoo's rescaled figure.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5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32" customWidth="1" min="2" max="2"/>
    <col width="9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</cols>
  <sheetData>
    <row r="1">
      <c r="A1" s="1" t="inlineStr">
        <is>
          <t>ticker</t>
        </is>
      </c>
      <c r="B1" s="1" t="inlineStr">
        <is>
          <t>company</t>
        </is>
      </c>
      <c r="C1" s="1" t="inlineStr">
        <is>
          <t>currency</t>
        </is>
      </c>
      <c r="D1" s="1" t="inlineStr">
        <is>
          <t>2017</t>
        </is>
      </c>
      <c r="E1" s="1" t="inlineStr">
        <is>
          <t>2018</t>
        </is>
      </c>
      <c r="F1" s="1" t="inlineStr">
        <is>
          <t>2019</t>
        </is>
      </c>
      <c r="G1" s="1" t="inlineStr">
        <is>
          <t>2020</t>
        </is>
      </c>
      <c r="H1" s="1" t="inlineStr">
        <is>
          <t>2021</t>
        </is>
      </c>
      <c r="I1" s="1" t="inlineStr">
        <is>
          <t>2022</t>
        </is>
      </c>
      <c r="J1" s="1" t="inlineStr">
        <is>
          <t>2023</t>
        </is>
      </c>
      <c r="K1" s="1" t="inlineStr">
        <is>
          <t>2024</t>
        </is>
      </c>
      <c r="L1" s="1" t="inlineStr">
        <is>
          <t>2025</t>
        </is>
      </c>
      <c r="M1" s="1" t="inlineStr">
        <is>
          <t>2026</t>
        </is>
      </c>
    </row>
    <row r="2">
      <c r="A2" s="2" t="inlineStr">
        <is>
          <t>2259.HK</t>
        </is>
      </c>
      <c r="B2" s="2" t="inlineStr">
        <is>
          <t>Zijin Gold International Co Ltd</t>
        </is>
      </c>
      <c r="C2" s="2" t="inlineStr">
        <is>
          <t>USD</t>
        </is>
      </c>
      <c r="D2" s="8" t="str">
        <f>IF('Year-end close'!D2="","",'Year-end close'!D2/IF('Year-end close'!$C2="GBp",100,1)/INDEX('FX year-end'!$B$2:$B$14,MATCH(IF('Year-end close'!$C2="GBp","GBP",'Year-end close'!$C2),'FX year-end'!$A$2:$A$14,0)))</f>
        <v/>
      </c>
      <c r="E2" s="8" t="str">
        <f>IF('Year-end close'!E2="","",'Year-end close'!E2/IF('Year-end close'!$C2="GBp",100,1)/INDEX('FX year-end'!$C$2:$C$14,MATCH(IF('Year-end close'!$C2="GBp","GBP",'Year-end close'!$C2),'FX year-end'!$A$2:$A$14,0)))</f>
        <v/>
      </c>
      <c r="F2" s="8" t="str">
        <f>IF('Year-end close'!F2="","",'Year-end close'!F2/IF('Year-end close'!$C2="GBp",100,1)/INDEX('FX year-end'!$D$2:$D$14,MATCH(IF('Year-end close'!$C2="GBp","GBP",'Year-end close'!$C2),'FX year-end'!$A$2:$A$14,0)))</f>
        <v/>
      </c>
      <c r="G2" s="8" t="str">
        <f>IF('Year-end close'!G2="","",'Year-end close'!G2/IF('Year-end close'!$C2="GBp",100,1)/INDEX('FX year-end'!$E$2:$E$14,MATCH(IF('Year-end close'!$C2="GBp","GBP",'Year-end close'!$C2),'FX year-end'!$A$2:$A$14,0)))</f>
        <v/>
      </c>
      <c r="H2" s="8" t="str">
        <f>IF('Year-end close'!H2="","",'Year-end close'!H2/IF('Year-end close'!$C2="GBp",100,1)/INDEX('FX year-end'!$F$2:$F$14,MATCH(IF('Year-end close'!$C2="GBp","GBP",'Year-end close'!$C2),'FX year-end'!$A$2:$A$14,0)))</f>
        <v/>
      </c>
      <c r="I2" s="8" t="str">
        <f>IF('Year-end close'!I2="","",'Year-end close'!I2/IF('Year-end close'!$C2="GBp",100,1)/INDEX('FX year-end'!$G$2:$G$14,MATCH(IF('Year-end close'!$C2="GBp","GBP",'Year-end close'!$C2),'FX year-end'!$A$2:$A$14,0)))</f>
        <v/>
      </c>
      <c r="J2" s="8" t="str">
        <f>IF('Year-end close'!J2="","",'Year-end close'!J2/IF('Year-end close'!$C2="GBp",100,1)/INDEX('FX year-end'!$H$2:$H$14,MATCH(IF('Year-end close'!$C2="GBp","GBP",'Year-end close'!$C2),'FX year-end'!$A$2:$A$14,0)))</f>
        <v/>
      </c>
      <c r="K2" s="8" t="str">
        <f>IF('Year-end close'!K2="","",'Year-end close'!K2/IF('Year-end close'!$C2="GBp",100,1)/INDEX('FX year-end'!$I$2:$I$14,MATCH(IF('Year-end close'!$C2="GBp","GBP",'Year-end close'!$C2),'FX year-end'!$A$2:$A$14,0)))</f>
        <v/>
      </c>
      <c r="L2" s="8">
        <f>IF('Year-end close'!L2="","",'Year-end close'!L2/IF('Year-end close'!$C2="GBp",100,1)/INDEX('FX year-end'!$J$2:$J$14,MATCH(IF('Year-end close'!$C2="GBp","GBP",'Year-end close'!$C2),'FX year-end'!$A$2:$A$14,0)))</f>
        <v>18.79017975338853</v>
      </c>
      <c r="M2" s="8">
        <f>IF('Year-end close'!M2="","",'Year-end close'!M2/IF('Year-end close'!$C2="GBp",100,1)/INDEX('FX year-end'!$K$2:$K$14,MATCH(IF('Year-end close'!$C2="GBp","GBP",'Year-end close'!$C2),'FX year-end'!$A$2:$A$14,0)))</f>
        <v>18.243894478640236</v>
      </c>
    </row>
    <row r="3">
      <c r="A3" s="2" t="inlineStr">
        <is>
          <t>600988.SS</t>
        </is>
      </c>
      <c r="B3" s="2" t="inlineStr">
        <is>
          <t>Chifeng Jilong Gold Mining Co Ltd</t>
        </is>
      </c>
      <c r="C3" s="2" t="inlineStr">
        <is>
          <t>USD</t>
        </is>
      </c>
      <c r="D3" s="8">
        <f>IF('Year-end close'!D3="","",'Year-end close'!D3/IF('Year-end close'!$C3="GBp",100,1)/INDEX('FX year-end'!$B$2:$B$14,MATCH(IF('Year-end close'!$C3="GBp","GBP",'Year-end close'!$C3),'FX year-end'!$A$2:$A$14,0)))</f>
        <v>0.9859758711494887</v>
      </c>
      <c r="E3" s="8">
        <f>IF('Year-end close'!E3="","",'Year-end close'!E3/IF('Year-end close'!$C3="GBp",100,1)/INDEX('FX year-end'!$C$2:$C$14,MATCH(IF('Year-end close'!$C3="GBp","GBP",'Year-end close'!$C3),'FX year-end'!$A$2:$A$14,0)))</f>
        <v>0.5801779794102251</v>
      </c>
      <c r="F3" s="8">
        <f>IF('Year-end close'!F3="","",'Year-end close'!F3/IF('Year-end close'!$C3="GBp",100,1)/INDEX('FX year-end'!$D$2:$D$14,MATCH(IF('Year-end close'!$C3="GBp","GBP",'Year-end close'!$C3),'FX year-end'!$A$2:$A$14,0)))</f>
        <v>0.72004237227479</v>
      </c>
      <c r="G3" s="8">
        <f>IF('Year-end close'!G3="","",'Year-end close'!G3/IF('Year-end close'!$C3="GBp",100,1)/INDEX('FX year-end'!$E$2:$E$14,MATCH(IF('Year-end close'!$C3="GBp","GBP",'Year-end close'!$C3),'FX year-end'!$A$2:$A$14,0)))</f>
        <v>2.7460059489129436</v>
      </c>
      <c r="H3" s="8">
        <f>IF('Year-end close'!H3="","",'Year-end close'!H3/IF('Year-end close'!$C3="GBp",100,1)/INDEX('FX year-end'!$F$2:$F$14,MATCH(IF('Year-end close'!$C3="GBp","GBP",'Year-end close'!$C3),'FX year-end'!$A$2:$A$14,0)))</f>
        <v>2.338318607680357</v>
      </c>
      <c r="I3" s="8">
        <f>IF('Year-end close'!I3="","",'Year-end close'!I3/IF('Year-end close'!$C3="GBp",100,1)/INDEX('FX year-end'!$G$2:$G$14,MATCH(IF('Year-end close'!$C3="GBp","GBP",'Year-end close'!$C3),'FX year-end'!$A$2:$A$14,0)))</f>
        <v>2.5922362166276516</v>
      </c>
      <c r="J3" s="8">
        <f>IF('Year-end close'!J3="","",'Year-end close'!J3/IF('Year-end close'!$C3="GBp",100,1)/INDEX('FX year-end'!$H$2:$H$14,MATCH(IF('Year-end close'!$C3="GBp","GBP",'Year-end close'!$C3),'FX year-end'!$A$2:$A$14,0)))</f>
        <v>1.9712959054453354</v>
      </c>
      <c r="K3" s="8">
        <f>IF('Year-end close'!K3="","",'Year-end close'!K3/IF('Year-end close'!$C3="GBp",100,1)/INDEX('FX year-end'!$I$2:$I$14,MATCH(IF('Year-end close'!$C3="GBp","GBP",'Year-end close'!$C3),'FX year-end'!$A$2:$A$14,0)))</f>
        <v>2.1389128677326976</v>
      </c>
      <c r="L3" s="8">
        <f>IF('Year-end close'!L3="","",'Year-end close'!L3/IF('Year-end close'!$C3="GBp",100,1)/INDEX('FX year-end'!$J$2:$J$14,MATCH(IF('Year-end close'!$C3="GBp","GBP",'Year-end close'!$C3),'FX year-end'!$A$2:$A$14,0)))</f>
        <v>4.465344977916267</v>
      </c>
      <c r="M3" s="8">
        <f>IF('Year-end close'!M3="","",'Year-end close'!M3/IF('Year-end close'!$C3="GBp",100,1)/INDEX('FX year-end'!$K$2:$K$14,MATCH(IF('Year-end close'!$C3="GBp","GBP",'Year-end close'!$C3),'FX year-end'!$A$2:$A$14,0)))</f>
        <v>6.008622104211107</v>
      </c>
    </row>
    <row r="4">
      <c r="A4" s="2" t="inlineStr">
        <is>
          <t>AAUC.TO</t>
        </is>
      </c>
      <c r="B4" s="2" t="inlineStr">
        <is>
          <t>Allied Gold Corp</t>
        </is>
      </c>
      <c r="C4" s="2" t="inlineStr">
        <is>
          <t>USD</t>
        </is>
      </c>
      <c r="D4" s="8" t="str">
        <f>IF('Year-end close'!D4="","",'Year-end close'!D4/IF('Year-end close'!$C4="GBp",100,1)/INDEX('FX year-end'!$B$2:$B$14,MATCH(IF('Year-end close'!$C4="GBp","GBP",'Year-end close'!$C4),'FX year-end'!$A$2:$A$14,0)))</f>
        <v/>
      </c>
      <c r="E4" s="8" t="str">
        <f>IF('Year-end close'!E4="","",'Year-end close'!E4/IF('Year-end close'!$C4="GBp",100,1)/INDEX('FX year-end'!$C$2:$C$14,MATCH(IF('Year-end close'!$C4="GBp","GBP",'Year-end close'!$C4),'FX year-end'!$A$2:$A$14,0)))</f>
        <v/>
      </c>
      <c r="F4" s="8" t="str">
        <f>IF('Year-end close'!F4="","",'Year-end close'!F4/IF('Year-end close'!$C4="GBp",100,1)/INDEX('FX year-end'!$D$2:$D$14,MATCH(IF('Year-end close'!$C4="GBp","GBP",'Year-end close'!$C4),'FX year-end'!$A$2:$A$14,0)))</f>
        <v/>
      </c>
      <c r="G4" s="8" t="str">
        <f>IF('Year-end close'!G4="","",'Year-end close'!G4/IF('Year-end close'!$C4="GBp",100,1)/INDEX('FX year-end'!$E$2:$E$14,MATCH(IF('Year-end close'!$C4="GBp","GBP",'Year-end close'!$C4),'FX year-end'!$A$2:$A$14,0)))</f>
        <v/>
      </c>
      <c r="H4" s="8" t="str">
        <f>IF('Year-end close'!H4="","",'Year-end close'!H4/IF('Year-end close'!$C4="GBp",100,1)/INDEX('FX year-end'!$F$2:$F$14,MATCH(IF('Year-end close'!$C4="GBp","GBP",'Year-end close'!$C4),'FX year-end'!$A$2:$A$14,0)))</f>
        <v/>
      </c>
      <c r="I4" s="8" t="str">
        <f>IF('Year-end close'!I4="","",'Year-end close'!I4/IF('Year-end close'!$C4="GBp",100,1)/INDEX('FX year-end'!$G$2:$G$14,MATCH(IF('Year-end close'!$C4="GBp","GBP",'Year-end close'!$C4),'FX year-end'!$A$2:$A$14,0)))</f>
        <v/>
      </c>
      <c r="J4" s="8">
        <f>IF('Year-end close'!J4="","",'Year-end close'!J4/IF('Year-end close'!$C4="GBp",100,1)/INDEX('FX year-end'!$H$2:$H$14,MATCH(IF('Year-end close'!$C4="GBp","GBP",'Year-end close'!$C4),'FX year-end'!$A$2:$A$14,0)))</f>
        <v>2.6531414404063614</v>
      </c>
      <c r="K4" s="8">
        <f>IF('Year-end close'!K4="","",'Year-end close'!K4/IF('Year-end close'!$C4="GBp",100,1)/INDEX('FX year-end'!$I$2:$I$14,MATCH(IF('Year-end close'!$C4="GBp","GBP",'Year-end close'!$C4),'FX year-end'!$A$2:$A$14,0)))</f>
        <v>2.376339739926689</v>
      </c>
      <c r="L4" s="8">
        <f>IF('Year-end close'!L4="","",'Year-end close'!L4/IF('Year-end close'!$C4="GBp",100,1)/INDEX('FX year-end'!$J$2:$J$14,MATCH(IF('Year-end close'!$C4="GBp","GBP",'Year-end close'!$C4),'FX year-end'!$A$2:$A$14,0)))</f>
        <v>22.965088683943424</v>
      </c>
      <c r="M4" s="8">
        <f>IF('Year-end close'!M4="","",'Year-end close'!M4/IF('Year-end close'!$C4="GBp",100,1)/INDEX('FX year-end'!$K$2:$K$14,MATCH(IF('Year-end close'!$C4="GBp","GBP",'Year-end close'!$C4),'FX year-end'!$A$2:$A$14,0)))</f>
        <v>22.29918365904513</v>
      </c>
    </row>
    <row r="5">
      <c r="A5" s="2" t="inlineStr">
        <is>
          <t>AGI.TO</t>
        </is>
      </c>
      <c r="B5" s="2" t="inlineStr">
        <is>
          <t>Alamos Gold Inc</t>
        </is>
      </c>
      <c r="C5" s="2" t="inlineStr">
        <is>
          <t>USD</t>
        </is>
      </c>
      <c r="D5" s="8">
        <f>IF('Year-end close'!D5="","",'Year-end close'!D5/IF('Year-end close'!$C5="GBp",100,1)/INDEX('FX year-end'!$B$2:$B$14,MATCH(IF('Year-end close'!$C5="GBp","GBP",'Year-end close'!$C5),'FX year-end'!$A$2:$A$14,0)))</f>
        <v>6.51784648442163</v>
      </c>
      <c r="E5" s="8">
        <f>IF('Year-end close'!E5="","",'Year-end close'!E5/IF('Year-end close'!$C5="GBp",100,1)/INDEX('FX year-end'!$C$2:$C$14,MATCH(IF('Year-end close'!$C5="GBp","GBP",'Year-end close'!$C5),'FX year-end'!$A$2:$A$14,0)))</f>
        <v>3.604463368081045</v>
      </c>
      <c r="F5" s="8">
        <f>IF('Year-end close'!F5="","",'Year-end close'!F5/IF('Year-end close'!$C5="GBp",100,1)/INDEX('FX year-end'!$D$2:$D$14,MATCH(IF('Year-end close'!$C5="GBp","GBP",'Year-end close'!$C5),'FX year-end'!$A$2:$A$14,0)))</f>
        <v>5.995130392171876</v>
      </c>
      <c r="G5" s="8">
        <f>IF('Year-end close'!G5="","",'Year-end close'!G5/IF('Year-end close'!$C5="GBp",100,1)/INDEX('FX year-end'!$E$2:$E$14,MATCH(IF('Year-end close'!$C5="GBp","GBP",'Year-end close'!$C5),'FX year-end'!$A$2:$A$14,0)))</f>
        <v>8.721089822519549</v>
      </c>
      <c r="H5" s="8">
        <f>IF('Year-end close'!H5="","",'Year-end close'!H5/IF('Year-end close'!$C5="GBp",100,1)/INDEX('FX year-end'!$F$2:$F$14,MATCH(IF('Year-end close'!$C5="GBp","GBP",'Year-end close'!$C5),'FX year-end'!$A$2:$A$14,0)))</f>
        <v>7.634725840369104</v>
      </c>
      <c r="I5" s="8">
        <f>IF('Year-end close'!I5="","",'Year-end close'!I5/IF('Year-end close'!$C5="GBp",100,1)/INDEX('FX year-end'!$G$2:$G$14,MATCH(IF('Year-end close'!$C5="GBp","GBP",'Year-end close'!$C5),'FX year-end'!$A$2:$A$14,0)))</f>
        <v>10.101829988193625</v>
      </c>
      <c r="J5" s="8">
        <f>IF('Year-end close'!J5="","",'Year-end close'!J5/IF('Year-end close'!$C5="GBp",100,1)/INDEX('FX year-end'!$H$2:$H$14,MATCH(IF('Year-end close'!$C5="GBp","GBP",'Year-end close'!$C5),'FX year-end'!$A$2:$A$14,0)))</f>
        <v>13.469795005139991</v>
      </c>
      <c r="K5" s="8">
        <f>IF('Year-end close'!K5="","",'Year-end close'!K5/IF('Year-end close'!$C5="GBp",100,1)/INDEX('FX year-end'!$I$2:$I$14,MATCH(IF('Year-end close'!$C5="GBp","GBP",'Year-end close'!$C5),'FX year-end'!$A$2:$A$14,0)))</f>
        <v>18.481093813154192</v>
      </c>
      <c r="L5" s="8">
        <f>IF('Year-end close'!L5="","",'Year-end close'!L5/IF('Year-end close'!$C5="GBp",100,1)/INDEX('FX year-end'!$J$2:$J$14,MATCH(IF('Year-end close'!$C5="GBp","GBP",'Year-end close'!$C5),'FX year-end'!$A$2:$A$14,0)))</f>
        <v>38.70110334655013</v>
      </c>
      <c r="M5" s="8">
        <f>IF('Year-end close'!M5="","",'Year-end close'!M5/IF('Year-end close'!$C5="GBp",100,1)/INDEX('FX year-end'!$K$2:$K$14,MATCH(IF('Year-end close'!$C5="GBp","GBP",'Year-end close'!$C5),'FX year-end'!$A$2:$A$14,0)))</f>
        <v>34.51249249037001</v>
      </c>
    </row>
    <row r="6">
      <c r="A6" s="2" t="inlineStr">
        <is>
          <t>ALK.AX</t>
        </is>
      </c>
      <c r="B6" s="2" t="inlineStr">
        <is>
          <t>Alkane Resources Ltd</t>
        </is>
      </c>
      <c r="C6" s="2" t="inlineStr">
        <is>
          <t>USD</t>
        </is>
      </c>
      <c r="D6" s="8">
        <f>IF('Year-end close'!D6="","",'Year-end close'!D6/IF('Year-end close'!$C6="GBp",100,1)/INDEX('FX year-end'!$B$2:$B$14,MATCH(IF('Year-end close'!$C6="GBp","GBP",'Year-end close'!$C6),'FX year-end'!$A$2:$A$14,0)))</f>
        <v>0.2572116696155075</v>
      </c>
      <c r="E6" s="8">
        <f>IF('Year-end close'!E6="","",'Year-end close'!E6/IF('Year-end close'!$C6="GBp",100,1)/INDEX('FX year-end'!$C$2:$C$14,MATCH(IF('Year-end close'!$C6="GBp","GBP",'Year-end close'!$C6),'FX year-end'!$A$2:$A$14,0)))</f>
        <v>0.13737231419513915</v>
      </c>
      <c r="F6" s="8">
        <f>IF('Year-end close'!F6="","",'Year-end close'!F6/IF('Year-end close'!$C6="GBp",100,1)/INDEX('FX year-end'!$D$2:$D$14,MATCH(IF('Year-end close'!$C6="GBp","GBP",'Year-end close'!$C6),'FX year-end'!$A$2:$A$14,0)))</f>
        <v>0.4097918764169081</v>
      </c>
      <c r="G6" s="8">
        <f>IF('Year-end close'!G6="","",'Year-end close'!G6/IF('Year-end close'!$C6="GBp",100,1)/INDEX('FX year-end'!$E$2:$E$14,MATCH(IF('Year-end close'!$C6="GBp","GBP",'Year-end close'!$C6),'FX year-end'!$A$2:$A$14,0)))</f>
        <v>0.7343273023659949</v>
      </c>
      <c r="H6" s="8">
        <f>IF('Year-end close'!H6="","",'Year-end close'!H6/IF('Year-end close'!$C6="GBp",100,1)/INDEX('FX year-end'!$F$2:$F$14,MATCH(IF('Year-end close'!$C6="GBp","GBP",'Year-end close'!$C6),'FX year-end'!$A$2:$A$14,0)))</f>
        <v>0.6633568903568933</v>
      </c>
      <c r="I6" s="8">
        <f>IF('Year-end close'!I6="","",'Year-end close'!I6/IF('Year-end close'!$C6="GBp",100,1)/INDEX('FX year-end'!$G$2:$G$14,MATCH(IF('Year-end close'!$C6="GBp","GBP",'Year-end close'!$C6),'FX year-end'!$A$2:$A$14,0)))</f>
        <v>0.36198103084078387</v>
      </c>
      <c r="J6" s="8">
        <f>IF('Year-end close'!J6="","",'Year-end close'!J6/IF('Year-end close'!$C6="GBp",100,1)/INDEX('FX year-end'!$H$2:$H$14,MATCH(IF('Year-end close'!$C6="GBp","GBP",'Year-end close'!$C6),'FX year-end'!$A$2:$A$14,0)))</f>
        <v>0.4471227819638179</v>
      </c>
      <c r="K6" s="8">
        <f>IF('Year-end close'!K6="","",'Year-end close'!K6/IF('Year-end close'!$C6="GBp",100,1)/INDEX('FX year-end'!$I$2:$I$14,MATCH(IF('Year-end close'!$C6="GBp","GBP",'Year-end close'!$C6),'FX year-end'!$A$2:$A$14,0)))</f>
        <v>0.31722000824772023</v>
      </c>
      <c r="L6" s="8">
        <f>IF('Year-end close'!L6="","",'Year-end close'!L6/IF('Year-end close'!$C6="GBp",100,1)/INDEX('FX year-end'!$J$2:$J$14,MATCH(IF('Year-end close'!$C6="GBp","GBP",'Year-end close'!$C6),'FX year-end'!$A$2:$A$14,0)))</f>
        <v>0.9008809879281948</v>
      </c>
      <c r="M6" s="8">
        <f>IF('Year-end close'!M6="","",'Year-end close'!M6/IF('Year-end close'!$C6="GBp",100,1)/INDEX('FX year-end'!$K$2:$K$14,MATCH(IF('Year-end close'!$C6="GBp","GBP",'Year-end close'!$C6),'FX year-end'!$A$2:$A$14,0)))</f>
        <v>1.3303847233923054</v>
      </c>
    </row>
    <row r="7">
      <c r="A7" s="2" t="inlineStr">
        <is>
          <t>AMRQ.L</t>
        </is>
      </c>
      <c r="B7" s="2" t="inlineStr">
        <is>
          <t>Amaroq Minerals Ltd</t>
        </is>
      </c>
      <c r="C7" s="2" t="inlineStr">
        <is>
          <t>USD</t>
        </is>
      </c>
      <c r="D7" s="8" t="str">
        <f>IF('Year-end close'!D7="","",'Year-end close'!D7/IF('Year-end close'!$C7="GBp",100,1)/INDEX('FX year-end'!$B$2:$B$14,MATCH(IF('Year-end close'!$C7="GBp","GBP",'Year-end close'!$C7),'FX year-end'!$A$2:$A$14,0)))</f>
        <v/>
      </c>
      <c r="E7" s="8" t="str">
        <f>IF('Year-end close'!E7="","",'Year-end close'!E7/IF('Year-end close'!$C7="GBp",100,1)/INDEX('FX year-end'!$C$2:$C$14,MATCH(IF('Year-end close'!$C7="GBp","GBP",'Year-end close'!$C7),'FX year-end'!$A$2:$A$14,0)))</f>
        <v/>
      </c>
      <c r="F7" s="8" t="str">
        <f>IF('Year-end close'!F7="","",'Year-end close'!F7/IF('Year-end close'!$C7="GBp",100,1)/INDEX('FX year-end'!$D$2:$D$14,MATCH(IF('Year-end close'!$C7="GBp","GBP",'Year-end close'!$C7),'FX year-end'!$A$2:$A$14,0)))</f>
        <v/>
      </c>
      <c r="G7" s="8">
        <f>IF('Year-end close'!G7="","",'Year-end close'!G7/IF('Year-end close'!$C7="GBp",100,1)/INDEX('FX year-end'!$E$2:$E$14,MATCH(IF('Year-end close'!$C7="GBp","GBP",'Year-end close'!$C7),'FX year-end'!$A$2:$A$14,0)))</f>
        <v>0.6065645275612017</v>
      </c>
      <c r="H7" s="8">
        <f>IF('Year-end close'!H7="","",'Year-end close'!H7/IF('Year-end close'!$C7="GBp",100,1)/INDEX('FX year-end'!$F$2:$F$14,MATCH(IF('Year-end close'!$C7="GBp","GBP",'Year-end close'!$C7),'FX year-end'!$A$2:$A$14,0)))</f>
        <v>0.46569388388699157</v>
      </c>
      <c r="I7" s="8">
        <f>IF('Year-end close'!I7="","",'Year-end close'!I7/IF('Year-end close'!$C7="GBp",100,1)/INDEX('FX year-end'!$G$2:$G$14,MATCH(IF('Year-end close'!$C7="GBp","GBP",'Year-end close'!$C7),'FX year-end'!$A$2:$A$14,0)))</f>
        <v>0.5003375771604939</v>
      </c>
      <c r="J7" s="8">
        <f>IF('Year-end close'!J7="","",'Year-end close'!J7/IF('Year-end close'!$C7="GBp",100,1)/INDEX('FX year-end'!$H$2:$H$14,MATCH(IF('Year-end close'!$C7="GBp","GBP",'Year-end close'!$C7),'FX year-end'!$A$2:$A$14,0)))</f>
        <v>0.8086081752196613</v>
      </c>
      <c r="K7" s="8">
        <f>IF('Year-end close'!K7="","",'Year-end close'!K7/IF('Year-end close'!$C7="GBp",100,1)/INDEX('FX year-end'!$I$2:$I$14,MATCH(IF('Year-end close'!$C7="GBp","GBP",'Year-end close'!$C7),'FX year-end'!$A$2:$A$14,0)))</f>
        <v>1.2800080314229423</v>
      </c>
      <c r="L7" s="8">
        <f>IF('Year-end close'!L7="","",'Year-end close'!L7/IF('Year-end close'!$C7="GBp",100,1)/INDEX('FX year-end'!$J$2:$J$14,MATCH(IF('Year-end close'!$C7="GBp","GBP",'Year-end close'!$C7),'FX year-end'!$A$2:$A$14,0)))</f>
        <v>1.4679245028920807</v>
      </c>
      <c r="M7" s="8">
        <f>IF('Year-end close'!M7="","",'Year-end close'!M7/IF('Year-end close'!$C7="GBp",100,1)/INDEX('FX year-end'!$K$2:$K$14,MATCH(IF('Year-end close'!$C7="GBp","GBP",'Year-end close'!$C7),'FX year-end'!$A$2:$A$14,0)))</f>
        <v>1.5814408977820127</v>
      </c>
    </row>
    <row r="8">
      <c r="A8" s="2" t="inlineStr">
        <is>
          <t>AR.TO</t>
        </is>
      </c>
      <c r="B8" s="2" t="inlineStr">
        <is>
          <t>Argonaut Gold Inc</t>
        </is>
      </c>
      <c r="C8" s="2" t="inlineStr">
        <is>
          <t>USD</t>
        </is>
      </c>
      <c r="D8" s="8">
        <f>IF('Year-end close'!D8="","",'Year-end close'!D8/IF('Year-end close'!$C8="GBp",100,1)/INDEX('FX year-end'!$B$2:$B$14,MATCH(IF('Year-end close'!$C8="GBp","GBP",'Year-end close'!$C8),'FX year-end'!$A$2:$A$14,0)))</f>
        <v>1.9099916437865583</v>
      </c>
      <c r="E8" s="8">
        <f>IF('Year-end close'!E8="","",'Year-end close'!E8/IF('Year-end close'!$C8="GBp",100,1)/INDEX('FX year-end'!$C$2:$C$14,MATCH(IF('Year-end close'!$C8="GBp","GBP",'Year-end close'!$C8),'FX year-end'!$A$2:$A$14,0)))</f>
        <v>1.14520628395243</v>
      </c>
      <c r="F8" s="8">
        <f>IF('Year-end close'!F8="","",'Year-end close'!F8/IF('Year-end close'!$C8="GBp",100,1)/INDEX('FX year-end'!$D$2:$D$14,MATCH(IF('Year-end close'!$C8="GBp","GBP",'Year-end close'!$C8),'FX year-end'!$A$2:$A$14,0)))</f>
        <v>1.4930401359815015</v>
      </c>
      <c r="G8" s="8">
        <f>IF('Year-end close'!G8="","",'Year-end close'!G8/IF('Year-end close'!$C8="GBp",100,1)/INDEX('FX year-end'!$E$2:$E$14,MATCH(IF('Year-end close'!$C8="GBp","GBP",'Year-end close'!$C8),'FX year-end'!$A$2:$A$14,0)))</f>
        <v>2.1489016289301768</v>
      </c>
      <c r="H8" s="8">
        <f>IF('Year-end close'!H8="","",'Year-end close'!H8/IF('Year-end close'!$C8="GBp",100,1)/INDEX('FX year-end'!$F$2:$F$14,MATCH(IF('Year-end close'!$C8="GBp","GBP",'Year-end close'!$C8),'FX year-end'!$A$2:$A$14,0)))</f>
        <v>1.8831800634003955</v>
      </c>
      <c r="I8" s="8">
        <f>IF('Year-end close'!I8="","",'Year-end close'!I8/IF('Year-end close'!$C8="GBp",100,1)/INDEX('FX year-end'!$G$2:$G$14,MATCH(IF('Year-end close'!$C8="GBp","GBP",'Year-end close'!$C8),'FX year-end'!$A$2:$A$14,0)))</f>
        <v>0.3837072018890201</v>
      </c>
      <c r="J8" s="8">
        <f>IF('Year-end close'!J8="","",'Year-end close'!J8/IF('Year-end close'!$C8="GBp",100,1)/INDEX('FX year-end'!$H$2:$H$14,MATCH(IF('Year-end close'!$C8="GBp","GBP",'Year-end close'!$C8),'FX year-end'!$A$2:$A$14,0)))</f>
        <v>0.35526395355868656</v>
      </c>
      <c r="K8" s="8">
        <f>IF('Year-end close'!K8="","",'Year-end close'!K8/IF('Year-end close'!$C8="GBp",100,1)/INDEX('FX year-end'!$I$2:$I$14,MATCH(IF('Year-end close'!$C8="GBp","GBP",'Year-end close'!$C8),'FX year-end'!$A$2:$A$14,0)))</f>
        <v>0.36237438849321946</v>
      </c>
      <c r="L8" s="8" t="str">
        <f>IF('Year-end close'!L8="","",'Year-end close'!L8/IF('Year-end close'!$C8="GBp",100,1)/INDEX('FX year-end'!$J$2:$J$14,MATCH(IF('Year-end close'!$C8="GBp","GBP",'Year-end close'!$C8),'FX year-end'!$A$2:$A$14,0)))</f>
        <v/>
      </c>
      <c r="M8" s="8" t="str">
        <f>IF('Year-end close'!M8="","",'Year-end close'!M8/IF('Year-end close'!$C8="GBp",100,1)/INDEX('FX year-end'!$K$2:$K$14,MATCH(IF('Year-end close'!$C8="GBp","GBP",'Year-end close'!$C8),'FX year-end'!$A$2:$A$14,0)))</f>
        <v/>
      </c>
    </row>
    <row r="9">
      <c r="A9" s="2" t="inlineStr">
        <is>
          <t>ASE.V</t>
        </is>
      </c>
      <c r="B9" s="2" t="inlineStr">
        <is>
          <t>Asante Gold Corp</t>
        </is>
      </c>
      <c r="C9" s="2" t="inlineStr">
        <is>
          <t>USD</t>
        </is>
      </c>
      <c r="D9" s="8">
        <f>IF('Year-end close'!D9="","",'Year-end close'!D9/IF('Year-end close'!$C9="GBp",100,1)/INDEX('FX year-end'!$B$2:$B$14,MATCH(IF('Year-end close'!$C9="GBp","GBP",'Year-end close'!$C9),'FX year-end'!$A$2:$A$14,0)))</f>
        <v>0.059687238868329946</v>
      </c>
      <c r="E9" s="8">
        <f>IF('Year-end close'!E9="","",'Year-end close'!E9/IF('Year-end close'!$C9="GBp",100,1)/INDEX('FX year-end'!$C$2:$C$14,MATCH(IF('Year-end close'!$C9="GBp","GBP",'Year-end close'!$C9),'FX year-end'!$A$2:$A$14,0)))</f>
        <v>0.022023197768315957</v>
      </c>
      <c r="F9" s="8">
        <f>IF('Year-end close'!F9="","",'Year-end close'!F9/IF('Year-end close'!$C9="GBp",100,1)/INDEX('FX year-end'!$D$2:$D$14,MATCH(IF('Year-end close'!$C9="GBp","GBP",'Year-end close'!$C9),'FX year-end'!$A$2:$A$14,0)))</f>
        <v>0.034454772368803885</v>
      </c>
      <c r="G9" s="8">
        <f>IF('Year-end close'!G9="","",'Year-end close'!G9/IF('Year-end close'!$C9="GBp",100,1)/INDEX('FX year-end'!$E$2:$E$14,MATCH(IF('Year-end close'!$C9="GBp","GBP",'Year-end close'!$C9),'FX year-end'!$A$2:$A$14,0)))</f>
        <v>0.08626977342420417</v>
      </c>
      <c r="H9" s="8">
        <f>IF('Year-end close'!H9="","",'Year-end close'!H9/IF('Year-end close'!$C9="GBp",100,1)/INDEX('FX year-end'!$F$2:$F$14,MATCH(IF('Year-end close'!$C9="GBp","GBP",'Year-end close'!$C9),'FX year-end'!$A$2:$A$14,0)))</f>
        <v>0.957283198895201</v>
      </c>
      <c r="I9" s="8">
        <f>IF('Year-end close'!I9="","",'Year-end close'!I9/IF('Year-end close'!$C9="GBp",100,1)/INDEX('FX year-end'!$G$2:$G$14,MATCH(IF('Year-end close'!$C9="GBp","GBP",'Year-end close'!$C9),'FX year-end'!$A$2:$A$14,0)))</f>
        <v>1.0109208972845338</v>
      </c>
      <c r="J9" s="8">
        <f>IF('Year-end close'!J9="","",'Year-end close'!J9/IF('Year-end close'!$C9="GBp",100,1)/INDEX('FX year-end'!$H$2:$H$14,MATCH(IF('Year-end close'!$C9="GBp","GBP",'Year-end close'!$C9),'FX year-end'!$A$2:$A$14,0)))</f>
        <v>1.073350668198585</v>
      </c>
      <c r="K9" s="8">
        <f>IF('Year-end close'!K9="","",'Year-end close'!K9/IF('Year-end close'!$C9="GBp",100,1)/INDEX('FX year-end'!$I$2:$I$14,MATCH(IF('Year-end close'!$C9="GBp","GBP",'Year-end close'!$C9),'FX year-end'!$A$2:$A$14,0)))</f>
        <v>0.7317175152266931</v>
      </c>
      <c r="L9" s="8">
        <f>IF('Year-end close'!L9="","",'Year-end close'!L9/IF('Year-end close'!$C9="GBp",100,1)/INDEX('FX year-end'!$J$2:$J$14,MATCH(IF('Year-end close'!$C9="GBp","GBP",'Year-end close'!$C9),'FX year-end'!$A$2:$A$14,0)))</f>
        <v>1.204845670222787</v>
      </c>
      <c r="M9" s="8">
        <f>IF('Year-end close'!M9="","",'Year-end close'!M9/IF('Year-end close'!$C9="GBp",100,1)/INDEX('FX year-end'!$K$2:$K$14,MATCH(IF('Year-end close'!$C9="GBp","GBP",'Year-end close'!$C9),'FX year-end'!$A$2:$A$14,0)))</f>
        <v>0.6078382867441778</v>
      </c>
    </row>
    <row r="10">
      <c r="A10" s="2" t="inlineStr">
        <is>
          <t>AU</t>
        </is>
      </c>
      <c r="B10" s="2" t="inlineStr">
        <is>
          <t>AngloGold Ashanti plc</t>
        </is>
      </c>
      <c r="C10" s="2" t="inlineStr">
        <is>
          <t>USD</t>
        </is>
      </c>
      <c r="D10" s="8">
        <f>IF('Year-end close'!D10="","",'Year-end close'!D10/IF('Year-end close'!$C10="GBp",100,1)/INDEX('FX year-end'!$B$2:$B$14,MATCH(IF('Year-end close'!$C10="GBp","GBP",'Year-end close'!$C10),'FX year-end'!$A$2:$A$14,0)))</f>
        <v>10.19</v>
      </c>
      <c r="E10" s="8">
        <f>IF('Year-end close'!E10="","",'Year-end close'!E10/IF('Year-end close'!$C10="GBp",100,1)/INDEX('FX year-end'!$C$2:$C$14,MATCH(IF('Year-end close'!$C10="GBp","GBP",'Year-end close'!$C10),'FX year-end'!$A$2:$A$14,0)))</f>
        <v>12.55</v>
      </c>
      <c r="F10" s="8">
        <f>IF('Year-end close'!F10="","",'Year-end close'!F10/IF('Year-end close'!$C10="GBp",100,1)/INDEX('FX year-end'!$D$2:$D$14,MATCH(IF('Year-end close'!$C10="GBp","GBP",'Year-end close'!$C10),'FX year-end'!$A$2:$A$14,0)))</f>
        <v>22.34</v>
      </c>
      <c r="G10" s="8">
        <f>IF('Year-end close'!G10="","",'Year-end close'!G10/IF('Year-end close'!$C10="GBp",100,1)/INDEX('FX year-end'!$E$2:$E$14,MATCH(IF('Year-end close'!$C10="GBp","GBP",'Year-end close'!$C10),'FX year-end'!$A$2:$A$14,0)))</f>
        <v>22.62</v>
      </c>
      <c r="H10" s="8">
        <f>IF('Year-end close'!H10="","",'Year-end close'!H10/IF('Year-end close'!$C10="GBp",100,1)/INDEX('FX year-end'!$F$2:$F$14,MATCH(IF('Year-end close'!$C10="GBp","GBP",'Year-end close'!$C10),'FX year-end'!$A$2:$A$14,0)))</f>
        <v>20.98</v>
      </c>
      <c r="I10" s="8">
        <f>IF('Year-end close'!I10="","",'Year-end close'!I10/IF('Year-end close'!$C10="GBp",100,1)/INDEX('FX year-end'!$G$2:$G$14,MATCH(IF('Year-end close'!$C10="GBp","GBP",'Year-end close'!$C10),'FX year-end'!$A$2:$A$14,0)))</f>
        <v>19.42</v>
      </c>
      <c r="J10" s="8">
        <f>IF('Year-end close'!J10="","",'Year-end close'!J10/IF('Year-end close'!$C10="GBp",100,1)/INDEX('FX year-end'!$H$2:$H$14,MATCH(IF('Year-end close'!$C10="GBp","GBP",'Year-end close'!$C10),'FX year-end'!$A$2:$A$14,0)))</f>
        <v>18.69</v>
      </c>
      <c r="K10" s="8">
        <f>IF('Year-end close'!K10="","",'Year-end close'!K10/IF('Year-end close'!$C10="GBp",100,1)/INDEX('FX year-end'!$I$2:$I$14,MATCH(IF('Year-end close'!$C10="GBp","GBP",'Year-end close'!$C10),'FX year-end'!$A$2:$A$14,0)))</f>
        <v>23.08</v>
      </c>
      <c r="L10" s="8">
        <f>IF('Year-end close'!L10="","",'Year-end close'!L10/IF('Year-end close'!$C10="GBp",100,1)/INDEX('FX year-end'!$J$2:$J$14,MATCH(IF('Year-end close'!$C10="GBp","GBP",'Year-end close'!$C10),'FX year-end'!$A$2:$A$14,0)))</f>
        <v>85.28</v>
      </c>
      <c r="M10" s="8">
        <f>IF('Year-end close'!M10="","",'Year-end close'!M10/IF('Year-end close'!$C10="GBp",100,1)/INDEX('FX year-end'!$K$2:$K$14,MATCH(IF('Year-end close'!$C10="GBp","GBP",'Year-end close'!$C10),'FX year-end'!$A$2:$A$14,0)))</f>
        <v>99.03</v>
      </c>
    </row>
    <row r="11">
      <c r="A11" s="2" t="inlineStr">
        <is>
          <t>AUMB.V</t>
        </is>
      </c>
      <c r="B11" s="2" t="inlineStr">
        <is>
          <t>1911 Gold Corp</t>
        </is>
      </c>
      <c r="C11" s="2" t="inlineStr">
        <is>
          <t>USD</t>
        </is>
      </c>
      <c r="D11" s="8" t="str">
        <f>IF('Year-end close'!D11="","",'Year-end close'!D11/IF('Year-end close'!$C11="GBp",100,1)/INDEX('FX year-end'!$B$2:$B$14,MATCH(IF('Year-end close'!$C11="GBp","GBP",'Year-end close'!$C11),'FX year-end'!$A$2:$A$14,0)))</f>
        <v/>
      </c>
      <c r="E11" s="8">
        <f>IF('Year-end close'!E11="","",'Year-end close'!E11/IF('Year-end close'!$C11="GBp",100,1)/INDEX('FX year-end'!$C$2:$C$14,MATCH(IF('Year-end close'!$C11="GBp","GBP",'Year-end close'!$C11),'FX year-end'!$A$2:$A$14,0)))</f>
        <v>0.21289091176038757</v>
      </c>
      <c r="F11" s="8">
        <f>IF('Year-end close'!F11="","",'Year-end close'!F11/IF('Year-end close'!$C11="GBp",100,1)/INDEX('FX year-end'!$D$2:$D$14,MATCH(IF('Year-end close'!$C11="GBp","GBP",'Year-end close'!$C11),'FX year-end'!$A$2:$A$14,0)))</f>
        <v>0.19141540204891047</v>
      </c>
      <c r="G11" s="8">
        <f>IF('Year-end close'!G11="","",'Year-end close'!G11/IF('Year-end close'!$C11="GBp",100,1)/INDEX('FX year-end'!$E$2:$E$14,MATCH(IF('Year-end close'!$C11="GBp","GBP",'Year-end close'!$C11),'FX year-end'!$A$2:$A$14,0)))</f>
        <v>0.39997804042131024</v>
      </c>
      <c r="H11" s="8">
        <f>IF('Year-end close'!H11="","",'Year-end close'!H11/IF('Year-end close'!$C11="GBp",100,1)/INDEX('FX year-end'!$F$2:$F$14,MATCH(IF('Year-end close'!$C11="GBp","GBP",'Year-end close'!$C11),'FX year-end'!$A$2:$A$14,0)))</f>
        <v>0.23932079972380024</v>
      </c>
      <c r="I11" s="8">
        <f>IF('Year-end close'!I11="","",'Year-end close'!I11/IF('Year-end close'!$C11="GBp",100,1)/INDEX('FX year-end'!$G$2:$G$14,MATCH(IF('Year-end close'!$C11="GBp","GBP",'Year-end close'!$C11),'FX year-end'!$A$2:$A$14,0)))</f>
        <v>0.1180637544273908</v>
      </c>
      <c r="J11" s="8">
        <f>IF('Year-end close'!J11="","",'Year-end close'!J11/IF('Year-end close'!$C11="GBp",100,1)/INDEX('FX year-end'!$H$2:$H$14,MATCH(IF('Year-end close'!$C11="GBp","GBP",'Year-end close'!$C11),'FX year-end'!$A$2:$A$14,0)))</f>
        <v>0.05669105641893935</v>
      </c>
      <c r="K11" s="8">
        <f>IF('Year-end close'!K11="","",'Year-end close'!K11/IF('Year-end close'!$C11="GBp",100,1)/INDEX('FX year-end'!$I$2:$I$14,MATCH(IF('Year-end close'!$C11="GBp","GBP",'Year-end close'!$C11),'FX year-end'!$A$2:$A$14,0)))</f>
        <v>0.10801544272394041</v>
      </c>
      <c r="L11" s="8">
        <f>IF('Year-end close'!L11="","",'Year-end close'!L11/IF('Year-end close'!$C11="GBp",100,1)/INDEX('FX year-end'!$J$2:$J$14,MATCH(IF('Year-end close'!$C11="GBp","GBP",'Year-end close'!$C11),'FX year-end'!$A$2:$A$14,0)))</f>
        <v>0.642584357452153</v>
      </c>
      <c r="M11" s="8">
        <f>IF('Year-end close'!M11="","",'Year-end close'!M11/IF('Year-end close'!$C11="GBp",100,1)/INDEX('FX year-end'!$K$2:$K$14,MATCH(IF('Year-end close'!$C11="GBp","GBP",'Year-end close'!$C11),'FX year-end'!$A$2:$A$14,0)))</f>
        <v>0.5866346255786833</v>
      </c>
    </row>
    <row r="12">
      <c r="A12" s="2" t="inlineStr">
        <is>
          <t>BGL.AX</t>
        </is>
      </c>
      <c r="B12" s="2" t="inlineStr">
        <is>
          <t>Bellevue Gold Ltd</t>
        </is>
      </c>
      <c r="C12" s="2" t="inlineStr">
        <is>
          <t>USD</t>
        </is>
      </c>
      <c r="D12" s="8">
        <f>IF('Year-end close'!D12="","",'Year-end close'!D12/IF('Year-end close'!$C12="GBp",100,1)/INDEX('FX year-end'!$B$2:$B$14,MATCH(IF('Year-end close'!$C12="GBp","GBP",'Year-end close'!$C12),'FX year-end'!$A$2:$A$14,0)))</f>
        <v>0.2065487649942712</v>
      </c>
      <c r="E12" s="8">
        <f>IF('Year-end close'!E12="","",'Year-end close'!E12/IF('Year-end close'!$C12="GBp",100,1)/INDEX('FX year-end'!$C$2:$C$14,MATCH(IF('Year-end close'!$C12="GBp","GBP",'Year-end close'!$C12),'FX year-end'!$A$2:$A$14,0)))</f>
        <v>0.28883409651285663</v>
      </c>
      <c r="F12" s="8">
        <f>IF('Year-end close'!F12="","",'Year-end close'!F12/IF('Year-end close'!$C12="GBp",100,1)/INDEX('FX year-end'!$D$2:$D$14,MATCH(IF('Year-end close'!$C12="GBp","GBP",'Year-end close'!$C12),'FX year-end'!$A$2:$A$14,0)))</f>
        <v>0.37457484005304265</v>
      </c>
      <c r="G12" s="8">
        <f>IF('Year-end close'!G12="","",'Year-end close'!G12/IF('Year-end close'!$C12="GBp",100,1)/INDEX('FX year-end'!$E$2:$E$14,MATCH(IF('Year-end close'!$C12="GBp","GBP",'Year-end close'!$C12),'FX year-end'!$A$2:$A$14,0)))</f>
        <v>0.8612006059161407</v>
      </c>
      <c r="H12" s="8">
        <f>IF('Year-end close'!H12="","",'Year-end close'!H12/IF('Year-end close'!$C12="GBp",100,1)/INDEX('FX year-end'!$F$2:$F$14,MATCH(IF('Year-end close'!$C12="GBp","GBP",'Year-end close'!$C12),'FX year-end'!$A$2:$A$14,0)))</f>
        <v>0.6126082757940708</v>
      </c>
      <c r="I12" s="8">
        <f>IF('Year-end close'!I12="","",'Year-end close'!I12/IF('Year-end close'!$C12="GBp",100,1)/INDEX('FX year-end'!$G$2:$G$14,MATCH(IF('Year-end close'!$C12="GBp","GBP",'Year-end close'!$C12),'FX year-end'!$A$2:$A$14,0)))</f>
        <v>0.7645580651403471</v>
      </c>
      <c r="J12" s="8">
        <f>IF('Year-end close'!J12="","",'Year-end close'!J12/IF('Year-end close'!$C12="GBp",100,1)/INDEX('FX year-end'!$H$2:$H$14,MATCH(IF('Year-end close'!$C12="GBp","GBP",'Year-end close'!$C12),'FX year-end'!$A$2:$A$14,0)))</f>
        <v>1.143405587464725</v>
      </c>
      <c r="K12" s="8">
        <f>IF('Year-end close'!K12="","",'Year-end close'!K12/IF('Year-end close'!$C12="GBp",100,1)/INDEX('FX year-end'!$I$2:$I$14,MATCH(IF('Year-end close'!$C12="GBp","GBP",'Year-end close'!$C12),'FX year-end'!$A$2:$A$14,0)))</f>
        <v>0.6997500181935005</v>
      </c>
      <c r="L12" s="8">
        <f>IF('Year-end close'!L12="","",'Year-end close'!L12/IF('Year-end close'!$C12="GBp",100,1)/INDEX('FX year-end'!$J$2:$J$14,MATCH(IF('Year-end close'!$C12="GBp","GBP",'Year-end close'!$C12),'FX year-end'!$A$2:$A$14,0)))</f>
        <v>1.1420089846970798</v>
      </c>
      <c r="M12" s="8">
        <f>IF('Year-end close'!M12="","",'Year-end close'!M12/IF('Year-end close'!$C12="GBp",100,1)/INDEX('FX year-end'!$K$2:$K$14,MATCH(IF('Year-end close'!$C12="GBp","GBP",'Year-end close'!$C12),'FX year-end'!$A$2:$A$14,0)))</f>
        <v>1.1197697276046052</v>
      </c>
    </row>
    <row r="13">
      <c r="A13" s="2" t="inlineStr">
        <is>
          <t>BTO.TO</t>
        </is>
      </c>
      <c r="B13" s="2" t="inlineStr">
        <is>
          <t>B2Gold Corp</t>
        </is>
      </c>
      <c r="C13" s="2" t="inlineStr">
        <is>
          <t>USD</t>
        </is>
      </c>
      <c r="D13" s="8">
        <f>IF('Year-end close'!D13="","",'Year-end close'!D13/IF('Year-end close'!$C13="GBp",100,1)/INDEX('FX year-end'!$B$2:$B$14,MATCH(IF('Year-end close'!$C13="GBp","GBP",'Year-end close'!$C13),'FX year-end'!$A$2:$A$14,0)))</f>
        <v>3.0878198241216026</v>
      </c>
      <c r="E13" s="8">
        <f>IF('Year-end close'!E13="","",'Year-end close'!E13/IF('Year-end close'!$C13="GBp",100,1)/INDEX('FX year-end'!$C$2:$C$14,MATCH(IF('Year-end close'!$C13="GBp","GBP",'Year-end close'!$C13),'FX year-end'!$A$2:$A$14,0)))</f>
        <v>2.9290853031860227</v>
      </c>
      <c r="F13" s="8">
        <f>IF('Year-end close'!F13="","",'Year-end close'!F13/IF('Year-end close'!$C13="GBp",100,1)/INDEX('FX year-end'!$D$2:$D$14,MATCH(IF('Year-end close'!$C13="GBp","GBP",'Year-end close'!$C13),'FX year-end'!$A$2:$A$14,0)))</f>
        <v>3.989096978699294</v>
      </c>
      <c r="G13" s="8">
        <f>IF('Year-end close'!G13="","",'Year-end close'!G13/IF('Year-end close'!$C13="GBp",100,1)/INDEX('FX year-end'!$E$2:$E$14,MATCH(IF('Year-end close'!$C13="GBp","GBP",'Year-end close'!$C13),'FX year-end'!$A$2:$A$14,0)))</f>
        <v>5.591849859223416</v>
      </c>
      <c r="H13" s="8">
        <f>IF('Year-end close'!H13="","",'Year-end close'!H13/IF('Year-end close'!$C13="GBp",100,1)/INDEX('FX year-end'!$F$2:$F$14,MATCH(IF('Year-end close'!$C13="GBp","GBP",'Year-end close'!$C13),'FX year-end'!$A$2:$A$14,0)))</f>
        <v>3.9075986315558207</v>
      </c>
      <c r="I13" s="8">
        <f>IF('Year-end close'!I13="","",'Year-end close'!I13/IF('Year-end close'!$C13="GBp",100,1)/INDEX('FX year-end'!$G$2:$G$14,MATCH(IF('Year-end close'!$C13="GBp","GBP",'Year-end close'!$C13),'FX year-end'!$A$2:$A$14,0)))</f>
        <v>3.5492916174734357</v>
      </c>
      <c r="J13" s="8">
        <f>IF('Year-end close'!J13="","",'Year-end close'!J13/IF('Year-end close'!$C13="GBp",100,1)/INDEX('FX year-end'!$H$2:$H$14,MATCH(IF('Year-end close'!$C13="GBp","GBP",'Year-end close'!$C13),'FX year-end'!$A$2:$A$14,0)))</f>
        <v>3.167140351938079</v>
      </c>
      <c r="K13" s="8">
        <f>IF('Year-end close'!K13="","",'Year-end close'!K13/IF('Year-end close'!$C13="GBp",100,1)/INDEX('FX year-end'!$I$2:$I$14,MATCH(IF('Year-end close'!$C13="GBp","GBP",'Year-end close'!$C13),'FX year-end'!$A$2:$A$14,0)))</f>
        <v>2.4529958605694855</v>
      </c>
      <c r="L13" s="8">
        <f>IF('Year-end close'!L13="","",'Year-end close'!L13/IF('Year-end close'!$C13="GBp",100,1)/INDEX('FX year-end'!$J$2:$J$14,MATCH(IF('Year-end close'!$C13="GBp","GBP",'Year-end close'!$C13),'FX year-end'!$A$2:$A$14,0)))</f>
        <v>4.512694692107165</v>
      </c>
      <c r="M13" s="8">
        <f>IF('Year-end close'!M13="","",'Year-end close'!M13/IF('Year-end close'!$C13="GBp",100,1)/INDEX('FX year-end'!$K$2:$K$14,MATCH(IF('Year-end close'!$C13="GBp","GBP",'Year-end close'!$C13),'FX year-end'!$A$2:$A$14,0)))</f>
        <v>5.463476693642436</v>
      </c>
    </row>
    <row r="14">
      <c r="A14" s="2" t="inlineStr">
        <is>
          <t>CERT.V</t>
        </is>
      </c>
      <c r="B14" s="2" t="inlineStr">
        <is>
          <t>Cerrado Gold Inc</t>
        </is>
      </c>
      <c r="C14" s="2" t="inlineStr">
        <is>
          <t>USD</t>
        </is>
      </c>
      <c r="D14" s="8" t="str">
        <f>IF('Year-end close'!D14="","",'Year-end close'!D14/IF('Year-end close'!$C14="GBp",100,1)/INDEX('FX year-end'!$B$2:$B$14,MATCH(IF('Year-end close'!$C14="GBp","GBP",'Year-end close'!$C14),'FX year-end'!$A$2:$A$14,0)))</f>
        <v/>
      </c>
      <c r="E14" s="8" t="str">
        <f>IF('Year-end close'!E14="","",'Year-end close'!E14/IF('Year-end close'!$C14="GBp",100,1)/INDEX('FX year-end'!$C$2:$C$14,MATCH(IF('Year-end close'!$C14="GBp","GBP",'Year-end close'!$C14),'FX year-end'!$A$2:$A$14,0)))</f>
        <v/>
      </c>
      <c r="F14" s="8" t="str">
        <f>IF('Year-end close'!F14="","",'Year-end close'!F14/IF('Year-end close'!$C14="GBp",100,1)/INDEX('FX year-end'!$D$2:$D$14,MATCH(IF('Year-end close'!$C14="GBp","GBP",'Year-end close'!$C14),'FX year-end'!$A$2:$A$14,0)))</f>
        <v/>
      </c>
      <c r="G14" s="8">
        <f>IF('Year-end close'!G14="","",'Year-end close'!G14/IF('Year-end close'!$C14="GBp",100,1)/INDEX('FX year-end'!$E$2:$E$14,MATCH(IF('Year-end close'!$C14="GBp","GBP",'Year-end close'!$C14),'FX year-end'!$A$2:$A$14,0)))</f>
        <v>0.03921353337463826</v>
      </c>
      <c r="H14" s="8">
        <f>IF('Year-end close'!H14="","",'Year-end close'!H14/IF('Year-end close'!$C14="GBp",100,1)/INDEX('FX year-end'!$F$2:$F$14,MATCH(IF('Year-end close'!$C14="GBp","GBP",'Year-end close'!$C14),'FX year-end'!$A$2:$A$14,0)))</f>
        <v>1.1063682872477323</v>
      </c>
      <c r="I14" s="8">
        <f>IF('Year-end close'!I14="","",'Year-end close'!I14/IF('Year-end close'!$C14="GBp",100,1)/INDEX('FX year-end'!$G$2:$G$14,MATCH(IF('Year-end close'!$C14="GBp","GBP",'Year-end close'!$C14),'FX year-end'!$A$2:$A$14,0)))</f>
        <v>0.6493506493506493</v>
      </c>
      <c r="J14" s="8">
        <f>IF('Year-end close'!J14="","",'Year-end close'!J14/IF('Year-end close'!$C14="GBp",100,1)/INDEX('FX year-end'!$H$2:$H$14,MATCH(IF('Year-end close'!$C14="GBp","GBP",'Year-end close'!$C14),'FX year-end'!$A$2:$A$14,0)))</f>
        <v>0.4535284513515148</v>
      </c>
      <c r="K14" s="8">
        <f>IF('Year-end close'!K14="","",'Year-end close'!K14/IF('Year-end close'!$C14="GBp",100,1)/INDEX('FX year-end'!$I$2:$I$14,MATCH(IF('Year-end close'!$C14="GBp","GBP",'Year-end close'!$C14),'FX year-end'!$A$2:$A$14,0)))</f>
        <v>0.26829642224978745</v>
      </c>
      <c r="L14" s="8">
        <f>IF('Year-end close'!L14="","",'Year-end close'!L14/IF('Year-end close'!$C14="GBp",100,1)/INDEX('FX year-end'!$J$2:$J$14,MATCH(IF('Year-end close'!$C14="GBp","GBP",'Year-end close'!$C14),'FX year-end'!$A$2:$A$14,0)))</f>
        <v>1.204845670222787</v>
      </c>
      <c r="M14" s="8">
        <f>IF('Year-end close'!M14="","",'Year-end close'!M14/IF('Year-end close'!$C14="GBp",100,1)/INDEX('FX year-end'!$K$2:$K$14,MATCH(IF('Year-end close'!$C14="GBp","GBP",'Year-end close'!$C14),'FX year-end'!$A$2:$A$14,0)))</f>
        <v>1.7104286673498958</v>
      </c>
    </row>
    <row r="15">
      <c r="A15" s="2" t="inlineStr">
        <is>
          <t>CG.TO</t>
        </is>
      </c>
      <c r="B15" s="2" t="inlineStr">
        <is>
          <t>Centerra Gold Inc</t>
        </is>
      </c>
      <c r="C15" s="2" t="inlineStr">
        <is>
          <t>USD</t>
        </is>
      </c>
      <c r="D15" s="8">
        <f>IF('Year-end close'!D15="","",'Year-end close'!D15/IF('Year-end close'!$C15="GBp",100,1)/INDEX('FX year-end'!$B$2:$B$14,MATCH(IF('Year-end close'!$C15="GBp","GBP",'Year-end close'!$C15),'FX year-end'!$A$2:$A$14,0)))</f>
        <v>5.125144244160598</v>
      </c>
      <c r="E15" s="8">
        <f>IF('Year-end close'!E15="","",'Year-end close'!E15/IF('Year-end close'!$C15="GBp",100,1)/INDEX('FX year-end'!$C$2:$C$14,MATCH(IF('Year-end close'!$C15="GBp","GBP",'Year-end close'!$C15),'FX year-end'!$A$2:$A$14,0)))</f>
        <v>4.301864630744384</v>
      </c>
      <c r="F15" s="8">
        <f>IF('Year-end close'!F15="","",'Year-end close'!F15/IF('Year-end close'!$C15="GBp",100,1)/INDEX('FX year-end'!$D$2:$D$14,MATCH(IF('Year-end close'!$C15="GBp","GBP",'Year-end close'!$C15),'FX year-end'!$A$2:$A$14,0)))</f>
        <v>7.9092844126609805</v>
      </c>
      <c r="G15" s="8">
        <f>IF('Year-end close'!G15="","",'Year-end close'!G15/IF('Year-end close'!$C15="GBp",100,1)/INDEX('FX year-end'!$E$2:$E$14,MATCH(IF('Year-end close'!$C15="GBp","GBP",'Year-end close'!$C15),'FX year-end'!$A$2:$A$14,0)))</f>
        <v>11.560149638843358</v>
      </c>
      <c r="H15" s="8">
        <f>IF('Year-end close'!H15="","",'Year-end close'!H15/IF('Year-end close'!$C15="GBp",100,1)/INDEX('FX year-end'!$F$2:$F$14,MATCH(IF('Year-end close'!$C15="GBp","GBP",'Year-end close'!$C15),'FX year-end'!$A$2:$A$14,0)))</f>
        <v>7.650419007564106</v>
      </c>
      <c r="I15" s="8">
        <f>IF('Year-end close'!I15="","",'Year-end close'!I15/IF('Year-end close'!$C15="GBp",100,1)/INDEX('FX year-end'!$G$2:$G$14,MATCH(IF('Year-end close'!$C15="GBp","GBP",'Year-end close'!$C15),'FX year-end'!$A$2:$A$14,0)))</f>
        <v>5.172668240850059</v>
      </c>
      <c r="J15" s="8">
        <f>IF('Year-end close'!J15="","",'Year-end close'!J15/IF('Year-end close'!$C15="GBp",100,1)/INDEX('FX year-end'!$H$2:$H$14,MATCH(IF('Year-end close'!$C15="GBp","GBP",'Year-end close'!$C15),'FX year-end'!$A$2:$A$14,0)))</f>
        <v>5.97901675031747</v>
      </c>
      <c r="K15" s="8">
        <f>IF('Year-end close'!K15="","",'Year-end close'!K15/IF('Year-end close'!$C15="GBp",100,1)/INDEX('FX year-end'!$I$2:$I$14,MATCH(IF('Year-end close'!$C15="GBp","GBP",'Year-end close'!$C15),'FX year-end'!$A$2:$A$14,0)))</f>
        <v>5.700427880527951</v>
      </c>
      <c r="L15" s="8">
        <f>IF('Year-end close'!L15="","",'Year-end close'!L15/IF('Year-end close'!$C15="GBp",100,1)/INDEX('FX year-end'!$J$2:$J$14,MATCH(IF('Year-end close'!$C15="GBp","GBP",'Year-end close'!$C15),'FX year-end'!$A$2:$A$14,0)))</f>
        <v>14.428939662789256</v>
      </c>
      <c r="M15" s="8">
        <f>IF('Year-end close'!M15="","",'Year-end close'!M15/IF('Year-end close'!$C15="GBp",100,1)/INDEX('FX year-end'!$K$2:$K$14,MATCH(IF('Year-end close'!$C15="GBp","GBP",'Year-end close'!$C15),'FX year-end'!$A$2:$A$14,0)))</f>
        <v>22.539491818920734</v>
      </c>
    </row>
    <row r="16">
      <c r="A16" s="2" t="inlineStr">
        <is>
          <t>CXB.TO</t>
        </is>
      </c>
      <c r="B16" s="2" t="inlineStr">
        <is>
          <t>Calibre Mining Corp</t>
        </is>
      </c>
      <c r="C16" s="2" t="inlineStr">
        <is>
          <t>USD</t>
        </is>
      </c>
      <c r="D16" s="8">
        <f>IF('Year-end close'!D16="","",'Year-end close'!D16/IF('Year-end close'!$C16="GBp",100,1)/INDEX('FX year-end'!$B$2:$B$14,MATCH(IF('Year-end close'!$C16="GBp","GBP",'Year-end close'!$C16),'FX year-end'!$A$2:$A$14,0)))</f>
        <v>1.0345788070510524</v>
      </c>
      <c r="E16" s="8">
        <f>IF('Year-end close'!E16="","",'Year-end close'!E16/IF('Year-end close'!$C16="GBp",100,1)/INDEX('FX year-end'!$C$2:$C$14,MATCH(IF('Year-end close'!$C16="GBp","GBP",'Year-end close'!$C16),'FX year-end'!$A$2:$A$14,0)))</f>
        <v>0.2679489061811775</v>
      </c>
      <c r="F16" s="8">
        <f>IF('Year-end close'!F16="","",'Year-end close'!F16/IF('Year-end close'!$C16="GBp",100,1)/INDEX('FX year-end'!$D$2:$D$14,MATCH(IF('Year-end close'!$C16="GBp","GBP",'Year-end close'!$C16),'FX year-end'!$A$2:$A$14,0)))</f>
        <v>0.7197219117039033</v>
      </c>
      <c r="G16" s="8">
        <f>IF('Year-end close'!G16="","",'Year-end close'!G16/IF('Year-end close'!$C16="GBp",100,1)/INDEX('FX year-end'!$E$2:$E$14,MATCH(IF('Year-end close'!$C16="GBp","GBP",'Year-end close'!$C16),'FX year-end'!$A$2:$A$14,0)))</f>
        <v>1.8979350153324916</v>
      </c>
      <c r="H16" s="8">
        <f>IF('Year-end close'!H16="","",'Year-end close'!H16/IF('Year-end close'!$C16="GBp",100,1)/INDEX('FX year-end'!$F$2:$F$14,MATCH(IF('Year-end close'!$C16="GBp","GBP",'Year-end close'!$C16),'FX year-end'!$A$2:$A$14,0)))</f>
        <v>1.0514422020652208</v>
      </c>
      <c r="I16" s="8">
        <f>IF('Year-end close'!I16="","",'Year-end close'!I16/IF('Year-end close'!$C16="GBp",100,1)/INDEX('FX year-end'!$G$2:$G$14,MATCH(IF('Year-end close'!$C16="GBp","GBP",'Year-end close'!$C16),'FX year-end'!$A$2:$A$14,0)))</f>
        <v>0.6641086186540732</v>
      </c>
      <c r="J16" s="8">
        <f>IF('Year-end close'!J16="","",'Year-end close'!J16/IF('Year-end close'!$C16="GBp",100,1)/INDEX('FX year-end'!$H$2:$H$14,MATCH(IF('Year-end close'!$C16="GBp","GBP",'Year-end close'!$C16),'FX year-end'!$A$2:$A$14,0)))</f>
        <v>1.0279978230634337</v>
      </c>
      <c r="K16" s="8">
        <f>IF('Year-end close'!K16="","",'Year-end close'!K16/IF('Year-end close'!$C16="GBp",100,1)/INDEX('FX year-end'!$I$2:$I$14,MATCH(IF('Year-end close'!$C16="GBp","GBP",'Year-end close'!$C16),'FX year-end'!$A$2:$A$14,0)))</f>
        <v>1.4982787216546571</v>
      </c>
      <c r="L16" s="8">
        <f>IF('Year-end close'!L16="","",'Year-end close'!L16/IF('Year-end close'!$C16="GBp",100,1)/INDEX('FX year-end'!$J$2:$J$14,MATCH(IF('Year-end close'!$C16="GBp","GBP",'Year-end close'!$C16),'FX year-end'!$A$2:$A$14,0)))</f>
        <v>2.183326396343111</v>
      </c>
      <c r="M16" s="8" t="str">
        <f>IF('Year-end close'!M16="","",'Year-end close'!M16/IF('Year-end close'!$C16="GBp",100,1)/INDEX('FX year-end'!$K$2:$K$14,MATCH(IF('Year-end close'!$C16="GBp","GBP",'Year-end close'!$C16),'FX year-end'!$A$2:$A$14,0)))</f>
        <v/>
      </c>
    </row>
    <row r="17">
      <c r="A17" s="2" t="inlineStr">
        <is>
          <t>CYL.AX</t>
        </is>
      </c>
      <c r="B17" s="2" t="inlineStr">
        <is>
          <t>Catalyst Metals Ltd</t>
        </is>
      </c>
      <c r="C17" s="2" t="inlineStr">
        <is>
          <t>USD</t>
        </is>
      </c>
      <c r="D17" s="8">
        <f>IF('Year-end close'!D17="","",'Year-end close'!D17/IF('Year-end close'!$C17="GBp",100,1)/INDEX('FX year-end'!$B$2:$B$14,MATCH(IF('Year-end close'!$C17="GBp","GBP",'Year-end close'!$C17),'FX year-end'!$A$2:$A$14,0)))</f>
        <v>0.9586980412941644</v>
      </c>
      <c r="E17" s="8">
        <f>IF('Year-end close'!E17="","",'Year-end close'!E17/IF('Year-end close'!$C17="GBp",100,1)/INDEX('FX year-end'!$C$2:$C$14,MATCH(IF('Year-end close'!$C17="GBp","GBP",'Year-end close'!$C17),'FX year-end'!$A$2:$A$14,0)))</f>
        <v>1.2328284607256077</v>
      </c>
      <c r="F17" s="8">
        <f>IF('Year-end close'!F17="","",'Year-end close'!F17/IF('Year-end close'!$C17="GBp",100,1)/INDEX('FX year-end'!$D$2:$D$14,MATCH(IF('Year-end close'!$C17="GBp","GBP",'Year-end close'!$C17),'FX year-end'!$A$2:$A$14,0)))</f>
        <v>1.9743944840179068</v>
      </c>
      <c r="G17" s="8">
        <f>IF('Year-end close'!G17="","",'Year-end close'!G17/IF('Year-end close'!$C17="GBp",100,1)/INDEX('FX year-end'!$E$2:$E$14,MATCH(IF('Year-end close'!$C17="GBp","GBP",'Year-end close'!$C17),'FX year-end'!$A$2:$A$14,0)))</f>
        <v>1.6301297183412662</v>
      </c>
      <c r="H17" s="8">
        <f>IF('Year-end close'!H17="","",'Year-end close'!H17/IF('Year-end close'!$C17="GBp",100,1)/INDEX('FX year-end'!$F$2:$F$14,MATCH(IF('Year-end close'!$C17="GBp","GBP",'Year-end close'!$C17),'FX year-end'!$A$2:$A$14,0)))</f>
        <v>1.4245861087992298</v>
      </c>
      <c r="I17" s="8">
        <f>IF('Year-end close'!I17="","",'Year-end close'!I17/IF('Year-end close'!$C17="GBp",100,1)/INDEX('FX year-end'!$G$2:$G$14,MATCH(IF('Year-end close'!$C17="GBp","GBP",'Year-end close'!$C17),'FX year-end'!$A$2:$A$14,0)))</f>
        <v>0.7983880680226634</v>
      </c>
      <c r="J17" s="8">
        <f>IF('Year-end close'!J17="","",'Year-end close'!J17/IF('Year-end close'!$C17="GBp",100,1)/INDEX('FX year-end'!$H$2:$H$14,MATCH(IF('Year-end close'!$C17="GBp","GBP",'Year-end close'!$C17),'FX year-end'!$A$2:$A$14,0)))</f>
        <v>0.5495173121845395</v>
      </c>
      <c r="K17" s="8">
        <f>IF('Year-end close'!K17="","",'Year-end close'!K17/IF('Year-end close'!$C17="GBp",100,1)/INDEX('FX year-end'!$I$2:$I$14,MATCH(IF('Year-end close'!$C17="GBp","GBP",'Year-end close'!$C17),'FX year-end'!$A$2:$A$14,0)))</f>
        <v>1.604760041723761</v>
      </c>
      <c r="L17" s="8">
        <f>IF('Year-end close'!L17="","",'Year-end close'!L17/IF('Year-end close'!$C17="GBp",100,1)/INDEX('FX year-end'!$J$2:$J$14,MATCH(IF('Year-end close'!$C17="GBp","GBP",'Year-end close'!$C17),'FX year-end'!$A$2:$A$14,0)))</f>
        <v>4.929727933941646</v>
      </c>
      <c r="M17" s="8">
        <f>IF('Year-end close'!M17="","",'Year-end close'!M17/IF('Year-end close'!$C17="GBp",100,1)/INDEX('FX year-end'!$K$2:$K$14,MATCH(IF('Year-end close'!$C17="GBp","GBP",'Year-end close'!$C17),'FX year-end'!$A$2:$A$14,0)))</f>
        <v>4.135074417298511</v>
      </c>
    </row>
    <row r="18">
      <c r="A18" s="2" t="inlineStr">
        <is>
          <t>ELD.TO</t>
        </is>
      </c>
      <c r="B18" s="2" t="inlineStr">
        <is>
          <t>Eldorado Gold Corp</t>
        </is>
      </c>
      <c r="C18" s="2" t="inlineStr">
        <is>
          <t>USD</t>
        </is>
      </c>
      <c r="D18" s="8">
        <f>IF('Year-end close'!D18="","",'Year-end close'!D18/IF('Year-end close'!$C18="GBp",100,1)/INDEX('FX year-end'!$B$2:$B$14,MATCH(IF('Year-end close'!$C18="GBp","GBP",'Year-end close'!$C18),'FX year-end'!$A$2:$A$14,0)))</f>
        <v>7.242051649357367</v>
      </c>
      <c r="E18" s="8">
        <f>IF('Year-end close'!E18="","",'Year-end close'!E18/IF('Year-end close'!$C18="GBp",100,1)/INDEX('FX year-end'!$C$2:$C$14,MATCH(IF('Year-end close'!$C18="GBp","GBP",'Year-end close'!$C18),'FX year-end'!$A$2:$A$14,0)))</f>
        <v>2.9364263691087946</v>
      </c>
      <c r="F18" s="8">
        <f>IF('Year-end close'!F18="","",'Year-end close'!F18/IF('Year-end close'!$C18="GBp",100,1)/INDEX('FX year-end'!$D$2:$D$14,MATCH(IF('Year-end close'!$C18="GBp","GBP",'Year-end close'!$C18),'FX year-end'!$A$2:$A$14,0)))</f>
        <v>7.985850573480544</v>
      </c>
      <c r="G18" s="8">
        <f>IF('Year-end close'!G18="","",'Year-end close'!G18/IF('Year-end close'!$C18="GBp",100,1)/INDEX('FX year-end'!$E$2:$E$14,MATCH(IF('Year-end close'!$C18="GBp","GBP",'Year-end close'!$C18),'FX year-end'!$A$2:$A$14,0)))</f>
        <v>13.230646160602948</v>
      </c>
      <c r="H18" s="8">
        <f>IF('Year-end close'!H18="","",'Year-end close'!H18/IF('Year-end close'!$C18="GBp",100,1)/INDEX('FX year-end'!$F$2:$F$14,MATCH(IF('Year-end close'!$C18="GBp","GBP",'Year-end close'!$C18),'FX year-end'!$A$2:$A$14,0)))</f>
        <v>9.306048146636954</v>
      </c>
      <c r="I18" s="8">
        <f>IF('Year-end close'!I18="","",'Year-end close'!I18/IF('Year-end close'!$C18="GBp",100,1)/INDEX('FX year-end'!$G$2:$G$14,MATCH(IF('Year-end close'!$C18="GBp","GBP",'Year-end close'!$C18),'FX year-end'!$A$2:$A$14,0)))</f>
        <v>8.330873671782763</v>
      </c>
      <c r="J18" s="8">
        <f>IF('Year-end close'!J18="","",'Year-end close'!J18/IF('Year-end close'!$C18="GBp",100,1)/INDEX('FX year-end'!$H$2:$H$14,MATCH(IF('Year-end close'!$C18="GBp","GBP",'Year-end close'!$C18),'FX year-end'!$A$2:$A$14,0)))</f>
        <v>13.001148938743425</v>
      </c>
      <c r="K18" s="8">
        <f>IF('Year-end close'!K18="","",'Year-end close'!K18/IF('Year-end close'!$C18="GBp",100,1)/INDEX('FX year-end'!$I$2:$I$14,MATCH(IF('Year-end close'!$C18="GBp","GBP",'Year-end close'!$C18),'FX year-end'!$A$2:$A$14,0)))</f>
        <v>14.899162357663522</v>
      </c>
      <c r="L18" s="8">
        <f>IF('Year-end close'!L18="","",'Year-end close'!L18/IF('Year-end close'!$C18="GBp",100,1)/INDEX('FX year-end'!$J$2:$J$14,MATCH(IF('Year-end close'!$C18="GBp","GBP",'Year-end close'!$C18),'FX year-end'!$A$2:$A$14,0)))</f>
        <v>36.02123449217581</v>
      </c>
      <c r="M18" s="8">
        <f>IF('Year-end close'!M18="","",'Year-end close'!M18/IF('Year-end close'!$C18="GBp",100,1)/INDEX('FX year-end'!$K$2:$K$14,MATCH(IF('Year-end close'!$C18="GBp","GBP",'Year-end close'!$C18),'FX year-end'!$A$2:$A$14,0)))</f>
        <v>41.940841785348276</v>
      </c>
    </row>
    <row r="19">
      <c r="A19" s="2" t="inlineStr">
        <is>
          <t>EQX.TO</t>
        </is>
      </c>
      <c r="B19" s="2" t="inlineStr">
        <is>
          <t>Equinox Gold Corp</t>
        </is>
      </c>
      <c r="C19" s="2" t="inlineStr">
        <is>
          <t>USD</t>
        </is>
      </c>
      <c r="D19" s="8">
        <f>IF('Year-end close'!D19="","",'Year-end close'!D19/IF('Year-end close'!$C19="GBp",100,1)/INDEX('FX year-end'!$B$2:$B$14,MATCH(IF('Year-end close'!$C19="GBp","GBP",'Year-end close'!$C19),'FX year-end'!$A$2:$A$14,0)))</f>
        <v>0.8913294337670606</v>
      </c>
      <c r="E19" s="8">
        <f>IF('Year-end close'!E19="","",'Year-end close'!E19/IF('Year-end close'!$C19="GBp",100,1)/INDEX('FX year-end'!$C$2:$C$14,MATCH(IF('Year-end close'!$C19="GBp","GBP",'Year-end close'!$C19),'FX year-end'!$A$2:$A$14,0)))</f>
        <v>0.7487887241227426</v>
      </c>
      <c r="F19" s="8">
        <f>IF('Year-end close'!F19="","",'Year-end close'!F19/IF('Year-end close'!$C19="GBp",100,1)/INDEX('FX year-end'!$D$2:$D$14,MATCH(IF('Year-end close'!$C19="GBp","GBP",'Year-end close'!$C19),'FX year-end'!$A$2:$A$14,0)))</f>
        <v>7.648959465874462</v>
      </c>
      <c r="G19" s="8">
        <f>IF('Year-end close'!G19="","",'Year-end close'!G19/IF('Year-end close'!$C19="GBp",100,1)/INDEX('FX year-end'!$E$2:$E$14,MATCH(IF('Year-end close'!$C19="GBp","GBP",'Year-end close'!$C19),'FX year-end'!$A$2:$A$14,0)))</f>
        <v>10.328844690879716</v>
      </c>
      <c r="H19" s="8">
        <f>IF('Year-end close'!H19="","",'Year-end close'!H19/IF('Year-end close'!$C19="GBp",100,1)/INDEX('FX year-end'!$F$2:$F$14,MATCH(IF('Year-end close'!$C19="GBp","GBP",'Year-end close'!$C19),'FX year-end'!$A$2:$A$14,0)))</f>
        <v>6.716675559461411</v>
      </c>
      <c r="I19" s="8">
        <f>IF('Year-end close'!I19="","",'Year-end close'!I19/IF('Year-end close'!$C19="GBp",100,1)/INDEX('FX year-end'!$G$2:$G$14,MATCH(IF('Year-end close'!$C19="GBp","GBP",'Year-end close'!$C19),'FX year-end'!$A$2:$A$14,0)))</f>
        <v>3.268890200708382</v>
      </c>
      <c r="J19" s="8">
        <f>IF('Year-end close'!J19="","",'Year-end close'!J19/IF('Year-end close'!$C19="GBp",100,1)/INDEX('FX year-end'!$H$2:$H$14,MATCH(IF('Year-end close'!$C19="GBp","GBP",'Year-end close'!$C19),'FX year-end'!$A$2:$A$14,0)))</f>
        <v>4.867872044506259</v>
      </c>
      <c r="K19" s="8">
        <f>IF('Year-end close'!K19="","",'Year-end close'!K19/IF('Year-end close'!$C19="GBp",100,1)/INDEX('FX year-end'!$I$2:$I$14,MATCH(IF('Year-end close'!$C19="GBp","GBP",'Year-end close'!$C19),'FX year-end'!$A$2:$A$14,0)))</f>
        <v>5.045366485944055</v>
      </c>
      <c r="L19" s="8">
        <f>IF('Year-end close'!L19="","",'Year-end close'!L19/IF('Year-end close'!$C19="GBp",100,1)/INDEX('FX year-end'!$J$2:$J$14,MATCH(IF('Year-end close'!$C19="GBp","GBP",'Year-end close'!$C19),'FX year-end'!$A$2:$A$14,0)))</f>
        <v>14.085741199150036</v>
      </c>
      <c r="M19" s="8">
        <f>IF('Year-end close'!M19="","",'Year-end close'!M19/IF('Year-end close'!$C19="GBp",100,1)/INDEX('FX year-end'!$K$2:$K$14,MATCH(IF('Year-end close'!$C19="GBp","GBP",'Year-end close'!$C19),'FX year-end'!$A$2:$A$14,0)))</f>
        <v>11.923525462063118</v>
      </c>
    </row>
    <row r="20">
      <c r="A20" s="2" t="inlineStr">
        <is>
          <t>FVI.TO</t>
        </is>
      </c>
      <c r="B20" s="2" t="inlineStr">
        <is>
          <t>Fortuna Mining Corp</t>
        </is>
      </c>
      <c r="C20" s="2" t="inlineStr">
        <is>
          <t>USD</t>
        </is>
      </c>
      <c r="D20" s="8">
        <f>IF('Year-end close'!D20="","",'Year-end close'!D20/IF('Year-end close'!$C20="GBp",100,1)/INDEX('FX year-end'!$B$2:$B$14,MATCH(IF('Year-end close'!$C20="GBp","GBP",'Year-end close'!$C20),'FX year-end'!$A$2:$A$14,0)))</f>
        <v>5.220643826349926</v>
      </c>
      <c r="E20" s="8">
        <f>IF('Year-end close'!E20="","",'Year-end close'!E20/IF('Year-end close'!$C20="GBp",100,1)/INDEX('FX year-end'!$C$2:$C$14,MATCH(IF('Year-end close'!$C20="GBp","GBP",'Year-end close'!$C20),'FX year-end'!$A$2:$A$14,0)))</f>
        <v>3.670532961385993</v>
      </c>
      <c r="F20" s="8">
        <f>IF('Year-end close'!F20="","",'Year-end close'!F20/IF('Year-end close'!$C20="GBp",100,1)/INDEX('FX year-end'!$D$2:$D$14,MATCH(IF('Year-end close'!$C20="GBp","GBP",'Year-end close'!$C20),'FX year-end'!$A$2:$A$14,0)))</f>
        <v>4.050349907354946</v>
      </c>
      <c r="G20" s="8">
        <f>IF('Year-end close'!G20="","",'Year-end close'!G20/IF('Year-end close'!$C20="GBp",100,1)/INDEX('FX year-end'!$E$2:$E$14,MATCH(IF('Year-end close'!$C20="GBp","GBP",'Year-end close'!$C20),'FX year-end'!$A$2:$A$14,0)))</f>
        <v>8.203471181974324</v>
      </c>
      <c r="H20" s="8">
        <f>IF('Year-end close'!H20="","",'Year-end close'!H20/IF('Year-end close'!$C20="GBp",100,1)/INDEX('FX year-end'!$F$2:$F$14,MATCH(IF('Year-end close'!$C20="GBp","GBP",'Year-end close'!$C20),'FX year-end'!$A$2:$A$14,0)))</f>
        <v>3.8762122971658144</v>
      </c>
      <c r="I20" s="8">
        <f>IF('Year-end close'!I20="","",'Year-end close'!I20/IF('Year-end close'!$C20="GBp",100,1)/INDEX('FX year-end'!$G$2:$G$14,MATCH(IF('Year-end close'!$C20="GBp","GBP",'Year-end close'!$C20),'FX year-end'!$A$2:$A$14,0)))</f>
        <v>3.7559031877213696</v>
      </c>
      <c r="J20" s="8">
        <f>IF('Year-end close'!J20="","",'Year-end close'!J20/IF('Year-end close'!$C20="GBp",100,1)/INDEX('FX year-end'!$H$2:$H$14,MATCH(IF('Year-end close'!$C20="GBp","GBP",'Year-end close'!$C20),'FX year-end'!$A$2:$A$14,0)))</f>
        <v>3.8549918364878755</v>
      </c>
      <c r="K20" s="8">
        <f>IF('Year-end close'!K20="","",'Year-end close'!K20/IF('Year-end close'!$C20="GBp",100,1)/INDEX('FX year-end'!$I$2:$I$14,MATCH(IF('Year-end close'!$C20="GBp","GBP",'Year-end close'!$C20),'FX year-end'!$A$2:$A$14,0)))</f>
        <v>4.2997114942368535</v>
      </c>
      <c r="L20" s="8">
        <f>IF('Year-end close'!L20="","",'Year-end close'!L20/IF('Year-end close'!$C20="GBp",100,1)/INDEX('FX year-end'!$J$2:$J$14,MATCH(IF('Year-end close'!$C20="GBp","GBP",'Year-end close'!$C20),'FX year-end'!$A$2:$A$14,0)))</f>
        <v>9.821317736058475</v>
      </c>
      <c r="M20" s="8">
        <f>IF('Year-end close'!M20="","",'Year-end close'!M20/IF('Year-end close'!$C20="GBp",100,1)/INDEX('FX year-end'!$K$2:$K$14,MATCH(IF('Year-end close'!$C20="GBp","GBP",'Year-end close'!$C20),'FX year-end'!$A$2:$A$14,0)))</f>
        <v>11.704420963353005</v>
      </c>
    </row>
    <row r="21">
      <c r="A21" s="2" t="inlineStr">
        <is>
          <t>GFI</t>
        </is>
      </c>
      <c r="B21" s="2" t="inlineStr">
        <is>
          <t>Gold Fields Ltd</t>
        </is>
      </c>
      <c r="C21" s="2" t="inlineStr">
        <is>
          <t>USD</t>
        </is>
      </c>
      <c r="D21" s="8">
        <f>IF('Year-end close'!D21="","",'Year-end close'!D21/IF('Year-end close'!$C21="GBp",100,1)/INDEX('FX year-end'!$B$2:$B$14,MATCH(IF('Year-end close'!$C21="GBp","GBP",'Year-end close'!$C21),'FX year-end'!$A$2:$A$14,0)))</f>
        <v>4.3</v>
      </c>
      <c r="E21" s="8">
        <f>IF('Year-end close'!E21="","",'Year-end close'!E21/IF('Year-end close'!$C21="GBp",100,1)/INDEX('FX year-end'!$C$2:$C$14,MATCH(IF('Year-end close'!$C21="GBp","GBP",'Year-end close'!$C21),'FX year-end'!$A$2:$A$14,0)))</f>
        <v>3.52</v>
      </c>
      <c r="F21" s="8">
        <f>IF('Year-end close'!F21="","",'Year-end close'!F21/IF('Year-end close'!$C21="GBp",100,1)/INDEX('FX year-end'!$D$2:$D$14,MATCH(IF('Year-end close'!$C21="GBp","GBP",'Year-end close'!$C21),'FX year-end'!$A$2:$A$14,0)))</f>
        <v>6.6</v>
      </c>
      <c r="G21" s="8">
        <f>IF('Year-end close'!G21="","",'Year-end close'!G21/IF('Year-end close'!$C21="GBp",100,1)/INDEX('FX year-end'!$E$2:$E$14,MATCH(IF('Year-end close'!$C21="GBp","GBP",'Year-end close'!$C21),'FX year-end'!$A$2:$A$14,0)))</f>
        <v>9.27</v>
      </c>
      <c r="H21" s="8">
        <f>IF('Year-end close'!H21="","",'Year-end close'!H21/IF('Year-end close'!$C21="GBp",100,1)/INDEX('FX year-end'!$F$2:$F$14,MATCH(IF('Year-end close'!$C21="GBp","GBP",'Year-end close'!$C21),'FX year-end'!$A$2:$A$14,0)))</f>
        <v>10.99</v>
      </c>
      <c r="I21" s="8">
        <f>IF('Year-end close'!I21="","",'Year-end close'!I21/IF('Year-end close'!$C21="GBp",100,1)/INDEX('FX year-end'!$G$2:$G$14,MATCH(IF('Year-end close'!$C21="GBp","GBP",'Year-end close'!$C21),'FX year-end'!$A$2:$A$14,0)))</f>
        <v>10.35</v>
      </c>
      <c r="J21" s="8">
        <f>IF('Year-end close'!J21="","",'Year-end close'!J21/IF('Year-end close'!$C21="GBp",100,1)/INDEX('FX year-end'!$H$2:$H$14,MATCH(IF('Year-end close'!$C21="GBp","GBP",'Year-end close'!$C21),'FX year-end'!$A$2:$A$14,0)))</f>
        <v>14.46</v>
      </c>
      <c r="K21" s="8">
        <f>IF('Year-end close'!K21="","",'Year-end close'!K21/IF('Year-end close'!$C21="GBp",100,1)/INDEX('FX year-end'!$I$2:$I$14,MATCH(IF('Year-end close'!$C21="GBp","GBP",'Year-end close'!$C21),'FX year-end'!$A$2:$A$14,0)))</f>
        <v>13.2</v>
      </c>
      <c r="L21" s="8">
        <f>IF('Year-end close'!L21="","",'Year-end close'!L21/IF('Year-end close'!$C21="GBp",100,1)/INDEX('FX year-end'!$J$2:$J$14,MATCH(IF('Year-end close'!$C21="GBp","GBP",'Year-end close'!$C21),'FX year-end'!$A$2:$A$14,0)))</f>
        <v>43.66</v>
      </c>
      <c r="M21" s="8">
        <f>IF('Year-end close'!M21="","",'Year-end close'!M21/IF('Year-end close'!$C21="GBp",100,1)/INDEX('FX year-end'!$K$2:$K$14,MATCH(IF('Year-end close'!$C21="GBp","GBP",'Year-end close'!$C21),'FX year-end'!$A$2:$A$14,0)))</f>
        <v>40.38</v>
      </c>
    </row>
    <row r="22">
      <c r="A22" s="2" t="inlineStr">
        <is>
          <t>GMD.AX</t>
        </is>
      </c>
      <c r="B22" s="2" t="inlineStr">
        <is>
          <t>Genesis Minerals Ltd</t>
        </is>
      </c>
      <c r="C22" s="2" t="inlineStr">
        <is>
          <t>USD</t>
        </is>
      </c>
      <c r="D22" s="8">
        <f>IF('Year-end close'!D22="","",'Year-end close'!D22/IF('Year-end close'!$C22="GBp",100,1)/INDEX('FX year-end'!$B$2:$B$14,MATCH(IF('Year-end close'!$C22="GBp","GBP",'Year-end close'!$C22),'FX year-end'!$A$2:$A$14,0)))</f>
        <v>0.025721166961550752</v>
      </c>
      <c r="E22" s="8">
        <f>IF('Year-end close'!E22="","",'Year-end close'!E22/IF('Year-end close'!$C22="GBp",100,1)/INDEX('FX year-end'!$C$2:$C$14,MATCH(IF('Year-end close'!$C22="GBp","GBP",'Year-end close'!$C22),'FX year-end'!$A$2:$A$14,0)))</f>
        <v>0.023247622402254316</v>
      </c>
      <c r="F22" s="8">
        <f>IF('Year-end close'!F22="","",'Year-end close'!F22/IF('Year-end close'!$C22="GBp",100,1)/INDEX('FX year-end'!$D$2:$D$14,MATCH(IF('Year-end close'!$C22="GBp","GBP",'Year-end close'!$C22),'FX year-end'!$A$2:$A$14,0)))</f>
        <v>0.022404476414387597</v>
      </c>
      <c r="G22" s="8">
        <f>IF('Year-end close'!G22="","",'Year-end close'!G22/IF('Year-end close'!$C22="GBp",100,1)/INDEX('FX year-end'!$E$2:$E$14,MATCH(IF('Year-end close'!$C22="GBp","GBP",'Year-end close'!$C22),'FX year-end'!$A$2:$A$14,0)))</f>
        <v>0.05690075431945928</v>
      </c>
      <c r="H22" s="8">
        <f>IF('Year-end close'!H22="","",'Year-end close'!H22/IF('Year-end close'!$C22="GBp",100,1)/INDEX('FX year-end'!$F$2:$F$14,MATCH(IF('Year-end close'!$C22="GBp","GBP",'Year-end close'!$C22),'FX year-end'!$A$2:$A$14,0)))</f>
        <v>0.11962173432665289</v>
      </c>
      <c r="I22" s="8">
        <f>IF('Year-end close'!I22="","",'Year-end close'!I22/IF('Year-end close'!$C22="GBp",100,1)/INDEX('FX year-end'!$G$2:$G$14,MATCH(IF('Year-end close'!$C22="GBp","GBP",'Year-end close'!$C22),'FX year-end'!$A$2:$A$14,0)))</f>
        <v>0.8457500720579061</v>
      </c>
      <c r="J22" s="8">
        <f>IF('Year-end close'!J22="","",'Year-end close'!J22/IF('Year-end close'!$C22="GBp",100,1)/INDEX('FX year-end'!$H$2:$H$14,MATCH(IF('Year-end close'!$C22="GBp","GBP",'Year-end close'!$C22),'FX year-end'!$A$2:$A$14,0)))</f>
        <v>1.221908060633945</v>
      </c>
      <c r="K22" s="8">
        <f>IF('Year-end close'!K22="","",'Year-end close'!K22/IF('Year-end close'!$C22="GBp",100,1)/INDEX('FX year-end'!$I$2:$I$14,MATCH(IF('Year-end close'!$C22="GBp","GBP",'Year-end close'!$C22),'FX year-end'!$A$2:$A$14,0)))</f>
        <v>1.536340039944841</v>
      </c>
      <c r="L22" s="8">
        <f>IF('Year-end close'!L22="","",'Year-end close'!L22/IF('Year-end close'!$C22="GBp",100,1)/INDEX('FX year-end'!$J$2:$J$14,MATCH(IF('Year-end close'!$C22="GBp","GBP",'Year-end close'!$C22),'FX year-end'!$A$2:$A$14,0)))</f>
        <v>4.856049934928931</v>
      </c>
      <c r="M22" s="8">
        <f>IF('Year-end close'!M22="","",'Year-end close'!M22/IF('Year-end close'!$C22="GBp",100,1)/INDEX('FX year-end'!$K$2:$K$14,MATCH(IF('Year-end close'!$C22="GBp","GBP",'Year-end close'!$C22),'FX year-end'!$A$2:$A$14,0)))</f>
        <v>5.370682392586352</v>
      </c>
    </row>
    <row r="23">
      <c r="A23" s="2" t="inlineStr">
        <is>
          <t>GOR.AX</t>
        </is>
      </c>
      <c r="B23" s="2" t="inlineStr">
        <is>
          <t>Gold Road Resources Ltd</t>
        </is>
      </c>
      <c r="C23" s="2" t="inlineStr">
        <is>
          <t>USD</t>
        </is>
      </c>
      <c r="D23" s="8" t="str">
        <f>IF('Year-end close'!D23="","",'Year-end close'!D23/IF('Year-end close'!$C23="GBp",100,1)/INDEX('FX year-end'!$B$2:$B$14,MATCH(IF('Year-end close'!$C23="GBp","GBP",'Year-end close'!$C23),'FX year-end'!$A$2:$A$14,0)))</f>
        <v/>
      </c>
      <c r="E23" s="8" t="str">
        <f>IF('Year-end close'!E23="","",'Year-end close'!E23/IF('Year-end close'!$C23="GBp",100,1)/INDEX('FX year-end'!$C$2:$C$14,MATCH(IF('Year-end close'!$C23="GBp","GBP",'Year-end close'!$C23),'FX year-end'!$A$2:$A$14,0)))</f>
        <v/>
      </c>
      <c r="F23" s="8" t="str">
        <f>IF('Year-end close'!F23="","",'Year-end close'!F23/IF('Year-end close'!$C23="GBp",100,1)/INDEX('FX year-end'!$D$2:$D$14,MATCH(IF('Year-end close'!$C23="GBp","GBP",'Year-end close'!$C23),'FX year-end'!$A$2:$A$14,0)))</f>
        <v/>
      </c>
      <c r="G23" s="8" t="str">
        <f>IF('Year-end close'!G23="","",'Year-end close'!G23/IF('Year-end close'!$C23="GBp",100,1)/INDEX('FX year-end'!$E$2:$E$14,MATCH(IF('Year-end close'!$C23="GBp","GBP",'Year-end close'!$C23),'FX year-end'!$A$2:$A$14,0)))</f>
        <v/>
      </c>
      <c r="H23" s="8" t="str">
        <f>IF('Year-end close'!H23="","",'Year-end close'!H23/IF('Year-end close'!$C23="GBp",100,1)/INDEX('FX year-end'!$F$2:$F$14,MATCH(IF('Year-end close'!$C23="GBp","GBP",'Year-end close'!$C23),'FX year-end'!$A$2:$A$14,0)))</f>
        <v/>
      </c>
      <c r="I23" s="8" t="str">
        <f>IF('Year-end close'!I23="","",'Year-end close'!I23/IF('Year-end close'!$C23="GBp",100,1)/INDEX('FX year-end'!$G$2:$G$14,MATCH(IF('Year-end close'!$C23="GBp","GBP",'Year-end close'!$C23),'FX year-end'!$A$2:$A$14,0)))</f>
        <v/>
      </c>
      <c r="J23" s="8" t="str">
        <f>IF('Year-end close'!J23="","",'Year-end close'!J23/IF('Year-end close'!$C23="GBp",100,1)/INDEX('FX year-end'!$H$2:$H$14,MATCH(IF('Year-end close'!$C23="GBp","GBP",'Year-end close'!$C23),'FX year-end'!$A$2:$A$14,0)))</f>
        <v/>
      </c>
      <c r="K23" s="8" t="str">
        <f>IF('Year-end close'!K23="","",'Year-end close'!K23/IF('Year-end close'!$C23="GBp",100,1)/INDEX('FX year-end'!$I$2:$I$14,MATCH(IF('Year-end close'!$C23="GBp","GBP",'Year-end close'!$C23),'FX year-end'!$A$2:$A$14,0)))</f>
        <v/>
      </c>
      <c r="L23" s="8" t="str">
        <f>IF('Year-end close'!L23="","",'Year-end close'!L23/IF('Year-end close'!$C23="GBp",100,1)/INDEX('FX year-end'!$J$2:$J$14,MATCH(IF('Year-end close'!$C23="GBp","GBP",'Year-end close'!$C23),'FX year-end'!$A$2:$A$14,0)))</f>
        <v/>
      </c>
      <c r="M23" s="8" t="str">
        <f>IF('Year-end close'!M23="","",'Year-end close'!M23/IF('Year-end close'!$C23="GBp",100,1)/INDEX('FX year-end'!$K$2:$K$14,MATCH(IF('Year-end close'!$C23="GBp","GBP",'Year-end close'!$C23),'FX year-end'!$A$2:$A$14,0)))</f>
        <v/>
      </c>
    </row>
    <row r="24">
      <c r="A24" s="2" t="inlineStr">
        <is>
          <t>HMY</t>
        </is>
      </c>
      <c r="B24" s="2" t="inlineStr">
        <is>
          <t>Harmony Gold Mining Co Ltd</t>
        </is>
      </c>
      <c r="C24" s="2" t="inlineStr">
        <is>
          <t>USD</t>
        </is>
      </c>
      <c r="D24" s="8">
        <f>IF('Year-end close'!D24="","",'Year-end close'!D24/IF('Year-end close'!$C24="GBp",100,1)/INDEX('FX year-end'!$B$2:$B$14,MATCH(IF('Year-end close'!$C24="GBp","GBP",'Year-end close'!$C24),'FX year-end'!$A$2:$A$14,0)))</f>
        <v>1.87</v>
      </c>
      <c r="E24" s="8">
        <f>IF('Year-end close'!E24="","",'Year-end close'!E24/IF('Year-end close'!$C24="GBp",100,1)/INDEX('FX year-end'!$C$2:$C$14,MATCH(IF('Year-end close'!$C24="GBp","GBP",'Year-end close'!$C24),'FX year-end'!$A$2:$A$14,0)))</f>
        <v>1.79</v>
      </c>
      <c r="F24" s="8">
        <f>IF('Year-end close'!F24="","",'Year-end close'!F24/IF('Year-end close'!$C24="GBp",100,1)/INDEX('FX year-end'!$D$2:$D$14,MATCH(IF('Year-end close'!$C24="GBp","GBP",'Year-end close'!$C24),'FX year-end'!$A$2:$A$14,0)))</f>
        <v>3.63</v>
      </c>
      <c r="G24" s="8">
        <f>IF('Year-end close'!G24="","",'Year-end close'!G24/IF('Year-end close'!$C24="GBp",100,1)/INDEX('FX year-end'!$E$2:$E$14,MATCH(IF('Year-end close'!$C24="GBp","GBP",'Year-end close'!$C24),'FX year-end'!$A$2:$A$14,0)))</f>
        <v>4.68</v>
      </c>
      <c r="H24" s="8">
        <f>IF('Year-end close'!H24="","",'Year-end close'!H24/IF('Year-end close'!$C24="GBp",100,1)/INDEX('FX year-end'!$F$2:$F$14,MATCH(IF('Year-end close'!$C24="GBp","GBP",'Year-end close'!$C24),'FX year-end'!$A$2:$A$14,0)))</f>
        <v>4.11</v>
      </c>
      <c r="I24" s="8">
        <f>IF('Year-end close'!I24="","",'Year-end close'!I24/IF('Year-end close'!$C24="GBp",100,1)/INDEX('FX year-end'!$G$2:$G$14,MATCH(IF('Year-end close'!$C24="GBp","GBP",'Year-end close'!$C24),'FX year-end'!$A$2:$A$14,0)))</f>
        <v>3.4</v>
      </c>
      <c r="J24" s="8">
        <f>IF('Year-end close'!J24="","",'Year-end close'!J24/IF('Year-end close'!$C24="GBp",100,1)/INDEX('FX year-end'!$H$2:$H$14,MATCH(IF('Year-end close'!$C24="GBp","GBP",'Year-end close'!$C24),'FX year-end'!$A$2:$A$14,0)))</f>
        <v>6.15</v>
      </c>
      <c r="K24" s="8">
        <f>IF('Year-end close'!K24="","",'Year-end close'!K24/IF('Year-end close'!$C24="GBp",100,1)/INDEX('FX year-end'!$I$2:$I$14,MATCH(IF('Year-end close'!$C24="GBp","GBP",'Year-end close'!$C24),'FX year-end'!$A$2:$A$14,0)))</f>
        <v>8.21</v>
      </c>
      <c r="L24" s="8">
        <f>IF('Year-end close'!L24="","",'Year-end close'!L24/IF('Year-end close'!$C24="GBp",100,1)/INDEX('FX year-end'!$J$2:$J$14,MATCH(IF('Year-end close'!$C24="GBp","GBP",'Year-end close'!$C24),'FX year-end'!$A$2:$A$14,0)))</f>
        <v>19.9</v>
      </c>
      <c r="M24" s="8">
        <f>IF('Year-end close'!M24="","",'Year-end close'!M24/IF('Year-end close'!$C24="GBp",100,1)/INDEX('FX year-end'!$K$2:$K$14,MATCH(IF('Year-end close'!$C24="GBp","GBP",'Year-end close'!$C24),'FX year-end'!$A$2:$A$14,0)))</f>
        <v>18.97</v>
      </c>
    </row>
    <row r="25">
      <c r="A25" s="2" t="inlineStr">
        <is>
          <t>HUM.L</t>
        </is>
      </c>
      <c r="B25" s="2" t="inlineStr">
        <is>
          <t>Hummingbird Resources plc</t>
        </is>
      </c>
      <c r="C25" s="2" t="inlineStr">
        <is>
          <t>USD</t>
        </is>
      </c>
      <c r="D25" s="8" t="str">
        <f>IF('Year-end close'!D25="","",'Year-end close'!D25/IF('Year-end close'!$C25="GBp",100,1)/INDEX('FX year-end'!$B$2:$B$14,MATCH(IF('Year-end close'!$C25="GBp","GBP",'Year-end close'!$C25),'FX year-end'!$A$2:$A$14,0)))</f>
        <v/>
      </c>
      <c r="E25" s="8" t="str">
        <f>IF('Year-end close'!E25="","",'Year-end close'!E25/IF('Year-end close'!$C25="GBp",100,1)/INDEX('FX year-end'!$C$2:$C$14,MATCH(IF('Year-end close'!$C25="GBp","GBP",'Year-end close'!$C25),'FX year-end'!$A$2:$A$14,0)))</f>
        <v/>
      </c>
      <c r="F25" s="8" t="str">
        <f>IF('Year-end close'!F25="","",'Year-end close'!F25/IF('Year-end close'!$C25="GBp",100,1)/INDEX('FX year-end'!$D$2:$D$14,MATCH(IF('Year-end close'!$C25="GBp","GBP",'Year-end close'!$C25),'FX year-end'!$A$2:$A$14,0)))</f>
        <v/>
      </c>
      <c r="G25" s="8" t="str">
        <f>IF('Year-end close'!G25="","",'Year-end close'!G25/IF('Year-end close'!$C25="GBp",100,1)/INDEX('FX year-end'!$E$2:$E$14,MATCH(IF('Year-end close'!$C25="GBp","GBP",'Year-end close'!$C25),'FX year-end'!$A$2:$A$14,0)))</f>
        <v/>
      </c>
      <c r="H25" s="8" t="str">
        <f>IF('Year-end close'!H25="","",'Year-end close'!H25/IF('Year-end close'!$C25="GBp",100,1)/INDEX('FX year-end'!$F$2:$F$14,MATCH(IF('Year-end close'!$C25="GBp","GBP",'Year-end close'!$C25),'FX year-end'!$A$2:$A$14,0)))</f>
        <v/>
      </c>
      <c r="I25" s="8" t="str">
        <f>IF('Year-end close'!I25="","",'Year-end close'!I25/IF('Year-end close'!$C25="GBp",100,1)/INDEX('FX year-end'!$G$2:$G$14,MATCH(IF('Year-end close'!$C25="GBp","GBP",'Year-end close'!$C25),'FX year-end'!$A$2:$A$14,0)))</f>
        <v/>
      </c>
      <c r="J25" s="8" t="str">
        <f>IF('Year-end close'!J25="","",'Year-end close'!J25/IF('Year-end close'!$C25="GBp",100,1)/INDEX('FX year-end'!$H$2:$H$14,MATCH(IF('Year-end close'!$C25="GBp","GBP",'Year-end close'!$C25),'FX year-end'!$A$2:$A$14,0)))</f>
        <v/>
      </c>
      <c r="K25" s="8" t="str">
        <f>IF('Year-end close'!K25="","",'Year-end close'!K25/IF('Year-end close'!$C25="GBp",100,1)/INDEX('FX year-end'!$I$2:$I$14,MATCH(IF('Year-end close'!$C25="GBp","GBP",'Year-end close'!$C25),'FX year-end'!$A$2:$A$14,0)))</f>
        <v/>
      </c>
      <c r="L25" s="8" t="str">
        <f>IF('Year-end close'!L25="","",'Year-end close'!L25/IF('Year-end close'!$C25="GBp",100,1)/INDEX('FX year-end'!$J$2:$J$14,MATCH(IF('Year-end close'!$C25="GBp","GBP",'Year-end close'!$C25),'FX year-end'!$A$2:$A$14,0)))</f>
        <v/>
      </c>
      <c r="M25" s="8" t="str">
        <f>IF('Year-end close'!M25="","",'Year-end close'!M25/IF('Year-end close'!$C25="GBp",100,1)/INDEX('FX year-end'!$K$2:$K$14,MATCH(IF('Year-end close'!$C25="GBp","GBP",'Year-end close'!$C25),'FX year-end'!$A$2:$A$14,0)))</f>
        <v/>
      </c>
    </row>
    <row r="26">
      <c r="A26" s="2" t="inlineStr">
        <is>
          <t>IAU.TO</t>
        </is>
      </c>
      <c r="B26" s="2" t="inlineStr">
        <is>
          <t>i-80 Gold Corp</t>
        </is>
      </c>
      <c r="C26" s="2" t="inlineStr">
        <is>
          <t>USD</t>
        </is>
      </c>
      <c r="D26" s="8" t="str">
        <f>IF('Year-end close'!D26="","",'Year-end close'!D26/IF('Year-end close'!$C26="GBp",100,1)/INDEX('FX year-end'!$B$2:$B$14,MATCH(IF('Year-end close'!$C26="GBp","GBP",'Year-end close'!$C26),'FX year-end'!$A$2:$A$14,0)))</f>
        <v/>
      </c>
      <c r="E26" s="8" t="str">
        <f>IF('Year-end close'!E26="","",'Year-end close'!E26/IF('Year-end close'!$C26="GBp",100,1)/INDEX('FX year-end'!$C$2:$C$14,MATCH(IF('Year-end close'!$C26="GBp","GBP",'Year-end close'!$C26),'FX year-end'!$A$2:$A$14,0)))</f>
        <v/>
      </c>
      <c r="F26" s="8" t="str">
        <f>IF('Year-end close'!F26="","",'Year-end close'!F26/IF('Year-end close'!$C26="GBp",100,1)/INDEX('FX year-end'!$D$2:$D$14,MATCH(IF('Year-end close'!$C26="GBp","GBP",'Year-end close'!$C26),'FX year-end'!$A$2:$A$14,0)))</f>
        <v/>
      </c>
      <c r="G26" s="8" t="str">
        <f>IF('Year-end close'!G26="","",'Year-end close'!G26/IF('Year-end close'!$C26="GBp",100,1)/INDEX('FX year-end'!$E$2:$E$14,MATCH(IF('Year-end close'!$C26="GBp","GBP",'Year-end close'!$C26),'FX year-end'!$A$2:$A$14,0)))</f>
        <v/>
      </c>
      <c r="H26" s="8">
        <f>IF('Year-end close'!H26="","",'Year-end close'!H26/IF('Year-end close'!$C26="GBp",100,1)/INDEX('FX year-end'!$F$2:$F$14,MATCH(IF('Year-end close'!$C26="GBp","GBP",'Year-end close'!$C26),'FX year-end'!$A$2:$A$14,0)))</f>
        <v>2.424594331628009</v>
      </c>
      <c r="I26" s="8">
        <f>IF('Year-end close'!I26="","",'Year-end close'!I26/IF('Year-end close'!$C26="GBp",100,1)/INDEX('FX year-end'!$G$2:$G$14,MATCH(IF('Year-end close'!$C26="GBp","GBP",'Year-end close'!$C26),'FX year-end'!$A$2:$A$14,0)))</f>
        <v>2.7892561983471076</v>
      </c>
      <c r="J26" s="8">
        <f>IF('Year-end close'!J26="","",'Year-end close'!J26/IF('Year-end close'!$C26="GBp",100,1)/INDEX('FX year-end'!$H$2:$H$14,MATCH(IF('Year-end close'!$C26="GBp","GBP",'Year-end close'!$C26),'FX year-end'!$A$2:$A$14,0)))</f>
        <v>1.7612021527483825</v>
      </c>
      <c r="K26" s="8">
        <f>IF('Year-end close'!K26="","",'Year-end close'!K26/IF('Year-end close'!$C26="GBp",100,1)/INDEX('FX year-end'!$I$2:$I$14,MATCH(IF('Year-end close'!$C26="GBp","GBP",'Year-end close'!$C26),'FX year-end'!$A$2:$A$14,0)))</f>
        <v>0.4808429385775411</v>
      </c>
      <c r="L26" s="8">
        <f>IF('Year-end close'!L26="","",'Year-end close'!L26/IF('Year-end close'!$C26="GBp",100,1)/INDEX('FX year-end'!$J$2:$J$14,MATCH(IF('Year-end close'!$C26="GBp","GBP",'Year-end close'!$C26),'FX year-end'!$A$2:$A$14,0)))</f>
        <v>1.475023184151533</v>
      </c>
      <c r="M26" s="8">
        <f>IF('Year-end close'!M26="","",'Year-end close'!M26/IF('Year-end close'!$C26="GBp",100,1)/INDEX('FX year-end'!$K$2:$K$14,MATCH(IF('Year-end close'!$C26="GBp","GBP",'Year-end close'!$C26),'FX year-end'!$A$2:$A$14,0)))</f>
        <v>1.752835989680885</v>
      </c>
    </row>
    <row r="27">
      <c r="A27" s="2" t="inlineStr">
        <is>
          <t>IMG.TO</t>
        </is>
      </c>
      <c r="B27" s="2" t="inlineStr">
        <is>
          <t>IAMGOLD Corp</t>
        </is>
      </c>
      <c r="C27" s="2" t="inlineStr">
        <is>
          <t>USD</t>
        </is>
      </c>
      <c r="D27" s="8">
        <f>IF('Year-end close'!D27="","",'Year-end close'!D27/IF('Year-end close'!$C27="GBp",100,1)/INDEX('FX year-end'!$B$2:$B$14,MATCH(IF('Year-end close'!$C27="GBp","GBP",'Year-end close'!$C27),'FX year-end'!$A$2:$A$14,0)))</f>
        <v>5.83343281206478</v>
      </c>
      <c r="E27" s="8">
        <f>IF('Year-end close'!E27="","",'Year-end close'!E27/IF('Year-end close'!$C27="GBp",100,1)/INDEX('FX year-end'!$C$2:$C$14,MATCH(IF('Year-end close'!$C27="GBp","GBP",'Year-end close'!$C27),'FX year-end'!$A$2:$A$14,0)))</f>
        <v>3.6778740273087647</v>
      </c>
      <c r="F27" s="8">
        <f>IF('Year-end close'!F27="","",'Year-end close'!F27/IF('Year-end close'!$C27="GBp",100,1)/INDEX('FX year-end'!$D$2:$D$14,MATCH(IF('Year-end close'!$C27="GBp","GBP",'Year-end close'!$C27),'FX year-end'!$A$2:$A$14,0)))</f>
        <v>3.713458799748863</v>
      </c>
      <c r="G27" s="8">
        <f>IF('Year-end close'!G27="","",'Year-end close'!G27/IF('Year-end close'!$C27="GBp",100,1)/INDEX('FX year-end'!$E$2:$E$14,MATCH(IF('Year-end close'!$C27="GBp","GBP",'Year-end close'!$C27),'FX year-end'!$A$2:$A$14,0)))</f>
        <v>3.6625440171912134</v>
      </c>
      <c r="H27" s="8">
        <f>IF('Year-end close'!H27="","",'Year-end close'!H27/IF('Year-end close'!$C27="GBp",100,1)/INDEX('FX year-end'!$F$2:$F$14,MATCH(IF('Year-end close'!$C27="GBp","GBP",'Year-end close'!$C27),'FX year-end'!$A$2:$A$14,0)))</f>
        <v>3.0915539374156493</v>
      </c>
      <c r="I27" s="8">
        <f>IF('Year-end close'!I27="","",'Year-end close'!I27/IF('Year-end close'!$C27="GBp",100,1)/INDEX('FX year-end'!$G$2:$G$14,MATCH(IF('Year-end close'!$C27="GBp","GBP",'Year-end close'!$C27),'FX year-end'!$A$2:$A$14,0)))</f>
        <v>2.560507674144038</v>
      </c>
      <c r="J27" s="8">
        <f>IF('Year-end close'!J27="","",'Year-end close'!J27/IF('Year-end close'!$C27="GBp",100,1)/INDEX('FX year-end'!$H$2:$H$14,MATCH(IF('Year-end close'!$C27="GBp","GBP",'Year-end close'!$C27),'FX year-end'!$A$2:$A$14,0)))</f>
        <v>2.524641712523432</v>
      </c>
      <c r="K27" s="8">
        <f>IF('Year-end close'!K27="","",'Year-end close'!K27/IF('Year-end close'!$C27="GBp",100,1)/INDEX('FX year-end'!$I$2:$I$14,MATCH(IF('Year-end close'!$C27="GBp","GBP",'Year-end close'!$C27),'FX year-end'!$A$2:$A$14,0)))</f>
        <v>5.177772512508885</v>
      </c>
      <c r="L27" s="8">
        <f>IF('Year-end close'!L27="","",'Year-end close'!L27/IF('Year-end close'!$C27="GBp",100,1)/INDEX('FX year-end'!$J$2:$J$14,MATCH(IF('Year-end close'!$C27="GBp","GBP",'Year-end close'!$C27),'FX year-end'!$A$2:$A$14,0)))</f>
        <v>16.53924510942189</v>
      </c>
      <c r="M27" s="8">
        <f>IF('Year-end close'!M27="","",'Year-end close'!M27/IF('Year-end close'!$C27="GBp",100,1)/INDEX('FX year-end'!$K$2:$K$14,MATCH(IF('Year-end close'!$C27="GBp","GBP",'Year-end close'!$C27),'FX year-end'!$A$2:$A$14,0)))</f>
        <v>19.684065448634133</v>
      </c>
    </row>
    <row r="28">
      <c r="A28" s="2" t="inlineStr">
        <is>
          <t>K.TO</t>
        </is>
      </c>
      <c r="B28" s="2" t="inlineStr">
        <is>
          <t>Kinross Gold Corp</t>
        </is>
      </c>
      <c r="C28" s="2" t="inlineStr">
        <is>
          <t>USD</t>
        </is>
      </c>
      <c r="D28" s="8">
        <f>IF('Year-end close'!D28="","",'Year-end close'!D28/IF('Year-end close'!$C28="GBp",100,1)/INDEX('FX year-end'!$B$2:$B$14,MATCH(IF('Year-end close'!$C28="GBp","GBP",'Year-end close'!$C28),'FX year-end'!$A$2:$A$14,0)))</f>
        <v>4.313397795551311</v>
      </c>
      <c r="E28" s="8">
        <f>IF('Year-end close'!E28="","",'Year-end close'!E28/IF('Year-end close'!$C28="GBp",100,1)/INDEX('FX year-end'!$C$2:$C$14,MATCH(IF('Year-end close'!$C28="GBp","GBP",'Year-end close'!$C28),'FX year-end'!$A$2:$A$14,0)))</f>
        <v>3.230069006019674</v>
      </c>
      <c r="F28" s="8">
        <f>IF('Year-end close'!F28="","",'Year-end close'!F28/IF('Year-end close'!$C28="GBp",100,1)/INDEX('FX year-end'!$D$2:$D$14,MATCH(IF('Year-end close'!$C28="GBp","GBP",'Year-end close'!$C28),'FX year-end'!$A$2:$A$14,0)))</f>
        <v>4.716475506485154</v>
      </c>
      <c r="G28" s="8">
        <f>IF('Year-end close'!G28="","",'Year-end close'!G28/IF('Year-end close'!$C28="GBp",100,1)/INDEX('FX year-end'!$E$2:$E$14,MATCH(IF('Year-end close'!$C28="GBp","GBP",'Year-end close'!$C28),'FX year-end'!$A$2:$A$14,0)))</f>
        <v>7.325088034382427</v>
      </c>
      <c r="H28" s="8">
        <f>IF('Year-end close'!H28="","",'Year-end close'!H28/IF('Year-end close'!$C28="GBp",100,1)/INDEX('FX year-end'!$F$2:$F$14,MATCH(IF('Year-end close'!$C28="GBp","GBP",'Year-end close'!$C28),'FX year-end'!$A$2:$A$14,0)))</f>
        <v>5.759392360566209</v>
      </c>
      <c r="I28" s="8">
        <f>IF('Year-end close'!I28="","",'Year-end close'!I28/IF('Year-end close'!$C28="GBp",100,1)/INDEX('FX year-end'!$G$2:$G$14,MATCH(IF('Year-end close'!$C28="GBp","GBP",'Year-end close'!$C28),'FX year-end'!$A$2:$A$14,0)))</f>
        <v>4.073199527744982</v>
      </c>
      <c r="J28" s="8">
        <f>IF('Year-end close'!J28="","",'Year-end close'!J28/IF('Year-end close'!$C28="GBp",100,1)/INDEX('FX year-end'!$H$2:$H$14,MATCH(IF('Year-end close'!$C28="GBp","GBP",'Year-end close'!$C28),'FX year-end'!$A$2:$A$14,0)))</f>
        <v>6.062163633065247</v>
      </c>
      <c r="K28" s="8">
        <f>IF('Year-end close'!K28="","",'Year-end close'!K28/IF('Year-end close'!$C28="GBp",100,1)/INDEX('FX year-end'!$I$2:$I$14,MATCH(IF('Year-end close'!$C28="GBp","GBP",'Year-end close'!$C28),'FX year-end'!$A$2:$A$14,0)))</f>
        <v>9.303265550739383</v>
      </c>
      <c r="L28" s="8">
        <f>IF('Year-end close'!L28="","",'Year-end close'!L28/IF('Year-end close'!$C28="GBp",100,1)/INDEX('FX year-end'!$J$2:$J$14,MATCH(IF('Year-end close'!$C28="GBp","GBP",'Year-end close'!$C28),'FX year-end'!$A$2:$A$14,0)))</f>
        <v>28.22989915806845</v>
      </c>
      <c r="M28" s="8">
        <f>IF('Year-end close'!M28="","",'Year-end close'!M28/IF('Year-end close'!$C28="GBp",100,1)/INDEX('FX year-end'!$K$2:$K$14,MATCH(IF('Year-end close'!$C28="GBp","GBP",'Year-end close'!$C28),'FX year-end'!$A$2:$A$14,0)))</f>
        <v>25.06272749761459</v>
      </c>
    </row>
    <row r="29">
      <c r="A29" s="2" t="inlineStr">
        <is>
          <t>KNT.TO</t>
        </is>
      </c>
      <c r="B29" s="2" t="inlineStr">
        <is>
          <t>K92 Mining Inc</t>
        </is>
      </c>
      <c r="C29" s="2" t="inlineStr">
        <is>
          <t>USD</t>
        </is>
      </c>
      <c r="D29" s="8">
        <f>IF('Year-end close'!D29="","",'Year-end close'!D29/IF('Year-end close'!$C29="GBp",100,1)/INDEX('FX year-end'!$B$2:$B$14,MATCH(IF('Year-end close'!$C29="GBp","GBP",'Year-end close'!$C29),'FX year-end'!$A$2:$A$14,0)))</f>
        <v>0.42974811985197564</v>
      </c>
      <c r="E29" s="8">
        <f>IF('Year-end close'!E29="","",'Year-end close'!E29/IF('Year-end close'!$C29="GBp",100,1)/INDEX('FX year-end'!$C$2:$C$14,MATCH(IF('Year-end close'!$C29="GBp","GBP",'Year-end close'!$C29),'FX year-end'!$A$2:$A$14,0)))</f>
        <v>0.6166495375128468</v>
      </c>
      <c r="F29" s="8">
        <f>IF('Year-end close'!F29="","",'Year-end close'!F29/IF('Year-end close'!$C29="GBp",100,1)/INDEX('FX year-end'!$D$2:$D$14,MATCH(IF('Year-end close'!$C29="GBp","GBP",'Year-end close'!$C29),'FX year-end'!$A$2:$A$14,0)))</f>
        <v>2.2051054316034486</v>
      </c>
      <c r="G29" s="8">
        <f>IF('Year-end close'!G29="","",'Year-end close'!G29/IF('Year-end close'!$C29="GBp",100,1)/INDEX('FX year-end'!$E$2:$E$14,MATCH(IF('Year-end close'!$C29="GBp","GBP",'Year-end close'!$C29),'FX year-end'!$A$2:$A$14,0)))</f>
        <v>5.968299779619943</v>
      </c>
      <c r="H29" s="8">
        <f>IF('Year-end close'!H29="","",'Year-end close'!H29/IF('Year-end close'!$C29="GBp",100,1)/INDEX('FX year-end'!$F$2:$F$14,MATCH(IF('Year-end close'!$C29="GBp","GBP",'Year-end close'!$C29),'FX year-end'!$A$2:$A$14,0)))</f>
        <v>5.641693606603685</v>
      </c>
      <c r="I29" s="8">
        <f>IF('Year-end close'!I29="","",'Year-end close'!I29/IF('Year-end close'!$C29="GBp",100,1)/INDEX('FX year-end'!$G$2:$G$14,MATCH(IF('Year-end close'!$C29="GBp","GBP",'Year-end close'!$C29),'FX year-end'!$A$2:$A$14,0)))</f>
        <v>5.659681227863046</v>
      </c>
      <c r="J29" s="8">
        <f>IF('Year-end close'!J29="","",'Year-end close'!J29/IF('Year-end close'!$C29="GBp",100,1)/INDEX('FX year-end'!$H$2:$H$14,MATCH(IF('Year-end close'!$C29="GBp","GBP",'Year-end close'!$C29),'FX year-end'!$A$2:$A$14,0)))</f>
        <v>4.920783697163936</v>
      </c>
      <c r="K29" s="8">
        <f>IF('Year-end close'!K29="","",'Year-end close'!K29/IF('Year-end close'!$C29="GBp",100,1)/INDEX('FX year-end'!$I$2:$I$14,MATCH(IF('Year-end close'!$C29="GBp","GBP",'Year-end close'!$C29),'FX year-end'!$A$2:$A$14,0)))</f>
        <v>6.0488647925406624</v>
      </c>
      <c r="L29" s="8">
        <f>IF('Year-end close'!L29="","",'Year-end close'!L29/IF('Year-end close'!$C29="GBp",100,1)/INDEX('FX year-end'!$J$2:$J$14,MATCH(IF('Year-end close'!$C29="GBp","GBP",'Year-end close'!$C29),'FX year-end'!$A$2:$A$14,0)))</f>
        <v>16.568453489306084</v>
      </c>
      <c r="M29" s="8">
        <f>IF('Year-end close'!M29="","",'Year-end close'!M29/IF('Year-end close'!$C29="GBp",100,1)/INDEX('FX year-end'!$K$2:$K$14,MATCH(IF('Year-end close'!$C29="GBp","GBP",'Year-end close'!$C29),'FX year-end'!$A$2:$A$14,0)))</f>
        <v>20.81492737746051</v>
      </c>
    </row>
    <row r="30">
      <c r="A30" s="2" t="inlineStr">
        <is>
          <t>LYC.AX</t>
        </is>
      </c>
      <c r="B30" s="2" t="inlineStr">
        <is>
          <t>Lynas Rare Earths Ltd</t>
        </is>
      </c>
      <c r="C30" s="2" t="inlineStr">
        <is>
          <t>USD</t>
        </is>
      </c>
      <c r="D30" s="8">
        <f>IF('Year-end close'!D30="","",'Year-end close'!D30/IF('Year-end close'!$C30="GBp",100,1)/INDEX('FX year-end'!$B$2:$B$14,MATCH(IF('Year-end close'!$C30="GBp","GBP",'Year-end close'!$C30),'FX year-end'!$A$2:$A$14,0)))</f>
        <v>1.69915587806608</v>
      </c>
      <c r="E30" s="8">
        <f>IF('Year-end close'!E30="","",'Year-end close'!E30/IF('Year-end close'!$C30="GBp",100,1)/INDEX('FX year-end'!$C$2:$C$14,MATCH(IF('Year-end close'!$C30="GBp","GBP",'Year-end close'!$C30),'FX year-end'!$A$2:$A$14,0)))</f>
        <v>1.116590348714336</v>
      </c>
      <c r="F30" s="8">
        <f>IF('Year-end close'!F30="","",'Year-end close'!F30/IF('Year-end close'!$C30="GBp",100,1)/INDEX('FX year-end'!$D$2:$D$14,MATCH(IF('Year-end close'!$C30="GBp","GBP",'Year-end close'!$C30),'FX year-end'!$A$2:$A$14,0)))</f>
        <v>1.631325938922597</v>
      </c>
      <c r="G30" s="8">
        <f>IF('Year-end close'!G30="","",'Year-end close'!G30/IF('Year-end close'!$C30="GBp",100,1)/INDEX('FX year-end'!$E$2:$E$14,MATCH(IF('Year-end close'!$C30="GBp","GBP",'Year-end close'!$C30),'FX year-end'!$A$2:$A$14,0)))</f>
        <v>3.0603378674519996</v>
      </c>
      <c r="H30" s="8">
        <f>IF('Year-end close'!H30="","",'Year-end close'!H30/IF('Year-end close'!$C30="GBp",100,1)/INDEX('FX year-end'!$F$2:$F$14,MATCH(IF('Year-end close'!$C30="GBp","GBP",'Year-end close'!$C30),'FX year-end'!$A$2:$A$14,0)))</f>
        <v>7.373048715770059</v>
      </c>
      <c r="I30" s="8">
        <f>IF('Year-end close'!I30="","",'Year-end close'!I30/IF('Year-end close'!$C30="GBp",100,1)/INDEX('FX year-end'!$G$2:$G$14,MATCH(IF('Year-end close'!$C30="GBp","GBP",'Year-end close'!$C30),'FX year-end'!$A$2:$A$14,0)))</f>
        <v>5.31131045252365</v>
      </c>
      <c r="J30" s="8">
        <f>IF('Year-end close'!J30="","",'Year-end close'!J30/IF('Year-end close'!$C30="GBp",100,1)/INDEX('FX year-end'!$H$2:$H$14,MATCH(IF('Year-end close'!$C30="GBp","GBP",'Year-end close'!$C30),'FX year-end'!$A$2:$A$14,0)))</f>
        <v>4.88763224253578</v>
      </c>
      <c r="K30" s="8">
        <f>IF('Year-end close'!K30="","",'Year-end close'!K30/IF('Year-end close'!$C30="GBp",100,1)/INDEX('FX year-end'!$I$2:$I$14,MATCH(IF('Year-end close'!$C30="GBp","GBP",'Year-end close'!$C30),'FX year-end'!$A$2:$A$14,0)))</f>
        <v>3.9994601039859625</v>
      </c>
      <c r="L30" s="8">
        <f>IF('Year-end close'!L30="","",'Year-end close'!L30/IF('Year-end close'!$C30="GBp",100,1)/INDEX('FX year-end'!$J$2:$J$14,MATCH(IF('Year-end close'!$C30="GBp","GBP",'Year-end close'!$C30),'FX year-end'!$A$2:$A$14,0)))</f>
        <v>8.332311888347022</v>
      </c>
      <c r="M30" s="8">
        <f>IF('Year-end close'!M30="","",'Year-end close'!M30/IF('Year-end close'!$C30="GBp",100,1)/INDEX('FX year-end'!$K$2:$K$14,MATCH(IF('Year-end close'!$C30="GBp","GBP",'Year-end close'!$C30),'FX year-end'!$A$2:$A$14,0)))</f>
        <v>9.983150800336984</v>
      </c>
    </row>
    <row r="31">
      <c r="A31" s="2" t="inlineStr">
        <is>
          <t>MSA.TO</t>
        </is>
      </c>
      <c r="B31" s="2" t="inlineStr">
        <is>
          <t>Mineros SA</t>
        </is>
      </c>
      <c r="C31" s="2" t="inlineStr">
        <is>
          <t>USD</t>
        </is>
      </c>
      <c r="D31" s="8" t="str">
        <f>IF('Year-end close'!D31="","",'Year-end close'!D31/IF('Year-end close'!$C31="GBp",100,1)/INDEX('FX year-end'!$B$2:$B$14,MATCH(IF('Year-end close'!$C31="GBp","GBP",'Year-end close'!$C31),'FX year-end'!$A$2:$A$14,0)))</f>
        <v/>
      </c>
      <c r="E31" s="8" t="str">
        <f>IF('Year-end close'!E31="","",'Year-end close'!E31/IF('Year-end close'!$C31="GBp",100,1)/INDEX('FX year-end'!$C$2:$C$14,MATCH(IF('Year-end close'!$C31="GBp","GBP",'Year-end close'!$C31),'FX year-end'!$A$2:$A$14,0)))</f>
        <v/>
      </c>
      <c r="F31" s="8" t="str">
        <f>IF('Year-end close'!F31="","",'Year-end close'!F31/IF('Year-end close'!$C31="GBp",100,1)/INDEX('FX year-end'!$D$2:$D$14,MATCH(IF('Year-end close'!$C31="GBp","GBP",'Year-end close'!$C31),'FX year-end'!$A$2:$A$14,0)))</f>
        <v/>
      </c>
      <c r="G31" s="8" t="str">
        <f>IF('Year-end close'!G31="","",'Year-end close'!G31/IF('Year-end close'!$C31="GBp",100,1)/INDEX('FX year-end'!$E$2:$E$14,MATCH(IF('Year-end close'!$C31="GBp","GBP",'Year-end close'!$C31),'FX year-end'!$A$2:$A$14,0)))</f>
        <v/>
      </c>
      <c r="H31" s="8">
        <f>IF('Year-end close'!H31="","",'Year-end close'!H31/IF('Year-end close'!$C31="GBp",100,1)/INDEX('FX year-end'!$F$2:$F$14,MATCH(IF('Year-end close'!$C31="GBp","GBP",'Year-end close'!$C31),'FX year-end'!$A$2:$A$14,0)))</f>
        <v>0.8866639465176861</v>
      </c>
      <c r="I31" s="8">
        <f>IF('Year-end close'!I31="","",'Year-end close'!I31/IF('Year-end close'!$C31="GBp",100,1)/INDEX('FX year-end'!$G$2:$G$14,MATCH(IF('Year-end close'!$C31="GBp","GBP",'Year-end close'!$C31),'FX year-end'!$A$2:$A$14,0)))</f>
        <v>0.5165289256198347</v>
      </c>
      <c r="J31" s="8">
        <f>IF('Year-end close'!J31="","",'Year-end close'!J31/IF('Year-end close'!$C31="GBp",100,1)/INDEX('FX year-end'!$H$2:$H$14,MATCH(IF('Year-end close'!$C31="GBp","GBP",'Year-end close'!$C31),'FX year-end'!$A$2:$A$14,0)))</f>
        <v>0.49132248896414105</v>
      </c>
      <c r="K31" s="8">
        <f>IF('Year-end close'!K31="","",'Year-end close'!K31/IF('Year-end close'!$C31="GBp",100,1)/INDEX('FX year-end'!$I$2:$I$14,MATCH(IF('Year-end close'!$C31="GBp","GBP",'Year-end close'!$C31),'FX year-end'!$A$2:$A$14,0)))</f>
        <v>1.0383419977978787</v>
      </c>
      <c r="L31" s="8">
        <f>IF('Year-end close'!L31="","",'Year-end close'!L31/IF('Year-end close'!$C31="GBp",100,1)/INDEX('FX year-end'!$J$2:$J$14,MATCH(IF('Year-end close'!$C31="GBp","GBP",'Year-end close'!$C31),'FX year-end'!$A$2:$A$14,0)))</f>
        <v>4.103777373728523</v>
      </c>
      <c r="M31" s="8">
        <f>IF('Year-end close'!M31="","",'Year-end close'!M31/IF('Year-end close'!$C31="GBp",100,1)/INDEX('FX year-end'!$K$2:$K$14,MATCH(IF('Year-end close'!$C31="GBp","GBP",'Year-end close'!$C31),'FX year-end'!$A$2:$A$14,0)))</f>
        <v>7.0325476198890335</v>
      </c>
    </row>
    <row r="32">
      <c r="A32" s="2" t="inlineStr">
        <is>
          <t>MUX</t>
        </is>
      </c>
      <c r="B32" s="2" t="inlineStr">
        <is>
          <t>McEwen Mining Inc</t>
        </is>
      </c>
      <c r="C32" s="2" t="inlineStr">
        <is>
          <t>USD</t>
        </is>
      </c>
      <c r="D32" s="8">
        <f>IF('Year-end close'!D32="","",'Year-end close'!D32/IF('Year-end close'!$C32="GBp",100,1)/INDEX('FX year-end'!$B$2:$B$14,MATCH(IF('Year-end close'!$C32="GBp","GBP",'Year-end close'!$C32),'FX year-end'!$A$2:$A$14,0)))</f>
        <v>2.28</v>
      </c>
      <c r="E32" s="8">
        <f>IF('Year-end close'!E32="","",'Year-end close'!E32/IF('Year-end close'!$C32="GBp",100,1)/INDEX('FX year-end'!$C$2:$C$14,MATCH(IF('Year-end close'!$C32="GBp","GBP",'Year-end close'!$C32),'FX year-end'!$A$2:$A$14,0)))</f>
        <v>1.82</v>
      </c>
      <c r="F32" s="8">
        <f>IF('Year-end close'!F32="","",'Year-end close'!F32/IF('Year-end close'!$C32="GBp",100,1)/INDEX('FX year-end'!$D$2:$D$14,MATCH(IF('Year-end close'!$C32="GBp","GBP",'Year-end close'!$C32),'FX year-end'!$A$2:$A$14,0)))</f>
        <v>1.27</v>
      </c>
      <c r="G32" s="8">
        <f>IF('Year-end close'!G32="","",'Year-end close'!G32/IF('Year-end close'!$C32="GBp",100,1)/INDEX('FX year-end'!$E$2:$E$14,MATCH(IF('Year-end close'!$C32="GBp","GBP",'Year-end close'!$C32),'FX year-end'!$A$2:$A$14,0)))</f>
        <v>0.985</v>
      </c>
      <c r="H32" s="8">
        <f>IF('Year-end close'!H32="","",'Year-end close'!H32/IF('Year-end close'!$C32="GBp",100,1)/INDEX('FX year-end'!$F$2:$F$14,MATCH(IF('Year-end close'!$C32="GBp","GBP",'Year-end close'!$C32),'FX year-end'!$A$2:$A$14,0)))</f>
        <v>0.887</v>
      </c>
      <c r="I32" s="8">
        <f>IF('Year-end close'!I32="","",'Year-end close'!I32/IF('Year-end close'!$C32="GBp",100,1)/INDEX('FX year-end'!$G$2:$G$14,MATCH(IF('Year-end close'!$C32="GBp","GBP",'Year-end close'!$C32),'FX year-end'!$A$2:$A$14,0)))</f>
        <v>5.86</v>
      </c>
      <c r="J32" s="8">
        <f>IF('Year-end close'!J32="","",'Year-end close'!J32/IF('Year-end close'!$C32="GBp",100,1)/INDEX('FX year-end'!$H$2:$H$14,MATCH(IF('Year-end close'!$C32="GBp","GBP",'Year-end close'!$C32),'FX year-end'!$A$2:$A$14,0)))</f>
        <v>7.21</v>
      </c>
      <c r="K32" s="8">
        <f>IF('Year-end close'!K32="","",'Year-end close'!K32/IF('Year-end close'!$C32="GBp",100,1)/INDEX('FX year-end'!$I$2:$I$14,MATCH(IF('Year-end close'!$C32="GBp","GBP",'Year-end close'!$C32),'FX year-end'!$A$2:$A$14,0)))</f>
        <v>7.78</v>
      </c>
      <c r="L32" s="8">
        <f>IF('Year-end close'!L32="","",'Year-end close'!L32/IF('Year-end close'!$C32="GBp",100,1)/INDEX('FX year-end'!$J$2:$J$14,MATCH(IF('Year-end close'!$C32="GBp","GBP",'Year-end close'!$C32),'FX year-end'!$A$2:$A$14,0)))</f>
        <v>18.51</v>
      </c>
      <c r="M32" s="8">
        <f>IF('Year-end close'!M32="","",'Year-end close'!M32/IF('Year-end close'!$C32="GBp",100,1)/INDEX('FX year-end'!$K$2:$K$14,MATCH(IF('Year-end close'!$C32="GBp","GBP",'Year-end close'!$C32),'FX year-end'!$A$2:$A$14,0)))</f>
        <v>19.02</v>
      </c>
    </row>
    <row r="33">
      <c r="A33" s="2" t="inlineStr">
        <is>
          <t>NFGC.TO</t>
        </is>
      </c>
      <c r="B33" s="2" t="inlineStr">
        <is>
          <t>New Found Gold Corp</t>
        </is>
      </c>
      <c r="C33" s="2" t="inlineStr">
        <is>
          <t>USD</t>
        </is>
      </c>
      <c r="D33" s="8" t="str">
        <f>IF('Year-end close'!D33="","",'Year-end close'!D33/IF('Year-end close'!$C33="GBp",100,1)/INDEX('FX year-end'!$B$2:$B$14,MATCH(IF('Year-end close'!$C33="GBp","GBP",'Year-end close'!$C33),'FX year-end'!$A$2:$A$14,0)))</f>
        <v/>
      </c>
      <c r="E33" s="8" t="str">
        <f>IF('Year-end close'!E33="","",'Year-end close'!E33/IF('Year-end close'!$C33="GBp",100,1)/INDEX('FX year-end'!$C$2:$C$14,MATCH(IF('Year-end close'!$C33="GBp","GBP",'Year-end close'!$C33),'FX year-end'!$A$2:$A$14,0)))</f>
        <v/>
      </c>
      <c r="F33" s="8" t="str">
        <f>IF('Year-end close'!F33="","",'Year-end close'!F33/IF('Year-end close'!$C33="GBp",100,1)/INDEX('FX year-end'!$D$2:$D$14,MATCH(IF('Year-end close'!$C33="GBp","GBP",'Year-end close'!$C33),'FX year-end'!$A$2:$A$14,0)))</f>
        <v/>
      </c>
      <c r="G33" s="8">
        <f>IF('Year-end close'!G33="","",'Year-end close'!G33/IF('Year-end close'!$C33="GBp",100,1)/INDEX('FX year-end'!$E$2:$E$14,MATCH(IF('Year-end close'!$C33="GBp","GBP",'Year-end close'!$C33),'FX year-end'!$A$2:$A$14,0)))</f>
        <v>3.1919816166955544</v>
      </c>
      <c r="H33" s="8">
        <f>IF('Year-end close'!H33="","",'Year-end close'!H33/IF('Year-end close'!$C33="GBp",100,1)/INDEX('FX year-end'!$F$2:$F$14,MATCH(IF('Year-end close'!$C33="GBp","GBP",'Year-end close'!$C33),'FX year-end'!$A$2:$A$14,0)))</f>
        <v>7.04623207055648</v>
      </c>
      <c r="I33" s="8">
        <f>IF('Year-end close'!I33="","",'Year-end close'!I33/IF('Year-end close'!$C33="GBp",100,1)/INDEX('FX year-end'!$G$2:$G$14,MATCH(IF('Year-end close'!$C33="GBp","GBP",'Year-end close'!$C33),'FX year-end'!$A$2:$A$14,0)))</f>
        <v>4.021546635182999</v>
      </c>
      <c r="J33" s="8">
        <f>IF('Year-end close'!J33="","",'Year-end close'!J33/IF('Year-end close'!$C33="GBp",100,1)/INDEX('FX year-end'!$H$2:$H$14,MATCH(IF('Year-end close'!$C33="GBp","GBP",'Year-end close'!$C33),'FX year-end'!$A$2:$A$14,0)))</f>
        <v>3.5299631130192903</v>
      </c>
      <c r="K33" s="8">
        <f>IF('Year-end close'!K33="","",'Year-end close'!K33/IF('Year-end close'!$C33="GBp",100,1)/INDEX('FX year-end'!$I$2:$I$14,MATCH(IF('Year-end close'!$C33="GBp","GBP",'Year-end close'!$C33),'FX year-end'!$A$2:$A$14,0)))</f>
        <v>1.8049032042258428</v>
      </c>
      <c r="L33" s="8">
        <f>IF('Year-end close'!L33="","",'Year-end close'!L33/IF('Year-end close'!$C33="GBp",100,1)/INDEX('FX year-end'!$J$2:$J$14,MATCH(IF('Year-end close'!$C33="GBp","GBP",'Year-end close'!$C33),'FX year-end'!$A$2:$A$14,0)))</f>
        <v>2.96465055824516</v>
      </c>
      <c r="M33" s="8">
        <f>IF('Year-end close'!M33="","",'Year-end close'!M33/IF('Year-end close'!$C33="GBp",100,1)/INDEX('FX year-end'!$K$2:$K$14,MATCH(IF('Year-end close'!$C33="GBp","GBP",'Year-end close'!$C33),'FX year-end'!$A$2:$A$14,0)))</f>
        <v>1.75990387673605</v>
      </c>
    </row>
    <row r="34">
      <c r="A34" s="2" t="inlineStr">
        <is>
          <t>OBM.AX</t>
        </is>
      </c>
      <c r="B34" s="2" t="inlineStr">
        <is>
          <t>Ora Banda Mining Ltd</t>
        </is>
      </c>
      <c r="C34" s="2" t="inlineStr">
        <is>
          <t>USD</t>
        </is>
      </c>
      <c r="D34" s="8">
        <f>IF('Year-end close'!D34="","",'Year-end close'!D34/IF('Year-end close'!$C34="GBp",100,1)/INDEX('FX year-end'!$B$2:$B$14,MATCH(IF('Year-end close'!$C34="GBp","GBP",'Year-end close'!$C34),'FX year-end'!$A$2:$A$14,0)))</f>
        <v>0.18316588593831595</v>
      </c>
      <c r="E34" s="8">
        <f>IF('Year-end close'!E34="","",'Year-end close'!E34/IF('Year-end close'!$C34="GBp",100,1)/INDEX('FX year-end'!$C$2:$C$14,MATCH(IF('Year-end close'!$C34="GBp","GBP",'Year-end close'!$C34),'FX year-end'!$A$2:$A$14,0)))</f>
        <v>0.08101444170482565</v>
      </c>
      <c r="F34" s="8">
        <f>IF('Year-end close'!F34="","",'Year-end close'!F34/IF('Year-end close'!$C34="GBp",100,1)/INDEX('FX year-end'!$D$2:$D$14,MATCH(IF('Year-end close'!$C34="GBp","GBP",'Year-end close'!$C34),'FX year-end'!$A$2:$A$14,0)))</f>
        <v>0.1295258792706783</v>
      </c>
      <c r="G34" s="8">
        <f>IF('Year-end close'!G34="","",'Year-end close'!G34/IF('Year-end close'!$C34="GBp",100,1)/INDEX('FX year-end'!$E$2:$E$14,MATCH(IF('Year-end close'!$C34="GBp","GBP",'Year-end close'!$C34),'FX year-end'!$A$2:$A$14,0)))</f>
        <v>0.23452337928966327</v>
      </c>
      <c r="H34" s="8">
        <f>IF('Year-end close'!H34="","",'Year-end close'!H34/IF('Year-end close'!$C34="GBp",100,1)/INDEX('FX year-end'!$F$2:$F$14,MATCH(IF('Year-end close'!$C34="GBp","GBP",'Year-end close'!$C34),'FX year-end'!$A$2:$A$14,0)))</f>
        <v>0.047848693730661154</v>
      </c>
      <c r="I34" s="8">
        <f>IF('Year-end close'!I34="","",'Year-end close'!I34/IF('Year-end close'!$C34="GBp",100,1)/INDEX('FX year-end'!$G$2:$G$14,MATCH(IF('Year-end close'!$C34="GBp","GBP",'Year-end close'!$C34),'FX year-end'!$A$2:$A$14,0)))</f>
        <v>0.0568344048422913</v>
      </c>
      <c r="J34" s="8">
        <f>IF('Year-end close'!J34="","",'Year-end close'!J34/IF('Year-end close'!$C34="GBp",100,1)/INDEX('FX year-end'!$H$2:$H$14,MATCH(IF('Year-end close'!$C34="GBp","GBP",'Year-end close'!$C34),'FX year-end'!$A$2:$A$14,0)))</f>
        <v>0.16383124835315463</v>
      </c>
      <c r="K34" s="8">
        <f>IF('Year-end close'!K34="","",'Year-end close'!K34/IF('Year-end close'!$C34="GBp",100,1)/INDEX('FX year-end'!$I$2:$I$14,MATCH(IF('Year-end close'!$C34="GBp","GBP",'Year-end close'!$C34),'FX year-end'!$A$2:$A$14,0)))</f>
        <v>0.40430001051180026</v>
      </c>
      <c r="L34" s="8">
        <f>IF('Year-end close'!L34="","",'Year-end close'!L34/IF('Year-end close'!$C34="GBp",100,1)/INDEX('FX year-end'!$J$2:$J$14,MATCH(IF('Year-end close'!$C34="GBp","GBP",'Year-end close'!$C34),'FX year-end'!$A$2:$A$14,0)))</f>
        <v>1.0247939862677606</v>
      </c>
      <c r="M34" s="8">
        <f>IF('Year-end close'!M34="","",'Year-end close'!M34/IF('Year-end close'!$C34="GBp",100,1)/INDEX('FX year-end'!$K$2:$K$14,MATCH(IF('Year-end close'!$C34="GBp","GBP",'Year-end close'!$C34),'FX year-end'!$A$2:$A$14,0)))</f>
        <v>1.0846672283066554</v>
      </c>
    </row>
    <row r="35">
      <c r="A35" s="2" t="inlineStr">
        <is>
          <t>OGC.TO</t>
        </is>
      </c>
      <c r="B35" s="2" t="inlineStr">
        <is>
          <t>OceanaGold Corp</t>
        </is>
      </c>
      <c r="C35" s="2" t="inlineStr">
        <is>
          <t>USD</t>
        </is>
      </c>
      <c r="D35" s="8">
        <f>IF('Year-end close'!D35="","",'Year-end close'!D35/IF('Year-end close'!$C35="GBp",100,1)/INDEX('FX year-end'!$B$2:$B$14,MATCH(IF('Year-end close'!$C35="GBp","GBP",'Year-end close'!$C35),'FX year-end'!$A$2:$A$14,0)))</f>
        <v>2.5705304205960764</v>
      </c>
      <c r="E35" s="8">
        <f>IF('Year-end close'!E35="","",'Year-end close'!E35/IF('Year-end close'!$C35="GBp",100,1)/INDEX('FX year-end'!$C$2:$C$14,MATCH(IF('Year-end close'!$C35="GBp","GBP",'Year-end close'!$C35),'FX year-end'!$A$2:$A$14,0)))</f>
        <v>3.6558508295404493</v>
      </c>
      <c r="F35" s="8">
        <f>IF('Year-end close'!F35="","",'Year-end close'!F35/IF('Year-end close'!$C35="GBp",100,1)/INDEX('FX year-end'!$D$2:$D$14,MATCH(IF('Year-end close'!$C35="GBp","GBP",'Year-end close'!$C35),'FX year-end'!$A$2:$A$14,0)))</f>
        <v>1.9524371008988866</v>
      </c>
      <c r="G35" s="8">
        <f>IF('Year-end close'!G35="","",'Year-end close'!G35/IF('Year-end close'!$C35="GBp",100,1)/INDEX('FX year-end'!$E$2:$E$14,MATCH(IF('Year-end close'!$C35="GBp","GBP",'Year-end close'!$C35),'FX year-end'!$A$2:$A$14,0)))</f>
        <v>1.9293058420322022</v>
      </c>
      <c r="H35" s="8">
        <f>IF('Year-end close'!H35="","",'Year-end close'!H35/IF('Year-end close'!$C35="GBp",100,1)/INDEX('FX year-end'!$F$2:$F$14,MATCH(IF('Year-end close'!$C35="GBp","GBP",'Year-end close'!$C35),'FX year-end'!$A$2:$A$14,0)))</f>
        <v>1.7262483914503626</v>
      </c>
      <c r="I35" s="8">
        <f>IF('Year-end close'!I35="","",'Year-end close'!I35/IF('Year-end close'!$C35="GBp",100,1)/INDEX('FX year-end'!$G$2:$G$14,MATCH(IF('Year-end close'!$C35="GBp","GBP",'Year-end close'!$C35),'FX year-end'!$A$2:$A$14,0)))</f>
        <v>1.9037780401416766</v>
      </c>
      <c r="J35" s="8">
        <f>IF('Year-end close'!J35="","",'Year-end close'!J35/IF('Year-end close'!$C35="GBp",100,1)/INDEX('FX year-end'!$H$2:$H$14,MATCH(IF('Year-end close'!$C35="GBp","GBP",'Year-end close'!$C35),'FX year-end'!$A$2:$A$14,0)))</f>
        <v>1.9199371107214127</v>
      </c>
      <c r="K35" s="8">
        <f>IF('Year-end close'!K35="","",'Year-end close'!K35/IF('Year-end close'!$C35="GBp",100,1)/INDEX('FX year-end'!$I$2:$I$14,MATCH(IF('Year-end close'!$C35="GBp","GBP",'Year-end close'!$C35),'FX year-end'!$A$2:$A$14,0)))</f>
        <v>2.7735578196211796</v>
      </c>
      <c r="L35" s="8">
        <f>IF('Year-end close'!L35="","",'Year-end close'!L35/IF('Year-end close'!$C35="GBp",100,1)/INDEX('FX year-end'!$J$2:$J$14,MATCH(IF('Year-end close'!$C35="GBp","GBP",'Year-end close'!$C35),'FX year-end'!$A$2:$A$14,0)))</f>
        <v>28.40514943737358</v>
      </c>
      <c r="M35" s="8">
        <f>IF('Year-end close'!M35="","",'Year-end close'!M35/IF('Year-end close'!$C35="GBp",100,1)/INDEX('FX year-end'!$K$2:$K$14,MATCH(IF('Year-end close'!$C35="GBp","GBP",'Year-end close'!$C35),'FX year-end'!$A$2:$A$14,0)))</f>
        <v>28.186733575997458</v>
      </c>
    </row>
    <row r="36">
      <c r="A36" s="2" t="inlineStr">
        <is>
          <t>OGG.V</t>
        </is>
      </c>
      <c r="B36" s="2" t="inlineStr">
        <is>
          <t>Osisko Gold Group Inc (formerly Osisko Development)</t>
        </is>
      </c>
      <c r="C36" s="2" t="inlineStr">
        <is>
          <t>USD</t>
        </is>
      </c>
      <c r="D36" s="8" t="str">
        <f>IF('Year-end close'!D36="","",'Year-end close'!D36/IF('Year-end close'!$C36="GBp",100,1)/INDEX('FX year-end'!$B$2:$B$14,MATCH(IF('Year-end close'!$C36="GBp","GBP",'Year-end close'!$C36),'FX year-end'!$A$2:$A$14,0)))</f>
        <v/>
      </c>
      <c r="E36" s="8" t="str">
        <f>IF('Year-end close'!E36="","",'Year-end close'!E36/IF('Year-end close'!$C36="GBp",100,1)/INDEX('FX year-end'!$C$2:$C$14,MATCH(IF('Year-end close'!$C36="GBp","GBP",'Year-end close'!$C36),'FX year-end'!$A$2:$A$14,0)))</f>
        <v/>
      </c>
      <c r="F36" s="8" t="str">
        <f>IF('Year-end close'!F36="","",'Year-end close'!F36/IF('Year-end close'!$C36="GBp",100,1)/INDEX('FX year-end'!$D$2:$D$14,MATCH(IF('Year-end close'!$C36="GBp","GBP",'Year-end close'!$C36),'FX year-end'!$A$2:$A$14,0)))</f>
        <v/>
      </c>
      <c r="G36" s="8">
        <f>IF('Year-end close'!G36="","",'Year-end close'!G36/IF('Year-end close'!$C36="GBp",100,1)/INDEX('FX year-end'!$E$2:$E$14,MATCH(IF('Year-end close'!$C36="GBp","GBP",'Year-end close'!$C36),'FX year-end'!$A$2:$A$14,0)))</f>
        <v>5.952614366270088</v>
      </c>
      <c r="H36" s="8">
        <f>IF('Year-end close'!H36="","",'Year-end close'!H36/IF('Year-end close'!$C36="GBp",100,1)/INDEX('FX year-end'!$F$2:$F$14,MATCH(IF('Year-end close'!$C36="GBp","GBP",'Year-end close'!$C36),'FX year-end'!$A$2:$A$14,0)))</f>
        <v>3.1857129405856686</v>
      </c>
      <c r="I36" s="8">
        <f>IF('Year-end close'!I36="","",'Year-end close'!I36/IF('Year-end close'!$C36="GBp",100,1)/INDEX('FX year-end'!$G$2:$G$14,MATCH(IF('Year-end close'!$C36="GBp","GBP",'Year-end close'!$C36),'FX year-end'!$A$2:$A$14,0)))</f>
        <v>4.2576741440377806</v>
      </c>
      <c r="J36" s="8">
        <f>IF('Year-end close'!J36="","",'Year-end close'!J36/IF('Year-end close'!$C36="GBp",100,1)/INDEX('FX year-end'!$H$2:$H$14,MATCH(IF('Year-end close'!$C36="GBp","GBP",'Year-end close'!$C36),'FX year-end'!$A$2:$A$14,0)))</f>
        <v>2.91014089617222</v>
      </c>
      <c r="K36" s="8">
        <f>IF('Year-end close'!K36="","",'Year-end close'!K36/IF('Year-end close'!$C36="GBp",100,1)/INDEX('FX year-end'!$I$2:$I$14,MATCH(IF('Year-end close'!$C36="GBp","GBP",'Year-end close'!$C36),'FX year-end'!$A$2:$A$14,0)))</f>
        <v>1.6306847482194873</v>
      </c>
      <c r="L36" s="8">
        <f>IF('Year-end close'!L36="","",'Year-end close'!L36/IF('Year-end close'!$C36="GBp",100,1)/INDEX('FX year-end'!$J$2:$J$14,MATCH(IF('Year-end close'!$C36="GBp","GBP",'Year-end close'!$C36),'FX year-end'!$A$2:$A$14,0)))</f>
        <v>3.3954741615369453</v>
      </c>
      <c r="M36" s="8">
        <f>IF('Year-end close'!M36="","",'Year-end close'!M36/IF('Year-end close'!$C36="GBp",100,1)/INDEX('FX year-end'!$K$2:$K$14,MATCH(IF('Year-end close'!$C36="GBp","GBP",'Year-end close'!$C36),'FX year-end'!$A$2:$A$14,0)))</f>
        <v>2.813019047955614</v>
      </c>
    </row>
    <row r="37">
      <c r="A37" s="2" t="inlineStr">
        <is>
          <t>OLA.TO</t>
        </is>
      </c>
      <c r="B37" s="2" t="inlineStr">
        <is>
          <t>Orla Mining Ltd</t>
        </is>
      </c>
      <c r="C37" s="2" t="inlineStr">
        <is>
          <t>USD</t>
        </is>
      </c>
      <c r="D37" s="8">
        <f>IF('Year-end close'!D37="","",'Year-end close'!D37/IF('Year-end close'!$C37="GBp",100,1)/INDEX('FX year-end'!$B$2:$B$14,MATCH(IF('Year-end close'!$C37="GBp","GBP",'Year-end close'!$C37),'FX year-end'!$A$2:$A$14,0)))</f>
        <v>1.416577135808364</v>
      </c>
      <c r="E37" s="8">
        <f>IF('Year-end close'!E37="","",'Year-end close'!E37/IF('Year-end close'!$C37="GBp",100,1)/INDEX('FX year-end'!$C$2:$C$14,MATCH(IF('Year-end close'!$C37="GBp","GBP",'Year-end close'!$C37),'FX year-end'!$A$2:$A$14,0)))</f>
        <v>0.7708119218910585</v>
      </c>
      <c r="F37" s="8">
        <f>IF('Year-end close'!F37="","",'Year-end close'!F37/IF('Year-end close'!$C37="GBp",100,1)/INDEX('FX year-end'!$D$2:$D$14,MATCH(IF('Year-end close'!$C37="GBp","GBP",'Year-end close'!$C37),'FX year-end'!$A$2:$A$14,0)))</f>
        <v>1.5313232163912838</v>
      </c>
      <c r="G37" s="8">
        <f>IF('Year-end close'!G37="","",'Year-end close'!G37/IF('Year-end close'!$C37="GBp",100,1)/INDEX('FX year-end'!$E$2:$E$14,MATCH(IF('Year-end close'!$C37="GBp","GBP",'Year-end close'!$C37),'FX year-end'!$A$2:$A$14,0)))</f>
        <v>5.380096779000369</v>
      </c>
      <c r="H37" s="8">
        <f>IF('Year-end close'!H37="","",'Year-end close'!H37/IF('Year-end close'!$C37="GBp",100,1)/INDEX('FX year-end'!$F$2:$F$14,MATCH(IF('Year-end close'!$C37="GBp","GBP",'Year-end close'!$C37),'FX year-end'!$A$2:$A$14,0)))</f>
        <v>3.789899877593296</v>
      </c>
      <c r="I37" s="8">
        <f>IF('Year-end close'!I37="","",'Year-end close'!I37/IF('Year-end close'!$C37="GBp",100,1)/INDEX('FX year-end'!$G$2:$G$14,MATCH(IF('Year-end close'!$C37="GBp","GBP",'Year-end close'!$C37),'FX year-end'!$A$2:$A$14,0)))</f>
        <v>4.043683589138135</v>
      </c>
      <c r="J37" s="8">
        <f>IF('Year-end close'!J37="","",'Year-end close'!J37/IF('Year-end close'!$C37="GBp",100,1)/INDEX('FX year-end'!$H$2:$H$14,MATCH(IF('Year-end close'!$C37="GBp","GBP",'Year-end close'!$C37),'FX year-end'!$A$2:$A$14,0)))</f>
        <v>3.2654048497309067</v>
      </c>
      <c r="K37" s="8">
        <f>IF('Year-end close'!K37="","",'Year-end close'!K37/IF('Year-end close'!$C37="GBp",100,1)/INDEX('FX year-end'!$I$2:$I$14,MATCH(IF('Year-end close'!$C37="GBp","GBP",'Year-end close'!$C37),'FX year-end'!$A$2:$A$14,0)))</f>
        <v>5.547115639242359</v>
      </c>
      <c r="L37" s="8">
        <f>IF('Year-end close'!L37="","",'Year-end close'!L37/IF('Year-end close'!$C37="GBp",100,1)/INDEX('FX year-end'!$J$2:$J$14,MATCH(IF('Year-end close'!$C37="GBp","GBP",'Year-end close'!$C37),'FX year-end'!$A$2:$A$14,0)))</f>
        <v>13.47966731655312</v>
      </c>
      <c r="M37" s="8">
        <f>IF('Year-end close'!M37="","",'Year-end close'!M37/IF('Year-end close'!$C37="GBp",100,1)/INDEX('FX year-end'!$K$2:$K$14,MATCH(IF('Year-end close'!$C37="GBp","GBP",'Year-end close'!$C37),'FX year-end'!$A$2:$A$14,0)))</f>
        <v>9.5133759762519</v>
      </c>
    </row>
    <row r="38">
      <c r="A38" s="2" t="inlineStr">
        <is>
          <t>PGM.V</t>
        </is>
      </c>
      <c r="B38" s="2" t="inlineStr">
        <is>
          <t>Pure Gold Mining Inc</t>
        </is>
      </c>
      <c r="C38" s="2" t="inlineStr">
        <is>
          <t>USD</t>
        </is>
      </c>
      <c r="D38" s="8">
        <f>IF('Year-end close'!D38="","",'Year-end close'!D38/IF('Year-end close'!$C38="GBp",100,1)/INDEX('FX year-end'!$B$2:$B$14,MATCH(IF('Year-end close'!$C38="GBp","GBP",'Year-end close'!$C38),'FX year-end'!$A$2:$A$14,0)))</f>
        <v>0.4456647168835303</v>
      </c>
      <c r="E38" s="8">
        <f>IF('Year-end close'!E38="","",'Year-end close'!E38/IF('Year-end close'!$C38="GBp",100,1)/INDEX('FX year-end'!$C$2:$C$14,MATCH(IF('Year-end close'!$C38="GBp","GBP",'Year-end close'!$C38),'FX year-end'!$A$2:$A$14,0)))</f>
        <v>0.47716928498017913</v>
      </c>
      <c r="F38" s="8">
        <f>IF('Year-end close'!F38="","",'Year-end close'!F38/IF('Year-end close'!$C38="GBp",100,1)/INDEX('FX year-end'!$D$2:$D$14,MATCH(IF('Year-end close'!$C38="GBp","GBP",'Year-end close'!$C38),'FX year-end'!$A$2:$A$14,0)))</f>
        <v>0.62018590263847</v>
      </c>
      <c r="G38" s="8">
        <f>IF('Year-end close'!G38="","",'Year-end close'!G38/IF('Year-end close'!$C38="GBp",100,1)/INDEX('FX year-end'!$E$2:$E$14,MATCH(IF('Year-end close'!$C38="GBp","GBP",'Year-end close'!$C38),'FX year-end'!$A$2:$A$14,0)))</f>
        <v>2.023418322131334</v>
      </c>
      <c r="H38" s="8">
        <f>IF('Year-end close'!H38="","",'Year-end close'!H38/IF('Year-end close'!$C38="GBp",100,1)/INDEX('FX year-end'!$F$2:$F$14,MATCH(IF('Year-end close'!$C38="GBp","GBP",'Year-end close'!$C38),'FX year-end'!$A$2:$A$14,0)))</f>
        <v>0.5335676846301121</v>
      </c>
      <c r="I38" s="8">
        <f>IF('Year-end close'!I38="","",'Year-end close'!I38/IF('Year-end close'!$C38="GBp",100,1)/INDEX('FX year-end'!$G$2:$G$14,MATCH(IF('Year-end close'!$C38="GBp","GBP",'Year-end close'!$C38),'FX year-end'!$A$2:$A$14,0)))</f>
        <v>0.011068476977567887</v>
      </c>
      <c r="J38" s="8" t="str">
        <f>IF('Year-end close'!J38="","",'Year-end close'!J38/IF('Year-end close'!$C38="GBp",100,1)/INDEX('FX year-end'!$H$2:$H$14,MATCH(IF('Year-end close'!$C38="GBp","GBP",'Year-end close'!$C38),'FX year-end'!$A$2:$A$14,0)))</f>
        <v/>
      </c>
      <c r="K38" s="8" t="str">
        <f>IF('Year-end close'!K38="","",'Year-end close'!K38/IF('Year-end close'!$C38="GBp",100,1)/INDEX('FX year-end'!$I$2:$I$14,MATCH(IF('Year-end close'!$C38="GBp","GBP",'Year-end close'!$C38),'FX year-end'!$A$2:$A$14,0)))</f>
        <v/>
      </c>
      <c r="L38" s="8" t="str">
        <f>IF('Year-end close'!L38="","",'Year-end close'!L38/IF('Year-end close'!$C38="GBp",100,1)/INDEX('FX year-end'!$J$2:$J$14,MATCH(IF('Year-end close'!$C38="GBp","GBP",'Year-end close'!$C38),'FX year-end'!$A$2:$A$14,0)))</f>
        <v/>
      </c>
      <c r="M38" s="8" t="str">
        <f>IF('Year-end close'!M38="","",'Year-end close'!M38/IF('Year-end close'!$C38="GBp",100,1)/INDEX('FX year-end'!$K$2:$K$14,MATCH(IF('Year-end close'!$C38="GBp","GBP",'Year-end close'!$C38),'FX year-end'!$A$2:$A$14,0)))</f>
        <v/>
      </c>
    </row>
    <row r="39">
      <c r="A39" s="2" t="inlineStr">
        <is>
          <t>PNR.AX</t>
        </is>
      </c>
      <c r="B39" s="2" t="inlineStr">
        <is>
          <t>Pantoro Gold Ltd</t>
        </is>
      </c>
      <c r="C39" s="2" t="inlineStr">
        <is>
          <t>USD</t>
        </is>
      </c>
      <c r="D39" s="8">
        <f>IF('Year-end close'!D39="","",'Year-end close'!D39/IF('Year-end close'!$C39="GBp",100,1)/INDEX('FX year-end'!$B$2:$B$14,MATCH(IF('Year-end close'!$C39="GBp","GBP",'Year-end close'!$C39),'FX year-end'!$A$2:$A$14,0)))</f>
        <v>0.16757729990101247</v>
      </c>
      <c r="E39" s="8">
        <f>IF('Year-end close'!E39="","",'Year-end close'!E39/IF('Year-end close'!$C39="GBp",100,1)/INDEX('FX year-end'!$C$2:$C$14,MATCH(IF('Year-end close'!$C39="GBp","GBP",'Year-end close'!$C39),'FX year-end'!$A$2:$A$14,0)))</f>
        <v>0.14089468122578375</v>
      </c>
      <c r="F39" s="8">
        <f>IF('Year-end close'!F39="","",'Year-end close'!F39/IF('Year-end close'!$C39="GBp",100,1)/INDEX('FX year-end'!$D$2:$D$14,MATCH(IF('Year-end close'!$C39="GBp","GBP",'Year-end close'!$C39),'FX year-end'!$A$2:$A$14,0)))</f>
        <v>0.10852168263218992</v>
      </c>
      <c r="G39" s="8">
        <f>IF('Year-end close'!G39="","",'Year-end close'!G39/IF('Year-end close'!$C39="GBp",100,1)/INDEX('FX year-end'!$E$2:$E$14,MATCH(IF('Year-end close'!$C39="GBp","GBP",'Year-end close'!$C39),'FX year-end'!$A$2:$A$14,0)))</f>
        <v>0.16916440473352762</v>
      </c>
      <c r="H39" s="8">
        <f>IF('Year-end close'!H39="","",'Year-end close'!H39/IF('Year-end close'!$C39="GBp",100,1)/INDEX('FX year-end'!$F$2:$F$14,MATCH(IF('Year-end close'!$C39="GBp","GBP",'Year-end close'!$C39),'FX year-end'!$A$2:$A$14,0)))</f>
        <v>0.2428683696935074</v>
      </c>
      <c r="I39" s="8">
        <f>IF('Year-end close'!I39="","",'Year-end close'!I39/IF('Year-end close'!$C39="GBp",100,1)/INDEX('FX year-end'!$G$2:$G$14,MATCH(IF('Year-end close'!$C39="GBp","GBP",'Year-end close'!$C39),'FX year-end'!$A$2:$A$14,0)))</f>
        <v>0.06495360553404719</v>
      </c>
      <c r="J39" s="8">
        <f>IF('Year-end close'!J39="","",'Year-end close'!J39/IF('Year-end close'!$C39="GBp",100,1)/INDEX('FX year-end'!$H$2:$H$14,MATCH(IF('Year-end close'!$C39="GBp","GBP",'Year-end close'!$C39),'FX year-end'!$A$2:$A$14,0)))</f>
        <v>0.038909921483874226</v>
      </c>
      <c r="K39" s="8">
        <f>IF('Year-end close'!K39="","",'Year-end close'!K39/IF('Year-end close'!$C39="GBp",100,1)/INDEX('FX year-end'!$I$2:$I$14,MATCH(IF('Year-end close'!$C39="GBp","GBP",'Year-end close'!$C39),'FX year-end'!$A$2:$A$14,0)))</f>
        <v>0.05598000145548003</v>
      </c>
      <c r="L39" s="8">
        <f>IF('Year-end close'!L39="","",'Year-end close'!L39/IF('Year-end close'!$C39="GBp",100,1)/INDEX('FX year-end'!$J$2:$J$14,MATCH(IF('Year-end close'!$C39="GBp","GBP",'Year-end close'!$C39),'FX year-end'!$A$2:$A$14,0)))</f>
        <v>3.2753219561106857</v>
      </c>
      <c r="M39" s="8">
        <f>IF('Year-end close'!M39="","",'Year-end close'!M39/IF('Year-end close'!$C39="GBp",100,1)/INDEX('FX year-end'!$K$2:$K$14,MATCH(IF('Year-end close'!$C39="GBp","GBP",'Year-end close'!$C39),'FX year-end'!$A$2:$A$14,0)))</f>
        <v>2.064026958719461</v>
      </c>
    </row>
    <row r="40">
      <c r="A40" s="2" t="inlineStr">
        <is>
          <t>PSAB.JK</t>
        </is>
      </c>
      <c r="B40" s="2" t="inlineStr">
        <is>
          <t>PT J Resources Asia Pasifik Tbk</t>
        </is>
      </c>
      <c r="C40" s="2" t="inlineStr">
        <is>
          <t>USD</t>
        </is>
      </c>
      <c r="D40" s="8">
        <f>IF('Year-end close'!D40="","",'Year-end close'!D40/IF('Year-end close'!$C40="GBp",100,1)/INDEX('FX year-end'!$B$2:$B$14,MATCH(IF('Year-end close'!$C40="GBp","GBP",'Year-end close'!$C40),'FX year-end'!$A$2:$A$14,0)))</f>
        <v>0.013202537247381619</v>
      </c>
      <c r="E40" s="8">
        <f>IF('Year-end close'!E40="","",'Year-end close'!E40/IF('Year-end close'!$C40="GBp",100,1)/INDEX('FX year-end'!$C$2:$C$14,MATCH(IF('Year-end close'!$C40="GBp","GBP",'Year-end close'!$C40),'FX year-end'!$A$2:$A$14,0)))</f>
        <v>0.013880299594585309</v>
      </c>
      <c r="F40" s="8">
        <f>IF('Year-end close'!F40="","",'Year-end close'!F40/IF('Year-end close'!$C40="GBp",100,1)/INDEX('FX year-end'!$D$2:$D$14,MATCH(IF('Year-end close'!$C40="GBp","GBP",'Year-end close'!$C40),'FX year-end'!$A$2:$A$14,0)))</f>
        <v>0.018679502837847545</v>
      </c>
      <c r="G40" s="8">
        <f>IF('Year-end close'!G40="","",'Year-end close'!G40/IF('Year-end close'!$C40="GBp",100,1)/INDEX('FX year-end'!$E$2:$E$14,MATCH(IF('Year-end close'!$C40="GBp","GBP",'Year-end close'!$C40),'FX year-end'!$A$2:$A$14,0)))</f>
        <v>0.019085404885771262</v>
      </c>
      <c r="H40" s="8">
        <f>IF('Year-end close'!H40="","",'Year-end close'!H40/IF('Year-end close'!$C40="GBp",100,1)/INDEX('FX year-end'!$F$2:$F$14,MATCH(IF('Year-end close'!$C40="GBp","GBP",'Year-end close'!$C40),'FX year-end'!$A$2:$A$14,0)))</f>
        <v>0.009730350159786473</v>
      </c>
      <c r="I40" s="8">
        <f>IF('Year-end close'!I40="","",'Year-end close'!I40/IF('Year-end close'!$C40="GBp",100,1)/INDEX('FX year-end'!$G$2:$G$14,MATCH(IF('Year-end close'!$C40="GBp","GBP",'Year-end close'!$C40),'FX year-end'!$A$2:$A$14,0)))</f>
        <v>0.006850192061459667</v>
      </c>
      <c r="J40" s="8">
        <f>IF('Year-end close'!J40="","",'Year-end close'!J40/IF('Year-end close'!$C40="GBp",100,1)/INDEX('FX year-end'!$H$2:$H$14,MATCH(IF('Year-end close'!$C40="GBp","GBP",'Year-end close'!$C40),'FX year-end'!$A$2:$A$14,0)))</f>
        <v>0.005705024311183144</v>
      </c>
      <c r="K40" s="8">
        <f>IF('Year-end close'!K40="","",'Year-end close'!K40/IF('Year-end close'!$C40="GBp",100,1)/INDEX('FX year-end'!$I$2:$I$14,MATCH(IF('Year-end close'!$C40="GBp","GBP",'Year-end close'!$C40),'FX year-end'!$A$2:$A$14,0)))</f>
        <v>0.014547172980053254</v>
      </c>
      <c r="L40" s="8">
        <f>IF('Year-end close'!L40="","",'Year-end close'!L40/IF('Year-end close'!$C40="GBp",100,1)/INDEX('FX year-end'!$J$2:$J$14,MATCH(IF('Year-end close'!$C40="GBp","GBP",'Year-end close'!$C40),'FX year-end'!$A$2:$A$14,0)))</f>
        <v>0.032916392363396975</v>
      </c>
      <c r="M40" s="8">
        <f>IF('Year-end close'!M40="","",'Year-end close'!M40/IF('Year-end close'!$C40="GBp",100,1)/INDEX('FX year-end'!$K$2:$K$14,MATCH(IF('Year-end close'!$C40="GBp","GBP",'Year-end close'!$C40),'FX year-end'!$A$2:$A$14,0)))</f>
        <v>0.029868244752121482</v>
      </c>
    </row>
    <row r="41">
      <c r="A41" s="2" t="inlineStr">
        <is>
          <t>RMS.AX</t>
        </is>
      </c>
      <c r="B41" s="2" t="inlineStr">
        <is>
          <t>Ramelius Resources Ltd</t>
        </is>
      </c>
      <c r="C41" s="2" t="inlineStr">
        <is>
          <t>USD</t>
        </is>
      </c>
      <c r="D41" s="8">
        <f>IF('Year-end close'!D41="","",'Year-end close'!D41/IF('Year-end close'!$C41="GBp",100,1)/INDEX('FX year-end'!$B$2:$B$14,MATCH(IF('Year-end close'!$C41="GBp","GBP",'Year-end close'!$C41),'FX year-end'!$A$2:$A$14,0)))</f>
        <v>0.3000802812180921</v>
      </c>
      <c r="E41" s="8">
        <f>IF('Year-end close'!E41="","",'Year-end close'!E41/IF('Year-end close'!$C41="GBp",100,1)/INDEX('FX year-end'!$C$2:$C$14,MATCH(IF('Year-end close'!$C41="GBp","GBP",'Year-end close'!$C41),'FX year-end'!$A$2:$A$14,0)))</f>
        <v>0.33110250088059173</v>
      </c>
      <c r="F41" s="8">
        <f>IF('Year-end close'!F41="","",'Year-end close'!F41/IF('Year-end close'!$C41="GBp",100,1)/INDEX('FX year-end'!$D$2:$D$14,MATCH(IF('Year-end close'!$C41="GBp","GBP",'Year-end close'!$C41),'FX year-end'!$A$2:$A$14,0)))</f>
        <v>0.8646727616177713</v>
      </c>
      <c r="G41" s="8">
        <f>IF('Year-end close'!G41="","",'Year-end close'!G41/IF('Year-end close'!$C41="GBp",100,1)/INDEX('FX year-end'!$E$2:$E$14,MATCH(IF('Year-end close'!$C41="GBp","GBP",'Year-end close'!$C41),'FX year-end'!$A$2:$A$14,0)))</f>
        <v>1.2956455544363366</v>
      </c>
      <c r="H41" s="8">
        <f>IF('Year-end close'!H41="","",'Year-end close'!H41/IF('Year-end close'!$C41="GBp",100,1)/INDEX('FX year-end'!$F$2:$F$14,MATCH(IF('Year-end close'!$C41="GBp","GBP",'Year-end close'!$C41),'FX year-end'!$A$2:$A$14,0)))</f>
        <v>1.1382189266233032</v>
      </c>
      <c r="I41" s="8">
        <f>IF('Year-end close'!I41="","",'Year-end close'!I41/IF('Year-end close'!$C41="GBp",100,1)/INDEX('FX year-end'!$G$2:$G$14,MATCH(IF('Year-end close'!$C41="GBp","GBP",'Year-end close'!$C41),'FX year-end'!$A$2:$A$14,0)))</f>
        <v>0.6292380536110822</v>
      </c>
      <c r="J41" s="8">
        <f>IF('Year-end close'!J41="","",'Year-end close'!J41/IF('Year-end close'!$C41="GBp",100,1)/INDEX('FX year-end'!$H$2:$H$14,MATCH(IF('Year-end close'!$C41="GBp","GBP",'Year-end close'!$C41),'FX year-end'!$A$2:$A$14,0)))</f>
        <v>1.1502318894794399</v>
      </c>
      <c r="K41" s="8">
        <f>IF('Year-end close'!K41="","",'Year-end close'!K41/IF('Year-end close'!$C41="GBp",100,1)/INDEX('FX year-end'!$I$2:$I$14,MATCH(IF('Year-end close'!$C41="GBp","GBP",'Year-end close'!$C41),'FX year-end'!$A$2:$A$14,0)))</f>
        <v>1.2875400334760407</v>
      </c>
      <c r="L41" s="8">
        <f>IF('Year-end close'!L41="","",'Year-end close'!L41/IF('Year-end close'!$C41="GBp",100,1)/INDEX('FX year-end'!$J$2:$J$14,MATCH(IF('Year-end close'!$C41="GBp","GBP",'Year-end close'!$C41),'FX year-end'!$A$2:$A$14,0)))</f>
        <v>2.7863679626626694</v>
      </c>
      <c r="M41" s="8">
        <f>IF('Year-end close'!M41="","",'Year-end close'!M41/IF('Year-end close'!$C41="GBp",100,1)/INDEX('FX year-end'!$K$2:$K$14,MATCH(IF('Year-end close'!$C41="GBp","GBP",'Year-end close'!$C41),'FX year-end'!$A$2:$A$14,0)))</f>
        <v>2.716933445661331</v>
      </c>
    </row>
    <row r="42">
      <c r="A42" s="2" t="inlineStr">
        <is>
          <t>RRL.AX</t>
        </is>
      </c>
      <c r="B42" s="2" t="inlineStr">
        <is>
          <t>Regis Resources Ltd</t>
        </is>
      </c>
      <c r="C42" s="2" t="inlineStr">
        <is>
          <t>USD</t>
        </is>
      </c>
      <c r="D42" s="8">
        <f>IF('Year-end close'!D42="","",'Year-end close'!D42/IF('Year-end close'!$C42="GBp",100,1)/INDEX('FX year-end'!$B$2:$B$14,MATCH(IF('Year-end close'!$C42="GBp","GBP",'Year-end close'!$C42),'FX year-end'!$A$2:$A$14,0)))</f>
        <v>3.3515459980202493</v>
      </c>
      <c r="E42" s="8">
        <f>IF('Year-end close'!E42="","",'Year-end close'!E42/IF('Year-end close'!$C42="GBp",100,1)/INDEX('FX year-end'!$C$2:$C$14,MATCH(IF('Year-end close'!$C42="GBp","GBP",'Year-end close'!$C42),'FX year-end'!$A$2:$A$14,0)))</f>
        <v>3.402606551602677</v>
      </c>
      <c r="F42" s="8">
        <f>IF('Year-end close'!F42="","",'Year-end close'!F42/IF('Year-end close'!$C42="GBp",100,1)/INDEX('FX year-end'!$D$2:$D$14,MATCH(IF('Year-end close'!$C42="GBp","GBP",'Year-end close'!$C42),'FX year-end'!$A$2:$A$14,0)))</f>
        <v>3.0386071137013175</v>
      </c>
      <c r="G42" s="8">
        <f>IF('Year-end close'!G42="","",'Year-end close'!G42/IF('Year-end close'!$C42="GBp",100,1)/INDEX('FX year-end'!$E$2:$E$14,MATCH(IF('Year-end close'!$C42="GBp","GBP",'Year-end close'!$C42),'FX year-end'!$A$2:$A$14,0)))</f>
        <v>2.8757948804699693</v>
      </c>
      <c r="H42" s="8">
        <f>IF('Year-end close'!H42="","",'Year-end close'!H42/IF('Year-end close'!$C42="GBp",100,1)/INDEX('FX year-end'!$F$2:$F$14,MATCH(IF('Year-end close'!$C42="GBp","GBP",'Year-end close'!$C42),'FX year-end'!$A$2:$A$14,0)))</f>
        <v>1.4137114056786249</v>
      </c>
      <c r="I42" s="8">
        <f>IF('Year-end close'!I42="","",'Year-end close'!I42/IF('Year-end close'!$C42="GBp",100,1)/INDEX('FX year-end'!$G$2:$G$14,MATCH(IF('Year-end close'!$C42="GBp","GBP",'Year-end close'!$C42),'FX year-end'!$A$2:$A$14,0)))</f>
        <v>1.3937961187514294</v>
      </c>
      <c r="J42" s="8">
        <f>IF('Year-end close'!J42="","",'Year-end close'!J42/IF('Year-end close'!$C42="GBp",100,1)/INDEX('FX year-end'!$H$2:$H$14,MATCH(IF('Year-end close'!$C42="GBp","GBP",'Year-end close'!$C42),'FX year-end'!$A$2:$A$14,0)))</f>
        <v>1.4881338392078214</v>
      </c>
      <c r="K42" s="8">
        <f>IF('Year-end close'!K42="","",'Year-end close'!K42/IF('Year-end close'!$C42="GBp",100,1)/INDEX('FX year-end'!$I$2:$I$14,MATCH(IF('Year-end close'!$C42="GBp","GBP",'Year-end close'!$C42),'FX year-end'!$A$2:$A$14,0)))</f>
        <v>1.5861000412386008</v>
      </c>
      <c r="L42" s="8">
        <f>IF('Year-end close'!L42="","",'Year-end close'!L42/IF('Year-end close'!$C42="GBp",100,1)/INDEX('FX year-end'!$J$2:$J$14,MATCH(IF('Year-end close'!$C42="GBp","GBP",'Year-end close'!$C42),'FX year-end'!$A$2:$A$14,0)))</f>
        <v>5.056989932236335</v>
      </c>
      <c r="M42" s="8">
        <f>IF('Year-end close'!M42="","",'Year-end close'!M42/IF('Year-end close'!$C42="GBp",100,1)/INDEX('FX year-end'!$K$2:$K$14,MATCH(IF('Year-end close'!$C42="GBp","GBP",'Year-end close'!$C42),'FX year-end'!$A$2:$A$14,0)))</f>
        <v>5.419825891603481</v>
      </c>
    </row>
    <row r="43">
      <c r="A43" s="2" t="inlineStr">
        <is>
          <t>RSG.AX</t>
        </is>
      </c>
      <c r="B43" s="2" t="inlineStr">
        <is>
          <t>Resolute Mining Ltd</t>
        </is>
      </c>
      <c r="C43" s="2" t="inlineStr">
        <is>
          <t>USD</t>
        </is>
      </c>
      <c r="D43" s="8">
        <f>IF('Year-end close'!D43="","",'Year-end close'!D43/IF('Year-end close'!$C43="GBp",100,1)/INDEX('FX year-end'!$B$2:$B$14,MATCH(IF('Year-end close'!$C43="GBp","GBP",'Year-end close'!$C43),'FX year-end'!$A$2:$A$14,0)))</f>
        <v>0.8885494041262986</v>
      </c>
      <c r="E43" s="8">
        <f>IF('Year-end close'!E43="","",'Year-end close'!E43/IF('Year-end close'!$C43="GBp",100,1)/INDEX('FX year-end'!$C$2:$C$14,MATCH(IF('Year-end close'!$C43="GBp","GBP",'Year-end close'!$C43),'FX year-end'!$A$2:$A$14,0)))</f>
        <v>0.813666784078901</v>
      </c>
      <c r="F43" s="8">
        <f>IF('Year-end close'!F43="","",'Year-end close'!F43/IF('Year-end close'!$C43="GBp",100,1)/INDEX('FX year-end'!$D$2:$D$14,MATCH(IF('Year-end close'!$C43="GBp","GBP",'Year-end close'!$C43),'FX year-end'!$A$2:$A$14,0)))</f>
        <v>0.8821762588165116</v>
      </c>
      <c r="G43" s="8">
        <f>IF('Year-end close'!G43="","",'Year-end close'!G43/IF('Year-end close'!$C43="GBp",100,1)/INDEX('FX year-end'!$E$2:$E$14,MATCH(IF('Year-end close'!$C43="GBp","GBP",'Year-end close'!$C43),'FX year-end'!$A$2:$A$14,0)))</f>
        <v>0.6112986443779748</v>
      </c>
      <c r="H43" s="8">
        <f>IF('Year-end close'!H43="","",'Year-end close'!H43/IF('Year-end close'!$C43="GBp",100,1)/INDEX('FX year-end'!$F$2:$F$14,MATCH(IF('Year-end close'!$C43="GBp","GBP",'Year-end close'!$C43),'FX year-end'!$A$2:$A$14,0)))</f>
        <v>0.282742281135725</v>
      </c>
      <c r="I43" s="8">
        <f>IF('Year-end close'!I43="","",'Year-end close'!I43/IF('Year-end close'!$C43="GBp",100,1)/INDEX('FX year-end'!$G$2:$G$14,MATCH(IF('Year-end close'!$C43="GBp","GBP",'Year-end close'!$C43),'FX year-end'!$A$2:$A$14,0)))</f>
        <v>0.13532001152926498</v>
      </c>
      <c r="J43" s="8">
        <f>IF('Year-end close'!J43="","",'Year-end close'!J43/IF('Year-end close'!$C43="GBp",100,1)/INDEX('FX year-end'!$H$2:$H$14,MATCH(IF('Year-end close'!$C43="GBp","GBP",'Year-end close'!$C43),'FX year-end'!$A$2:$A$14,0)))</f>
        <v>0.30377043965480754</v>
      </c>
      <c r="K43" s="8">
        <f>IF('Year-end close'!K43="","",'Year-end close'!K43/IF('Year-end close'!$C43="GBp",100,1)/INDEX('FX year-end'!$I$2:$I$14,MATCH(IF('Year-end close'!$C43="GBp","GBP",'Year-end close'!$C43),'FX year-end'!$A$2:$A$14,0)))</f>
        <v>0.24569000638794017</v>
      </c>
      <c r="L43" s="8">
        <f>IF('Year-end close'!L43="","",'Year-end close'!L43/IF('Year-end close'!$C43="GBp",100,1)/INDEX('FX year-end'!$J$2:$J$14,MATCH(IF('Year-end close'!$C43="GBp","GBP",'Year-end close'!$C43),'FX year-end'!$A$2:$A$14,0)))</f>
        <v>0.8205049890052333</v>
      </c>
      <c r="M43" s="8">
        <f>IF('Year-end close'!M43="","",'Year-end close'!M43/IF('Year-end close'!$C43="GBp",100,1)/INDEX('FX year-end'!$K$2:$K$14,MATCH(IF('Year-end close'!$C43="GBp","GBP",'Year-end close'!$C43),'FX year-end'!$A$2:$A$14,0)))</f>
        <v>0.8565009828699802</v>
      </c>
    </row>
    <row r="44">
      <c r="A44" s="2" t="inlineStr">
        <is>
          <t>SBM.AX</t>
        </is>
      </c>
      <c r="B44" s="2" t="inlineStr">
        <is>
          <t>St Barbara Ltd</t>
        </is>
      </c>
      <c r="C44" s="2" t="inlineStr">
        <is>
          <t>USD</t>
        </is>
      </c>
      <c r="D44" s="8">
        <f>IF('Year-end close'!D44="","",'Year-end close'!D44/IF('Year-end close'!$C44="GBp",100,1)/INDEX('FX year-end'!$B$2:$B$14,MATCH(IF('Year-end close'!$C44="GBp","GBP",'Year-end close'!$C44),'FX year-end'!$A$2:$A$14,0)))</f>
        <v>2.9774199331249656</v>
      </c>
      <c r="E44" s="8">
        <f>IF('Year-end close'!E44="","",'Year-end close'!E44/IF('Year-end close'!$C44="GBp",100,1)/INDEX('FX year-end'!$C$2:$C$14,MATCH(IF('Year-end close'!$C44="GBp","GBP",'Year-end close'!$C44),'FX year-end'!$A$2:$A$14,0)))</f>
        <v>3.3110250088059177</v>
      </c>
      <c r="F44" s="8">
        <f>IF('Year-end close'!F44="","",'Year-end close'!F44/IF('Year-end close'!$C44="GBp",100,1)/INDEX('FX year-end'!$D$2:$D$14,MATCH(IF('Year-end close'!$C44="GBp","GBP",'Year-end close'!$C44),'FX year-end'!$A$2:$A$14,0)))</f>
        <v>1.9043804952229457</v>
      </c>
      <c r="G44" s="8">
        <f>IF('Year-end close'!G44="","",'Year-end close'!G44/IF('Year-end close'!$C44="GBp",100,1)/INDEX('FX year-end'!$E$2:$E$14,MATCH(IF('Year-end close'!$C44="GBp","GBP",'Year-end close'!$C44),'FX year-end'!$A$2:$A$14,0)))</f>
        <v>1.814672705323296</v>
      </c>
      <c r="H44" s="8">
        <f>IF('Year-end close'!H44="","",'Year-end close'!H44/IF('Year-end close'!$C44="GBp",100,1)/INDEX('FX year-end'!$F$2:$F$14,MATCH(IF('Year-end close'!$C44="GBp","GBP",'Year-end close'!$C44),'FX year-end'!$A$2:$A$14,0)))</f>
        <v>1.0620960047790695</v>
      </c>
      <c r="I44" s="8">
        <f>IF('Year-end close'!I44="","",'Year-end close'!I44/IF('Year-end close'!$C44="GBp",100,1)/INDEX('FX year-end'!$G$2:$G$14,MATCH(IF('Year-end close'!$C44="GBp","GBP",'Year-end close'!$C44),'FX year-end'!$A$2:$A$14,0)))</f>
        <v>0.5243650446759018</v>
      </c>
      <c r="J44" s="8">
        <f>IF('Year-end close'!J44="","",'Year-end close'!J44/IF('Year-end close'!$C44="GBp",100,1)/INDEX('FX year-end'!$H$2:$H$14,MATCH(IF('Year-end close'!$C44="GBp","GBP",'Year-end close'!$C44),'FX year-end'!$A$2:$A$14,0)))</f>
        <v>0.1433523423090103</v>
      </c>
      <c r="K44" s="8">
        <f>IF('Year-end close'!K44="","",'Year-end close'!K44/IF('Year-end close'!$C44="GBp",100,1)/INDEX('FX year-end'!$I$2:$I$14,MATCH(IF('Year-end close'!$C44="GBp","GBP",'Year-end close'!$C44),'FX year-end'!$A$2:$A$14,0)))</f>
        <v>0.13995000363870008</v>
      </c>
      <c r="L44" s="8">
        <f>IF('Year-end close'!L44="","",'Year-end close'!L44/IF('Year-end close'!$C44="GBp",100,1)/INDEX('FX year-end'!$J$2:$J$14,MATCH(IF('Year-end close'!$C44="GBp","GBP",'Year-end close'!$C44),'FX year-end'!$A$2:$A$14,0)))</f>
        <v>0.38848399479431445</v>
      </c>
      <c r="M44" s="8">
        <f>IF('Year-end close'!M44="","",'Year-end close'!M44/IF('Year-end close'!$C44="GBp",100,1)/INDEX('FX year-end'!$K$2:$K$14,MATCH(IF('Year-end close'!$C44="GBp","GBP",'Year-end close'!$C44),'FX year-end'!$A$2:$A$14,0)))</f>
        <v>0.5756809884863802</v>
      </c>
    </row>
    <row r="45">
      <c r="A45" s="2" t="inlineStr">
        <is>
          <t>SPA.V</t>
        </is>
      </c>
      <c r="B45" s="2" t="inlineStr">
        <is>
          <t>Spanish Mountain Gold Ltd</t>
        </is>
      </c>
      <c r="C45" s="2" t="inlineStr">
        <is>
          <t>USD</t>
        </is>
      </c>
      <c r="D45" s="8">
        <f>IF('Year-end close'!D45="","",'Year-end close'!D45/IF('Year-end close'!$C45="GBp",100,1)/INDEX('FX year-end'!$B$2:$B$14,MATCH(IF('Year-end close'!$C45="GBp","GBP",'Year-end close'!$C45),'FX year-end'!$A$2:$A$14,0)))</f>
        <v>0.11141617922088258</v>
      </c>
      <c r="E45" s="8">
        <f>IF('Year-end close'!E45="","",'Year-end close'!E45/IF('Year-end close'!$C45="GBp",100,1)/INDEX('FX year-end'!$C$2:$C$14,MATCH(IF('Year-end close'!$C45="GBp","GBP",'Year-end close'!$C45),'FX year-end'!$A$2:$A$14,0)))</f>
        <v>0.051387461459403906</v>
      </c>
      <c r="F45" s="8">
        <f>IF('Year-end close'!F45="","",'Year-end close'!F45/IF('Year-end close'!$C45="GBp",100,1)/INDEX('FX year-end'!$D$2:$D$14,MATCH(IF('Year-end close'!$C45="GBp","GBP",'Year-end close'!$C45),'FX year-end'!$A$2:$A$14,0)))</f>
        <v>0.06890954473760777</v>
      </c>
      <c r="G45" s="8">
        <f>IF('Year-end close'!G45="","",'Year-end close'!G45/IF('Year-end close'!$C45="GBp",100,1)/INDEX('FX year-end'!$E$2:$E$14,MATCH(IF('Year-end close'!$C45="GBp","GBP",'Year-end close'!$C45),'FX year-end'!$A$2:$A$14,0)))</f>
        <v>0.2980228536472508</v>
      </c>
      <c r="H45" s="8">
        <f>IF('Year-end close'!H45="","",'Year-end close'!H45/IF('Year-end close'!$C45="GBp",100,1)/INDEX('FX year-end'!$F$2:$F$14,MATCH(IF('Year-end close'!$C45="GBp","GBP",'Year-end close'!$C45),'FX year-end'!$A$2:$A$14,0)))</f>
        <v>0.17262483914503626</v>
      </c>
      <c r="I45" s="8">
        <f>IF('Year-end close'!I45="","",'Year-end close'!I45/IF('Year-end close'!$C45="GBp",100,1)/INDEX('FX year-end'!$G$2:$G$14,MATCH(IF('Year-end close'!$C45="GBp","GBP",'Year-end close'!$C45),'FX year-end'!$A$2:$A$14,0)))</f>
        <v>0.1180637544273908</v>
      </c>
      <c r="J45" s="8">
        <f>IF('Year-end close'!J45="","",'Year-end close'!J45/IF('Year-end close'!$C45="GBp",100,1)/INDEX('FX year-end'!$H$2:$H$14,MATCH(IF('Year-end close'!$C45="GBp","GBP",'Year-end close'!$C45),'FX year-end'!$A$2:$A$14,0)))</f>
        <v>0.13605853540545443</v>
      </c>
      <c r="K45" s="8">
        <f>IF('Year-end close'!K45="","",'Year-end close'!K45/IF('Year-end close'!$C45="GBp",100,1)/INDEX('FX year-end'!$I$2:$I$14,MATCH(IF('Year-end close'!$C45="GBp","GBP",'Year-end close'!$C45),'FX year-end'!$A$2:$A$14,0)))</f>
        <v>0.0696873824025422</v>
      </c>
      <c r="L45" s="8">
        <f>IF('Year-end close'!L45="","",'Year-end close'!L45/IF('Year-end close'!$C45="GBp",100,1)/INDEX('FX year-end'!$J$2:$J$14,MATCH(IF('Year-end close'!$C45="GBp","GBP",'Year-end close'!$C45),'FX year-end'!$A$2:$A$14,0)))</f>
        <v>0.17525027930513265</v>
      </c>
      <c r="M45" s="8">
        <f>IF('Year-end close'!M45="","",'Year-end close'!M45/IF('Year-end close'!$C45="GBp",100,1)/INDEX('FX year-end'!$K$2:$K$14,MATCH(IF('Year-end close'!$C45="GBp","GBP",'Year-end close'!$C45),'FX year-end'!$A$2:$A$14,0)))</f>
        <v>0.24737604693077003</v>
      </c>
    </row>
    <row r="46">
      <c r="A46" s="2" t="inlineStr">
        <is>
          <t>SSRM</t>
        </is>
      </c>
      <c r="B46" s="2" t="inlineStr">
        <is>
          <t>SSR Mining Inc</t>
        </is>
      </c>
      <c r="C46" s="2" t="inlineStr">
        <is>
          <t>USD</t>
        </is>
      </c>
      <c r="D46" s="8">
        <f>IF('Year-end close'!D46="","",'Year-end close'!D46/IF('Year-end close'!$C46="GBp",100,1)/INDEX('FX year-end'!$B$2:$B$14,MATCH(IF('Year-end close'!$C46="GBp","GBP",'Year-end close'!$C46),'FX year-end'!$A$2:$A$14,0)))</f>
        <v>8.79</v>
      </c>
      <c r="E46" s="8">
        <f>IF('Year-end close'!E46="","",'Year-end close'!E46/IF('Year-end close'!$C46="GBp",100,1)/INDEX('FX year-end'!$C$2:$C$14,MATCH(IF('Year-end close'!$C46="GBp","GBP",'Year-end close'!$C46),'FX year-end'!$A$2:$A$14,0)))</f>
        <v>12.09</v>
      </c>
      <c r="F46" s="8">
        <f>IF('Year-end close'!F46="","",'Year-end close'!F46/IF('Year-end close'!$C46="GBp",100,1)/INDEX('FX year-end'!$D$2:$D$14,MATCH(IF('Year-end close'!$C46="GBp","GBP",'Year-end close'!$C46),'FX year-end'!$A$2:$A$14,0)))</f>
        <v>19.26</v>
      </c>
      <c r="G46" s="8">
        <f>IF('Year-end close'!G46="","",'Year-end close'!G46/IF('Year-end close'!$C46="GBp",100,1)/INDEX('FX year-end'!$E$2:$E$14,MATCH(IF('Year-end close'!$C46="GBp","GBP",'Year-end close'!$C46),'FX year-end'!$A$2:$A$14,0)))</f>
        <v>20.11</v>
      </c>
      <c r="H46" s="8">
        <f>IF('Year-end close'!H46="","",'Year-end close'!H46/IF('Year-end close'!$C46="GBp",100,1)/INDEX('FX year-end'!$F$2:$F$14,MATCH(IF('Year-end close'!$C46="GBp","GBP",'Year-end close'!$C46),'FX year-end'!$A$2:$A$14,0)))</f>
        <v>17.7</v>
      </c>
      <c r="I46" s="8">
        <f>IF('Year-end close'!I46="","",'Year-end close'!I46/IF('Year-end close'!$C46="GBp",100,1)/INDEX('FX year-end'!$G$2:$G$14,MATCH(IF('Year-end close'!$C46="GBp","GBP",'Year-end close'!$C46),'FX year-end'!$A$2:$A$14,0)))</f>
        <v>15.67</v>
      </c>
      <c r="J46" s="8">
        <f>IF('Year-end close'!J46="","",'Year-end close'!J46/IF('Year-end close'!$C46="GBp",100,1)/INDEX('FX year-end'!$H$2:$H$14,MATCH(IF('Year-end close'!$C46="GBp","GBP",'Year-end close'!$C46),'FX year-end'!$A$2:$A$14,0)))</f>
        <v>10.76</v>
      </c>
      <c r="K46" s="8">
        <f>IF('Year-end close'!K46="","",'Year-end close'!K46/IF('Year-end close'!$C46="GBp",100,1)/INDEX('FX year-end'!$I$2:$I$14,MATCH(IF('Year-end close'!$C46="GBp","GBP",'Year-end close'!$C46),'FX year-end'!$A$2:$A$14,0)))</f>
        <v>6.96</v>
      </c>
      <c r="L46" s="8">
        <f>IF('Year-end close'!L46="","",'Year-end close'!L46/IF('Year-end close'!$C46="GBp",100,1)/INDEX('FX year-end'!$J$2:$J$14,MATCH(IF('Year-end close'!$C46="GBp","GBP",'Year-end close'!$C46),'FX year-end'!$A$2:$A$14,0)))</f>
        <v>21.92</v>
      </c>
      <c r="M46" s="8">
        <f>IF('Year-end close'!M46="","",'Year-end close'!M46/IF('Year-end close'!$C46="GBp",100,1)/INDEX('FX year-end'!$K$2:$K$14,MATCH(IF('Year-end close'!$C46="GBp","GBP",'Year-end close'!$C46),'FX year-end'!$A$2:$A$14,0)))</f>
        <v>35.68</v>
      </c>
    </row>
    <row r="47">
      <c r="A47" s="2" t="inlineStr">
        <is>
          <t>STLR.TO</t>
        </is>
      </c>
      <c r="B47" s="2" t="inlineStr">
        <is>
          <t>STLLR Gold Inc</t>
        </is>
      </c>
      <c r="C47" s="2" t="inlineStr">
        <is>
          <t>USD</t>
        </is>
      </c>
      <c r="D47" s="8">
        <f>IF('Year-end close'!D47="","",'Year-end close'!D47/IF('Year-end close'!$C47="GBp",100,1)/INDEX('FX year-end'!$B$2:$B$14,MATCH(IF('Year-end close'!$C47="GBp","GBP",'Year-end close'!$C47),'FX year-end'!$A$2:$A$14,0)))</f>
        <v>0.14324937328399187</v>
      </c>
      <c r="E47" s="8">
        <f>IF('Year-end close'!E47="","",'Year-end close'!E47/IF('Year-end close'!$C47="GBp",100,1)/INDEX('FX year-end'!$C$2:$C$14,MATCH(IF('Year-end close'!$C47="GBp","GBP",'Year-end close'!$C47),'FX year-end'!$A$2:$A$14,0)))</f>
        <v>0.09543385699603582</v>
      </c>
      <c r="F47" s="8">
        <f>IF('Year-end close'!F47="","",'Year-end close'!F47/IF('Year-end close'!$C47="GBp",100,1)/INDEX('FX year-end'!$D$2:$D$14,MATCH(IF('Year-end close'!$C47="GBp","GBP",'Year-end close'!$C47),'FX year-end'!$A$2:$A$14,0)))</f>
        <v>0.09953600906543345</v>
      </c>
      <c r="G47" s="8">
        <f>IF('Year-end close'!G47="","",'Year-end close'!G47/IF('Year-end close'!$C47="GBp",100,1)/INDEX('FX year-end'!$E$2:$E$14,MATCH(IF('Year-end close'!$C47="GBp","GBP",'Year-end close'!$C47),'FX year-end'!$A$2:$A$14,0)))</f>
        <v>0.2980228536472508</v>
      </c>
      <c r="H47" s="8">
        <f>IF('Year-end close'!H47="","",'Year-end close'!H47/IF('Year-end close'!$C47="GBp",100,1)/INDEX('FX year-end'!$F$2:$F$14,MATCH(IF('Year-end close'!$C47="GBp","GBP",'Year-end close'!$C47),'FX year-end'!$A$2:$A$14,0)))</f>
        <v>1.6085496374878376</v>
      </c>
      <c r="I47" s="8">
        <f>IF('Year-end close'!I47="","",'Year-end close'!I47/IF('Year-end close'!$C47="GBp",100,1)/INDEX('FX year-end'!$G$2:$G$14,MATCH(IF('Year-end close'!$C47="GBp","GBP",'Year-end close'!$C47),'FX year-end'!$A$2:$A$14,0)))</f>
        <v>1.0920897284533648</v>
      </c>
      <c r="J47" s="8">
        <f>IF('Year-end close'!J47="","",'Year-end close'!J47/IF('Year-end close'!$C47="GBp",100,1)/INDEX('FX year-end'!$H$2:$H$14,MATCH(IF('Year-end close'!$C47="GBp","GBP",'Year-end close'!$C47),'FX year-end'!$A$2:$A$14,0)))</f>
        <v>0.5669105641893936</v>
      </c>
      <c r="K47" s="8">
        <f>IF('Year-end close'!K47="","",'Year-end close'!K47/IF('Year-end close'!$C47="GBp",100,1)/INDEX('FX year-end'!$I$2:$I$14,MATCH(IF('Year-end close'!$C47="GBp","GBP",'Year-end close'!$C47),'FX year-end'!$A$2:$A$14,0)))</f>
        <v>0.5784052739411002</v>
      </c>
      <c r="L47" s="8">
        <f>IF('Year-end close'!L47="","",'Year-end close'!L47/IF('Year-end close'!$C47="GBp",100,1)/INDEX('FX year-end'!$J$2:$J$14,MATCH(IF('Year-end close'!$C47="GBp","GBP",'Year-end close'!$C47),'FX year-end'!$A$2:$A$14,0)))</f>
        <v>1.1902414802806924</v>
      </c>
      <c r="M47" s="8">
        <f>IF('Year-end close'!M47="","",'Year-end close'!M47/IF('Year-end close'!$C47="GBp",100,1)/INDEX('FX year-end'!$K$2:$K$14,MATCH(IF('Year-end close'!$C47="GBp","GBP",'Year-end close'!$C47),'FX year-end'!$A$2:$A$14,0)))</f>
        <v>1.1732692511573666</v>
      </c>
    </row>
    <row r="48">
      <c r="A48" s="2" t="inlineStr">
        <is>
          <t>TSK.TO</t>
        </is>
      </c>
      <c r="B48" s="2" t="inlineStr">
        <is>
          <t>Talisker Resources Ltd</t>
        </is>
      </c>
      <c r="C48" s="2" t="inlineStr">
        <is>
          <t>USD</t>
        </is>
      </c>
      <c r="D48" s="8" t="str">
        <f>IF('Year-end close'!D48="","",'Year-end close'!D48/IF('Year-end close'!$C48="GBp",100,1)/INDEX('FX year-end'!$B$2:$B$14,MATCH(IF('Year-end close'!$C48="GBp","GBP",'Year-end close'!$C48),'FX year-end'!$A$2:$A$14,0)))</f>
        <v/>
      </c>
      <c r="E48" s="8">
        <f>IF('Year-end close'!E48="","",'Year-end close'!E48/IF('Year-end close'!$C48="GBp",100,1)/INDEX('FX year-end'!$C$2:$C$14,MATCH(IF('Year-end close'!$C48="GBp","GBP",'Year-end close'!$C48),'FX year-end'!$A$2:$A$14,0)))</f>
        <v>0.022023197768315957</v>
      </c>
      <c r="F48" s="8">
        <f>IF('Year-end close'!F48="","",'Year-end close'!F48/IF('Year-end close'!$C48="GBp",100,1)/INDEX('FX year-end'!$D$2:$D$14,MATCH(IF('Year-end close'!$C48="GBp","GBP",'Year-end close'!$C48),'FX year-end'!$A$2:$A$14,0)))</f>
        <v>0.25266833070456185</v>
      </c>
      <c r="G48" s="8">
        <f>IF('Year-end close'!G48="","",'Year-end close'!G48/IF('Year-end close'!$C48="GBp",100,1)/INDEX('FX year-end'!$E$2:$E$14,MATCH(IF('Year-end close'!$C48="GBp","GBP",'Year-end close'!$C48),'FX year-end'!$A$2:$A$14,0)))</f>
        <v>0.26273067361007635</v>
      </c>
      <c r="H48" s="8">
        <f>IF('Year-end close'!H48="","",'Year-end close'!H48/IF('Year-end close'!$C48="GBp",100,1)/INDEX('FX year-end'!$F$2:$F$14,MATCH(IF('Year-end close'!$C48="GBp","GBP",'Year-end close'!$C48),'FX year-end'!$A$2:$A$14,0)))</f>
        <v>0.24324409152255108</v>
      </c>
      <c r="I48" s="8">
        <f>IF('Year-end close'!I48="","",'Year-end close'!I48/IF('Year-end close'!$C48="GBp",100,1)/INDEX('FX year-end'!$G$2:$G$14,MATCH(IF('Year-end close'!$C48="GBp","GBP",'Year-end close'!$C48),'FX year-end'!$A$2:$A$14,0)))</f>
        <v>0.10330578512396696</v>
      </c>
      <c r="J48" s="8">
        <f>IF('Year-end close'!J48="","",'Year-end close'!J48/IF('Year-end close'!$C48="GBp",100,1)/INDEX('FX year-end'!$H$2:$H$14,MATCH(IF('Year-end close'!$C48="GBp","GBP",'Year-end close'!$C48),'FX year-end'!$A$2:$A$14,0)))</f>
        <v>0.24944064824333315</v>
      </c>
      <c r="K48" s="8">
        <f>IF('Year-end close'!K48="","",'Year-end close'!K48/IF('Year-end close'!$C48="GBp",100,1)/INDEX('FX year-end'!$I$2:$I$14,MATCH(IF('Year-end close'!$C48="GBp","GBP",'Year-end close'!$C48),'FX year-end'!$A$2:$A$14,0)))</f>
        <v>0.21951525456800794</v>
      </c>
      <c r="L48" s="8">
        <f>IF('Year-end close'!L48="","",'Year-end close'!L48/IF('Year-end close'!$C48="GBp",100,1)/INDEX('FX year-end'!$J$2:$J$14,MATCH(IF('Year-end close'!$C48="GBp","GBP",'Year-end close'!$C48),'FX year-end'!$A$2:$A$14,0)))</f>
        <v>1.0515016758307958</v>
      </c>
      <c r="M48" s="8">
        <f>IF('Year-end close'!M48="","",'Year-end close'!M48/IF('Year-end close'!$C48="GBp",100,1)/INDEX('FX year-end'!$K$2:$K$14,MATCH(IF('Year-end close'!$C48="GBp","GBP",'Year-end close'!$C48),'FX year-end'!$A$2:$A$14,0)))</f>
        <v>0.8552143336749479</v>
      </c>
    </row>
    <row r="49">
      <c r="A49" s="2" t="inlineStr">
        <is>
          <t>VAU.AX</t>
        </is>
      </c>
      <c r="B49" s="2" t="inlineStr">
        <is>
          <t>Vault Minerals Ltd</t>
        </is>
      </c>
      <c r="C49" s="2" t="inlineStr">
        <is>
          <t>USD</t>
        </is>
      </c>
      <c r="D49" s="8">
        <f>IF('Year-end close'!D49="","",'Year-end close'!D49/IF('Year-end close'!$C49="GBp",100,1)/INDEX('FX year-end'!$B$2:$B$14,MATCH(IF('Year-end close'!$C49="GBp","GBP",'Year-end close'!$C49),'FX year-end'!$A$2:$A$14,0)))</f>
        <v>0.04520689950818011</v>
      </c>
      <c r="E49" s="8">
        <f>IF('Year-end close'!E49="","",'Year-end close'!E49/IF('Year-end close'!$C49="GBp",100,1)/INDEX('FX year-end'!$C$2:$C$14,MATCH(IF('Year-end close'!$C49="GBp","GBP",'Year-end close'!$C49),'FX year-end'!$A$2:$A$14,0)))</f>
        <v>0.06269813314547376</v>
      </c>
      <c r="F49" s="8">
        <f>IF('Year-end close'!F49="","",'Year-end close'!F49/IF('Year-end close'!$C49="GBp",100,1)/INDEX('FX year-end'!$D$2:$D$14,MATCH(IF('Year-end close'!$C49="GBp","GBP",'Year-end close'!$C49),'FX year-end'!$A$2:$A$14,0)))</f>
        <v>0.23104616302337208</v>
      </c>
      <c r="G49" s="8">
        <f>IF('Year-end close'!G49="","",'Year-end close'!G49/IF('Year-end close'!$C49="GBp",100,1)/INDEX('FX year-end'!$E$2:$E$14,MATCH(IF('Year-end close'!$C49="GBp","GBP",'Year-end close'!$C49),'FX year-end'!$A$2:$A$14,0)))</f>
        <v>0.19992156923053264</v>
      </c>
      <c r="H49" s="8">
        <f>IF('Year-end close'!H49="","",'Year-end close'!H49/IF('Year-end close'!$C49="GBp",100,1)/INDEX('FX year-end'!$F$2:$F$14,MATCH(IF('Year-end close'!$C49="GBp","GBP",'Year-end close'!$C49),'FX year-end'!$A$2:$A$14,0)))</f>
        <v>0.21024426033169294</v>
      </c>
      <c r="I49" s="8">
        <f>IF('Year-end close'!I49="","",'Year-end close'!I49/IF('Year-end close'!$C49="GBp",100,1)/INDEX('FX year-end'!$G$2:$G$14,MATCH(IF('Year-end close'!$C49="GBp","GBP",'Year-end close'!$C49),'FX year-end'!$A$2:$A$14,0)))</f>
        <v>0.13870301181749659</v>
      </c>
      <c r="J49" s="8">
        <f>IF('Year-end close'!J49="","",'Year-end close'!J49/IF('Year-end close'!$C49="GBp",100,1)/INDEX('FX year-end'!$H$2:$H$14,MATCH(IF('Year-end close'!$C49="GBp","GBP",'Year-end close'!$C49),'FX year-end'!$A$2:$A$14,0)))</f>
        <v>0.21161536245615806</v>
      </c>
      <c r="K49" s="8">
        <f>IF('Year-end close'!K49="","",'Year-end close'!K49/IF('Year-end close'!$C49="GBp",100,1)/INDEX('FX year-end'!$I$2:$I$14,MATCH(IF('Year-end close'!$C49="GBp","GBP",'Year-end close'!$C49),'FX year-end'!$A$2:$A$14,0)))</f>
        <v>0.20526000533676014</v>
      </c>
      <c r="L49" s="8">
        <f>IF('Year-end close'!L49="","",'Year-end close'!L49/IF('Year-end close'!$C49="GBp",100,1)/INDEX('FX year-end'!$J$2:$J$14,MATCH(IF('Year-end close'!$C49="GBp","GBP",'Year-end close'!$C49),'FX year-end'!$A$2:$A$14,0)))</f>
        <v>3.6571079509947535</v>
      </c>
      <c r="M49" s="8">
        <f>IF('Year-end close'!M49="","",'Year-end close'!M49/IF('Year-end close'!$C49="GBp",100,1)/INDEX('FX year-end'!$K$2:$K$14,MATCH(IF('Year-end close'!$C49="GBp","GBP",'Year-end close'!$C49),'FX year-end'!$A$2:$A$14,0)))</f>
        <v>4.458017410839651</v>
      </c>
    </row>
    <row r="50">
      <c r="A50" s="2" t="inlineStr">
        <is>
          <t>WAF.AX</t>
        </is>
      </c>
      <c r="B50" s="2" t="inlineStr">
        <is>
          <t>West African Resources Ltd</t>
        </is>
      </c>
      <c r="C50" s="2" t="inlineStr">
        <is>
          <t>USD</t>
        </is>
      </c>
      <c r="D50" s="8">
        <f>IF('Year-end close'!D50="","",'Year-end close'!D50/IF('Year-end close'!$C50="GBp",100,1)/INDEX('FX year-end'!$B$2:$B$14,MATCH(IF('Year-end close'!$C50="GBp","GBP",'Year-end close'!$C50),'FX year-end'!$A$2:$A$14,0)))</f>
        <v>0.31956601376472143</v>
      </c>
      <c r="E50" s="8">
        <f>IF('Year-end close'!E50="","",'Year-end close'!E50/IF('Year-end close'!$C50="GBp",100,1)/INDEX('FX year-end'!$C$2:$C$14,MATCH(IF('Year-end close'!$C50="GBp","GBP",'Year-end close'!$C50),'FX year-end'!$A$2:$A$14,0)))</f>
        <v>0.17611835153222966</v>
      </c>
      <c r="F50" s="8">
        <f>IF('Year-end close'!F50="","",'Year-end close'!F50/IF('Year-end close'!$C50="GBp",100,1)/INDEX('FX year-end'!$D$2:$D$14,MATCH(IF('Year-end close'!$C50="GBp","GBP",'Year-end close'!$C50),'FX year-end'!$A$2:$A$14,0)))</f>
        <v>0.3010601518183333</v>
      </c>
      <c r="G50" s="8">
        <f>IF('Year-end close'!G50="","",'Year-end close'!G50/IF('Year-end close'!$C50="GBp",100,1)/INDEX('FX year-end'!$E$2:$E$14,MATCH(IF('Year-end close'!$C50="GBp","GBP",'Year-end close'!$C50),'FX year-end'!$A$2:$A$14,0)))</f>
        <v>0.8035309224842561</v>
      </c>
      <c r="H50" s="8">
        <f>IF('Year-end close'!H50="","",'Year-end close'!H50/IF('Year-end close'!$C50="GBp",100,1)/INDEX('FX year-end'!$F$2:$F$14,MATCH(IF('Year-end close'!$C50="GBp","GBP",'Year-end close'!$C50),'FX year-end'!$A$2:$A$14,0)))</f>
        <v>0.9569738746132231</v>
      </c>
      <c r="I50" s="8">
        <f>IF('Year-end close'!I50="","",'Year-end close'!I50/IF('Year-end close'!$C50="GBp",100,1)/INDEX('FX year-end'!$G$2:$G$14,MATCH(IF('Year-end close'!$C50="GBp","GBP",'Year-end close'!$C50),'FX year-end'!$A$2:$A$14,0)))</f>
        <v>0.7950050677344318</v>
      </c>
      <c r="J50" s="8">
        <f>IF('Year-end close'!J50="","",'Year-end close'!J50/IF('Year-end close'!$C50="GBp",100,1)/INDEX('FX year-end'!$H$2:$H$14,MATCH(IF('Year-end close'!$C50="GBp","GBP",'Year-end close'!$C50),'FX year-end'!$A$2:$A$14,0)))</f>
        <v>0.6450855403905463</v>
      </c>
      <c r="K50" s="8">
        <f>IF('Year-end close'!K50="","",'Year-end close'!K50/IF('Year-end close'!$C50="GBp",100,1)/INDEX('FX year-end'!$I$2:$I$14,MATCH(IF('Year-end close'!$C50="GBp","GBP",'Year-end close'!$C50),'FX year-end'!$A$2:$A$14,0)))</f>
        <v>0.8925700232068206</v>
      </c>
      <c r="L50" s="8">
        <f>IF('Year-end close'!L50="","",'Year-end close'!L50/IF('Year-end close'!$C50="GBp",100,1)/INDEX('FX year-end'!$J$2:$J$14,MATCH(IF('Year-end close'!$C50="GBp","GBP",'Year-end close'!$C50),'FX year-end'!$A$2:$A$14,0)))</f>
        <v>2.0093999730740406</v>
      </c>
      <c r="M50" s="8">
        <f>IF('Year-end close'!M50="","",'Year-end close'!M50/IF('Year-end close'!$C50="GBp",100,1)/INDEX('FX year-end'!$K$2:$K$14,MATCH(IF('Year-end close'!$C50="GBp","GBP",'Year-end close'!$C50),'FX year-end'!$A$2:$A$14,0)))</f>
        <v>2.4712159505756808</v>
      </c>
    </row>
    <row r="51">
      <c r="A51" s="2" t="inlineStr">
        <is>
          <t>WDO.TO</t>
        </is>
      </c>
      <c r="B51" s="2" t="inlineStr">
        <is>
          <t>Wesdome Gold Mines Ltd</t>
        </is>
      </c>
      <c r="C51" s="2" t="inlineStr">
        <is>
          <t>USD</t>
        </is>
      </c>
      <c r="D51" s="8">
        <f>IF('Year-end close'!D51="","",'Year-end close'!D51/IF('Year-end close'!$C51="GBp",100,1)/INDEX('FX year-end'!$B$2:$B$14,MATCH(IF('Year-end close'!$C51="GBp","GBP",'Year-end close'!$C51),'FX year-end'!$A$2:$A$14,0)))</f>
        <v>1.6792009868290159</v>
      </c>
      <c r="E51" s="8">
        <f>IF('Year-end close'!E51="","",'Year-end close'!E51/IF('Year-end close'!$C51="GBp",100,1)/INDEX('FX year-end'!$C$2:$C$14,MATCH(IF('Year-end close'!$C51="GBp","GBP",'Year-end close'!$C51),'FX year-end'!$A$2:$A$14,0)))</f>
        <v>3.25209220378799</v>
      </c>
      <c r="F51" s="8">
        <f>IF('Year-end close'!F51="","",'Year-end close'!F51/IF('Year-end close'!$C51="GBp",100,1)/INDEX('FX year-end'!$D$2:$D$14,MATCH(IF('Year-end close'!$C51="GBp","GBP",'Year-end close'!$C51),'FX year-end'!$A$2:$A$14,0)))</f>
        <v>7.786778555349677</v>
      </c>
      <c r="G51" s="8">
        <f>IF('Year-end close'!G51="","",'Year-end close'!G51/IF('Year-end close'!$C51="GBp",100,1)/INDEX('FX year-end'!$E$2:$E$14,MATCH(IF('Year-end close'!$C51="GBp","GBP",'Year-end close'!$C51),'FX year-end'!$A$2:$A$14,0)))</f>
        <v>8.328954488773165</v>
      </c>
      <c r="H51" s="8">
        <f>IF('Year-end close'!H51="","",'Year-end close'!H51/IF('Year-end close'!$C51="GBp",100,1)/INDEX('FX year-end'!$F$2:$F$14,MATCH(IF('Year-end close'!$C51="GBp","GBP",'Year-end close'!$C51),'FX year-end'!$A$2:$A$14,0)))</f>
        <v>9.031417720724397</v>
      </c>
      <c r="I51" s="8">
        <f>IF('Year-end close'!I51="","",'Year-end close'!I51/IF('Year-end close'!$C51="GBp",100,1)/INDEX('FX year-end'!$G$2:$G$14,MATCH(IF('Year-end close'!$C51="GBp","GBP",'Year-end close'!$C51),'FX year-end'!$A$2:$A$14,0)))</f>
        <v>5.51948051948052</v>
      </c>
      <c r="J51" s="8">
        <f>IF('Year-end close'!J51="","",'Year-end close'!J51/IF('Year-end close'!$C51="GBp",100,1)/INDEX('FX year-end'!$H$2:$H$14,MATCH(IF('Year-end close'!$C51="GBp","GBP",'Year-end close'!$C51),'FX year-end'!$A$2:$A$14,0)))</f>
        <v>5.827840599866965</v>
      </c>
      <c r="K51" s="8">
        <f>IF('Year-end close'!K51="","",'Year-end close'!K51/IF('Year-end close'!$C51="GBp",100,1)/INDEX('FX year-end'!$I$2:$I$14,MATCH(IF('Year-end close'!$C51="GBp","GBP",'Year-end close'!$C51),'FX year-end'!$A$2:$A$14,0)))</f>
        <v>8.996641068168199</v>
      </c>
      <c r="L51" s="8">
        <f>IF('Year-end close'!L51="","",'Year-end close'!L51/IF('Year-end close'!$C51="GBp",100,1)/INDEX('FX year-end'!$J$2:$J$14,MATCH(IF('Year-end close'!$C51="GBp","GBP",'Year-end close'!$C51),'FX year-end'!$A$2:$A$14,0)))</f>
        <v>16.604963964161318</v>
      </c>
      <c r="M51" s="8">
        <f>IF('Year-end close'!M51="","",'Year-end close'!M51/IF('Year-end close'!$C51="GBp",100,1)/INDEX('FX year-end'!$K$2:$K$14,MATCH(IF('Year-end close'!$C51="GBp","GBP",'Year-end close'!$C51),'FX year-end'!$A$2:$A$14,0)))</f>
        <v>25.87553450895855</v>
      </c>
    </row>
    <row r="52">
      <c r="A52" s="2" t="inlineStr">
        <is>
          <t>WGX.AX</t>
        </is>
      </c>
      <c r="B52" s="2" t="inlineStr">
        <is>
          <t>Westgold Resources Ltd</t>
        </is>
      </c>
      <c r="C52" s="2" t="inlineStr">
        <is>
          <t>USD</t>
        </is>
      </c>
      <c r="D52" s="8">
        <f>IF('Year-end close'!D52="","",'Year-end close'!D52/IF('Year-end close'!$C52="GBp",100,1)/INDEX('FX year-end'!$B$2:$B$14,MATCH(IF('Year-end close'!$C52="GBp","GBP",'Year-end close'!$C52),'FX year-end'!$A$2:$A$14,0)))</f>
        <v>1.3795898643013584</v>
      </c>
      <c r="E52" s="8">
        <f>IF('Year-end close'!E52="","",'Year-end close'!E52/IF('Year-end close'!$C52="GBp",100,1)/INDEX('FX year-end'!$C$2:$C$14,MATCH(IF('Year-end close'!$C52="GBp","GBP",'Year-end close'!$C52),'FX year-end'!$A$2:$A$14,0)))</f>
        <v>0.6199365973934484</v>
      </c>
      <c r="F52" s="8">
        <f>IF('Year-end close'!F52="","",'Year-end close'!F52/IF('Year-end close'!$C52="GBp",100,1)/INDEX('FX year-end'!$D$2:$D$14,MATCH(IF('Year-end close'!$C52="GBp","GBP",'Year-end close'!$C52),'FX year-end'!$A$2:$A$14,0)))</f>
        <v>1.6033203434046124</v>
      </c>
      <c r="G52" s="8">
        <f>IF('Year-end close'!G52="","",'Year-end close'!G52/IF('Year-end close'!$C52="GBp",100,1)/INDEX('FX year-end'!$E$2:$E$14,MATCH(IF('Year-end close'!$C52="GBp","GBP",'Year-end close'!$C52),'FX year-end'!$A$2:$A$14,0)))</f>
        <v>2.029972856802331</v>
      </c>
      <c r="H52" s="8">
        <f>IF('Year-end close'!H52="","",'Year-end close'!H52/IF('Year-end close'!$C52="GBp",100,1)/INDEX('FX year-end'!$F$2:$F$14,MATCH(IF('Year-end close'!$C52="GBp","GBP",'Year-end close'!$C52),'FX year-end'!$A$2:$A$14,0)))</f>
        <v>1.4789596244022538</v>
      </c>
      <c r="I52" s="8">
        <f>IF('Year-end close'!I52="","",'Year-end close'!I52/IF('Year-end close'!$C52="GBp",100,1)/INDEX('FX year-end'!$G$2:$G$14,MATCH(IF('Year-end close'!$C52="GBp","GBP",'Year-end close'!$C52),'FX year-end'!$A$2:$A$14,0)))</f>
        <v>0.5920250504405343</v>
      </c>
      <c r="J52" s="8">
        <f>IF('Year-end close'!J52="","",'Year-end close'!J52/IF('Year-end close'!$C52="GBp",100,1)/INDEX('FX year-end'!$H$2:$H$14,MATCH(IF('Year-end close'!$C52="GBp","GBP",'Year-end close'!$C52),'FX year-end'!$A$2:$A$14,0)))</f>
        <v>1.4881338392078214</v>
      </c>
      <c r="K52" s="8">
        <f>IF('Year-end close'!K52="","",'Year-end close'!K52/IF('Year-end close'!$C52="GBp",100,1)/INDEX('FX year-end'!$I$2:$I$14,MATCH(IF('Year-end close'!$C52="GBp","GBP",'Year-end close'!$C52),'FX year-end'!$A$2:$A$14,0)))</f>
        <v>1.7602600457667612</v>
      </c>
      <c r="L52" s="8">
        <f>IF('Year-end close'!L52="","",'Year-end close'!L52/IF('Year-end close'!$C52="GBp",100,1)/INDEX('FX year-end'!$J$2:$J$14,MATCH(IF('Year-end close'!$C52="GBp","GBP",'Year-end close'!$C52),'FX year-end'!$A$2:$A$14,0)))</f>
        <v>4.31351194219894</v>
      </c>
      <c r="M52" s="8">
        <f>IF('Year-end close'!M52="","",'Year-end close'!M52/IF('Year-end close'!$C52="GBp",100,1)/INDEX('FX year-end'!$K$2:$K$14,MATCH(IF('Year-end close'!$C52="GBp","GBP",'Year-end close'!$C52),'FX year-end'!$A$2:$A$14,0)))</f>
        <v>3.8331929233361413</v>
      </c>
    </row>
    <row r="53">
      <c r="A53" s="2" t="inlineStr">
        <is>
          <t>WMC.AX</t>
        </is>
      </c>
      <c r="B53" s="2" t="inlineStr">
        <is>
          <t>Wiluna Mining Corp Ltd (formerly Blackham Resources)</t>
        </is>
      </c>
      <c r="C53" s="2" t="inlineStr">
        <is>
          <t>USD</t>
        </is>
      </c>
      <c r="D53" s="8" t="str">
        <f>IF('Year-end close'!D53="","",'Year-end close'!D53/IF('Year-end close'!$C53="GBp",100,1)/INDEX('FX year-end'!$B$2:$B$14,MATCH(IF('Year-end close'!$C53="GBp","GBP",'Year-end close'!$C53),'FX year-end'!$A$2:$A$14,0)))</f>
        <v/>
      </c>
      <c r="E53" s="8" t="str">
        <f>IF('Year-end close'!E53="","",'Year-end close'!E53/IF('Year-end close'!$C53="GBp",100,1)/INDEX('FX year-end'!$C$2:$C$14,MATCH(IF('Year-end close'!$C53="GBp","GBP",'Year-end close'!$C53),'FX year-end'!$A$2:$A$14,0)))</f>
        <v/>
      </c>
      <c r="F53" s="8" t="str">
        <f>IF('Year-end close'!F53="","",'Year-end close'!F53/IF('Year-end close'!$C53="GBp",100,1)/INDEX('FX year-end'!$D$2:$D$14,MATCH(IF('Year-end close'!$C53="GBp","GBP",'Year-end close'!$C53),'FX year-end'!$A$2:$A$14,0)))</f>
        <v/>
      </c>
      <c r="G53" s="8" t="str">
        <f>IF('Year-end close'!G53="","",'Year-end close'!G53/IF('Year-end close'!$C53="GBp",100,1)/INDEX('FX year-end'!$E$2:$E$14,MATCH(IF('Year-end close'!$C53="GBp","GBP",'Year-end close'!$C53),'FX year-end'!$A$2:$A$14,0)))</f>
        <v/>
      </c>
      <c r="H53" s="8" t="str">
        <f>IF('Year-end close'!H53="","",'Year-end close'!H53/IF('Year-end close'!$C53="GBp",100,1)/INDEX('FX year-end'!$F$2:$F$14,MATCH(IF('Year-end close'!$C53="GBp","GBP",'Year-end close'!$C53),'FX year-end'!$A$2:$A$14,0)))</f>
        <v/>
      </c>
      <c r="I53" s="8" t="str">
        <f>IF('Year-end close'!I53="","",'Year-end close'!I53/IF('Year-end close'!$C53="GBp",100,1)/INDEX('FX year-end'!$G$2:$G$14,MATCH(IF('Year-end close'!$C53="GBp","GBP",'Year-end close'!$C53),'FX year-end'!$A$2:$A$14,0)))</f>
        <v/>
      </c>
      <c r="J53" s="8" t="str">
        <f>IF('Year-end close'!J53="","",'Year-end close'!J53/IF('Year-end close'!$C53="GBp",100,1)/INDEX('FX year-end'!$H$2:$H$14,MATCH(IF('Year-end close'!$C53="GBp","GBP",'Year-end close'!$C53),'FX year-end'!$A$2:$A$14,0)))</f>
        <v/>
      </c>
      <c r="K53" s="8" t="str">
        <f>IF('Year-end close'!K53="","",'Year-end close'!K53/IF('Year-end close'!$C53="GBp",100,1)/INDEX('FX year-end'!$I$2:$I$14,MATCH(IF('Year-end close'!$C53="GBp","GBP",'Year-end close'!$C53),'FX year-end'!$A$2:$A$14,0)))</f>
        <v/>
      </c>
      <c r="L53" s="8" t="str">
        <f>IF('Year-end close'!L53="","",'Year-end close'!L53/IF('Year-end close'!$C53="GBp",100,1)/INDEX('FX year-end'!$J$2:$J$14,MATCH(IF('Year-end close'!$C53="GBp","GBP",'Year-end close'!$C53),'FX year-end'!$A$2:$A$14,0)))</f>
        <v/>
      </c>
      <c r="M53" s="8" t="str">
        <f>IF('Year-end close'!M53="","",'Year-end close'!M53/IF('Year-end close'!$C53="GBp",100,1)/INDEX('FX year-end'!$K$2:$K$14,MATCH(IF('Year-end close'!$C53="GBp","GBP",'Year-end close'!$C53),'FX year-end'!$A$2:$A$14,0)))</f>
        <v/>
      </c>
    </row>
    <row r="54"/>
    <row r="55">
      <c r="A55" s="2" t="inlineStr">
        <is>
          <t>Year-end close / year-end FX rate (pence divided by 100 first).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55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32" customWidth="1" min="2" max="2"/>
    <col width="9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</cols>
  <sheetData>
    <row r="1">
      <c r="A1" s="1" t="inlineStr">
        <is>
          <t>ticker</t>
        </is>
      </c>
      <c r="B1" s="1" t="inlineStr">
        <is>
          <t>company</t>
        </is>
      </c>
      <c r="C1" s="1" t="inlineStr">
        <is>
          <t>currency</t>
        </is>
      </c>
      <c r="D1" s="1" t="inlineStr">
        <is>
          <t>2019</t>
        </is>
      </c>
      <c r="E1" s="1" t="inlineStr">
        <is>
          <t>2020</t>
        </is>
      </c>
      <c r="F1" s="1" t="inlineStr">
        <is>
          <t>2021</t>
        </is>
      </c>
      <c r="G1" s="1" t="inlineStr">
        <is>
          <t>2022</t>
        </is>
      </c>
      <c r="H1" s="1" t="inlineStr">
        <is>
          <t>2023</t>
        </is>
      </c>
      <c r="I1" s="1" t="inlineStr">
        <is>
          <t>2024</t>
        </is>
      </c>
      <c r="J1" s="1" t="inlineStr">
        <is>
          <t>2025</t>
        </is>
      </c>
      <c r="K1" s="1" t="inlineStr">
        <is>
          <t>2026</t>
        </is>
      </c>
      <c r="L1" s="1" t="inlineStr">
        <is>
          <t>2027</t>
        </is>
      </c>
      <c r="M1" s="1" t="inlineStr">
        <is>
          <t>2028</t>
        </is>
      </c>
    </row>
    <row r="2">
      <c r="A2" s="2" t="inlineStr">
        <is>
          <t>2259.HK</t>
        </is>
      </c>
      <c r="B2" s="2" t="inlineStr">
        <is>
          <t>Zijin Gold International Co Ltd</t>
        </is>
      </c>
      <c r="C2" s="2" t="inlineStr">
        <is>
          <t>HKD</t>
        </is>
      </c>
      <c r="D2" s="9" t="str">
        <f>IF('Year-end close'!D2="","",'Year-end close'!D2*EXP((INDEX('Rates 2y'!$B$2:$B$14,MATCH(IF($C2="GBp","GBP",$C2),'Rates 2y'!$A$2:$A$14,0))-'Dividend yield'!D2)*2))</f>
        <v/>
      </c>
      <c r="E2" s="9" t="str">
        <f>IF('Year-end close'!E2="","",'Year-end close'!E2*EXP((INDEX('Rates 2y'!$C$2:$C$14,MATCH(IF($C2="GBp","GBP",$C2),'Rates 2y'!$A$2:$A$14,0))-'Dividend yield'!E2)*2))</f>
        <v/>
      </c>
      <c r="F2" s="9" t="str">
        <f>IF('Year-end close'!F2="","",'Year-end close'!F2*EXP((INDEX('Rates 2y'!$D$2:$D$14,MATCH(IF($C2="GBp","GBP",$C2),'Rates 2y'!$A$2:$A$14,0))-'Dividend yield'!F2)*2))</f>
        <v/>
      </c>
      <c r="G2" s="9" t="str">
        <f>IF('Year-end close'!G2="","",'Year-end close'!G2*EXP((INDEX('Rates 2y'!$E$2:$E$14,MATCH(IF($C2="GBp","GBP",$C2),'Rates 2y'!$A$2:$A$14,0))-'Dividend yield'!G2)*2))</f>
        <v/>
      </c>
      <c r="H2" s="9" t="str">
        <f>IF('Year-end close'!H2="","",'Year-end close'!H2*EXP((INDEX('Rates 2y'!$F$2:$F$14,MATCH(IF($C2="GBp","GBP",$C2),'Rates 2y'!$A$2:$A$14,0))-'Dividend yield'!H2)*2))</f>
        <v/>
      </c>
      <c r="I2" s="9" t="str">
        <f>IF('Year-end close'!I2="","",'Year-end close'!I2*EXP((INDEX('Rates 2y'!$G$2:$G$14,MATCH(IF($C2="GBp","GBP",$C2),'Rates 2y'!$A$2:$A$14,0))-'Dividend yield'!I2)*2))</f>
        <v/>
      </c>
      <c r="J2" s="9" t="str">
        <f>IF('Year-end close'!J2="","",'Year-end close'!J2*EXP((INDEX('Rates 2y'!$H$2:$H$14,MATCH(IF($C2="GBp","GBP",$C2),'Rates 2y'!$A$2:$A$14,0))-'Dividend yield'!J2)*2))</f>
        <v/>
      </c>
      <c r="K2" s="9" t="str">
        <f>IF('Year-end close'!K2="","",'Year-end close'!K2*EXP((INDEX('Rates 2y'!$I$2:$I$14,MATCH(IF($C2="GBp","GBP",$C2),'Rates 2y'!$A$2:$A$14,0))-'Dividend yield'!K2)*2))</f>
        <v/>
      </c>
      <c r="L2" s="9">
        <f>IF('Year-end close'!L2="","",'Year-end close'!L2*EXP((INDEX('Rates 2y'!$J$2:$J$14,MATCH(IF($C2="GBp","GBP",$C2),'Rates 2y'!$A$2:$A$14,0))-'Dividend yield'!L2)*2))</f>
        <v>154.0035335554539</v>
      </c>
      <c r="M2" s="9">
        <f>IF('Year-end close'!M2="","",'Year-end close'!M2*EXP((INDEX('Rates 2y'!$K$2:$K$14,MATCH(IF($C2="GBp","GBP",$C2),'Rates 2y'!$A$2:$A$14,0))-'Dividend yield'!M2)*2))</f>
        <v>144.5485860332779</v>
      </c>
    </row>
    <row r="3">
      <c r="A3" s="2" t="inlineStr">
        <is>
          <t>600988.SS</t>
        </is>
      </c>
      <c r="B3" s="2" t="inlineStr">
        <is>
          <t>Chifeng Jilong Gold Mining Co Ltd</t>
        </is>
      </c>
      <c r="C3" s="2" t="inlineStr">
        <is>
          <t>CNY</t>
        </is>
      </c>
      <c r="D3" s="9">
        <f>IF('Year-end close'!D3="","",'Year-end close'!D3*EXP((INDEX('Rates 2y'!$B$2:$B$14,MATCH(IF($C3="GBp","GBP",$C3),'Rates 2y'!$A$2:$A$14,0))-'Dividend yield'!D3)*2))</f>
        <v>6.906952687277155</v>
      </c>
      <c r="E3" s="9">
        <f>IF('Year-end close'!E3="","",'Year-end close'!E3*EXP((INDEX('Rates 2y'!$C$2:$C$14,MATCH(IF($C3="GBp","GBP",$C3),'Rates 2y'!$A$2:$A$14,0))-'Dividend yield'!E3)*2))</f>
        <v>4.21138356259877</v>
      </c>
      <c r="F3" s="9">
        <f>IF('Year-end close'!F3="","",'Year-end close'!F3*EXP((INDEX('Rates 2y'!$D$2:$D$14,MATCH(IF($C3="GBp","GBP",$C3),'Rates 2y'!$A$2:$A$14,0))-'Dividend yield'!F3)*2))</f>
        <v>5.298479984842225</v>
      </c>
      <c r="G3" s="9">
        <f>IF('Year-end close'!G3="","",'Year-end close'!G3*EXP((INDEX('Rates 2y'!$E$2:$E$14,MATCH(IF($C3="GBp","GBP",$C3),'Rates 2y'!$A$2:$A$14,0))-'Dividend yield'!G3)*2))</f>
        <v>18.903729224597484</v>
      </c>
      <c r="H3" s="9">
        <f>IF('Year-end close'!H3="","",'Year-end close'!H3*EXP((INDEX('Rates 2y'!$F$2:$F$14,MATCH(IF($C3="GBp","GBP",$C3),'Rates 2y'!$A$2:$A$14,0))-'Dividend yield'!H3)*2))</f>
        <v>15.601408723258364</v>
      </c>
      <c r="I3" s="9">
        <f>IF('Year-end close'!I3="","",'Year-end close'!I3*EXP((INDEX('Rates 2y'!$G$2:$G$14,MATCH(IF($C3="GBp","GBP",$C3),'Rates 2y'!$A$2:$A$14,0))-'Dividend yield'!I3)*2))</f>
        <v>18.899693117772717</v>
      </c>
      <c r="J3" s="9">
        <f>IF('Year-end close'!J3="","",'Year-end close'!J3*EXP((INDEX('Rates 2y'!$H$2:$H$14,MATCH(IF($C3="GBp","GBP",$C3),'Rates 2y'!$A$2:$A$14,0))-'Dividend yield'!J3)*2))</f>
        <v>14.640202791987099</v>
      </c>
      <c r="K3" s="9">
        <f>IF('Year-end close'!K3="","",'Year-end close'!K3*EXP((INDEX('Rates 2y'!$I$2:$I$14,MATCH(IF($C3="GBp","GBP",$C3),'Rates 2y'!$A$2:$A$14,0))-'Dividend yield'!K3)*2))</f>
        <v>15.855330208183146</v>
      </c>
      <c r="L3" s="9">
        <f>IF('Year-end close'!L3="","",'Year-end close'!L3*EXP((INDEX('Rates 2y'!$J$2:$J$14,MATCH(IF($C3="GBp","GBP",$C3),'Rates 2y'!$A$2:$A$14,0))-'Dividend yield'!L3)*2))</f>
        <v>31.79965132080586</v>
      </c>
      <c r="M3" s="9">
        <f>IF('Year-end close'!M3="","",'Year-end close'!M3*EXP((INDEX('Rates 2y'!$K$2:$K$14,MATCH(IF($C3="GBp","GBP",$C3),'Rates 2y'!$A$2:$A$14,0))-'Dividend yield'!M3)*2))</f>
        <v>40.770837873662316</v>
      </c>
    </row>
    <row r="4">
      <c r="A4" s="2" t="inlineStr">
        <is>
          <t>AAUC.TO</t>
        </is>
      </c>
      <c r="B4" s="2" t="inlineStr">
        <is>
          <t>Allied Gold Corp</t>
        </is>
      </c>
      <c r="C4" s="2" t="inlineStr">
        <is>
          <t>CAD</t>
        </is>
      </c>
      <c r="D4" s="9" t="str">
        <f>IF('Year-end close'!D4="","",'Year-end close'!D4*EXP((INDEX('Rates 2y'!$B$2:$B$14,MATCH(IF($C4="GBp","GBP",$C4),'Rates 2y'!$A$2:$A$14,0))-'Dividend yield'!D4)*2))</f>
        <v/>
      </c>
      <c r="E4" s="9" t="str">
        <f>IF('Year-end close'!E4="","",'Year-end close'!E4*EXP((INDEX('Rates 2y'!$C$2:$C$14,MATCH(IF($C4="GBp","GBP",$C4),'Rates 2y'!$A$2:$A$14,0))-'Dividend yield'!E4)*2))</f>
        <v/>
      </c>
      <c r="F4" s="9" t="str">
        <f>IF('Year-end close'!F4="","",'Year-end close'!F4*EXP((INDEX('Rates 2y'!$D$2:$D$14,MATCH(IF($C4="GBp","GBP",$C4),'Rates 2y'!$A$2:$A$14,0))-'Dividend yield'!F4)*2))</f>
        <v/>
      </c>
      <c r="G4" s="9" t="str">
        <f>IF('Year-end close'!G4="","",'Year-end close'!G4*EXP((INDEX('Rates 2y'!$E$2:$E$14,MATCH(IF($C4="GBp","GBP",$C4),'Rates 2y'!$A$2:$A$14,0))-'Dividend yield'!G4)*2))</f>
        <v/>
      </c>
      <c r="H4" s="9" t="str">
        <f>IF('Year-end close'!H4="","",'Year-end close'!H4*EXP((INDEX('Rates 2y'!$F$2:$F$14,MATCH(IF($C4="GBp","GBP",$C4),'Rates 2y'!$A$2:$A$14,0))-'Dividend yield'!H4)*2))</f>
        <v/>
      </c>
      <c r="I4" s="9" t="str">
        <f>IF('Year-end close'!I4="","",'Year-end close'!I4*EXP((INDEX('Rates 2y'!$G$2:$G$14,MATCH(IF($C4="GBp","GBP",$C4),'Rates 2y'!$A$2:$A$14,0))-'Dividend yield'!I4)*2))</f>
        <v/>
      </c>
      <c r="J4" s="9">
        <f>IF('Year-end close'!J4="","",'Year-end close'!J4*EXP((INDEX('Rates 2y'!$H$2:$H$14,MATCH(IF($C4="GBp","GBP",$C4),'Rates 2y'!$A$2:$A$14,0))-'Dividend yield'!J4)*2))</f>
        <v>3.793222939257988</v>
      </c>
      <c r="K4" s="9">
        <f>IF('Year-end close'!K4="","",'Year-end close'!K4*EXP((INDEX('Rates 2y'!$I$2:$I$14,MATCH(IF($C4="GBp","GBP",$C4),'Rates 2y'!$A$2:$A$14,0))-'Dividend yield'!K4)*2))</f>
        <v>3.615796962836478</v>
      </c>
      <c r="L4" s="9">
        <f>IF('Year-end close'!L4="","",'Year-end close'!L4*EXP((INDEX('Rates 2y'!$J$2:$J$14,MATCH(IF($C4="GBp","GBP",$C4),'Rates 2y'!$A$2:$A$14,0))-'Dividend yield'!L4)*2))</f>
        <v>33.12866710204532</v>
      </c>
      <c r="M4" s="9">
        <f>IF('Year-end close'!M4="","",'Year-end close'!M4*EXP((INDEX('Rates 2y'!$K$2:$K$14,MATCH(IF($C4="GBp","GBP",$C4),'Rates 2y'!$A$2:$A$14,0))-'Dividend yield'!M4)*2))</f>
        <v>33.23400467629666</v>
      </c>
    </row>
    <row r="5">
      <c r="A5" s="2" t="inlineStr">
        <is>
          <t>AGI.TO</t>
        </is>
      </c>
      <c r="B5" s="2" t="inlineStr">
        <is>
          <t>Alamos Gold Inc</t>
        </is>
      </c>
      <c r="C5" s="2" t="inlineStr">
        <is>
          <t>CAD</t>
        </is>
      </c>
      <c r="D5" s="9">
        <f>IF('Year-end close'!D5="","",'Year-end close'!D5*EXP((INDEX('Rates 2y'!$B$2:$B$14,MATCH(IF($C5="GBp","GBP",$C5),'Rates 2y'!$A$2:$A$14,0))-'Dividend yield'!D5)*2))</f>
        <v>8.419983746138142</v>
      </c>
      <c r="E5" s="9">
        <f>IF('Year-end close'!E5="","",'Year-end close'!E5*EXP((INDEX('Rates 2y'!$C$2:$C$14,MATCH(IF($C5="GBp","GBP",$C5),'Rates 2y'!$A$2:$A$14,0))-'Dividend yield'!E5)*2))</f>
        <v>5.042408988538143</v>
      </c>
      <c r="F5" s="9">
        <f>IF('Year-end close'!F5="","",'Year-end close'!F5*EXP((INDEX('Rates 2y'!$D$2:$D$14,MATCH(IF($C5="GBp","GBP",$C5),'Rates 2y'!$A$2:$A$14,0))-'Dividend yield'!F5)*2))</f>
        <v>7.993914062672285</v>
      </c>
      <c r="G5" s="9">
        <f>IF('Year-end close'!G5="","",'Year-end close'!G5*EXP((INDEX('Rates 2y'!$E$2:$E$14,MATCH(IF($C5="GBp","GBP",$C5),'Rates 2y'!$A$2:$A$14,0))-'Dividend yield'!G5)*2))</f>
        <v>10.991225677614663</v>
      </c>
      <c r="H5" s="9">
        <f>IF('Year-end close'!H5="","",'Year-end close'!H5*EXP((INDEX('Rates 2y'!$F$2:$F$14,MATCH(IF($C5="GBp","GBP",$C5),'Rates 2y'!$A$2:$A$14,0))-'Dividend yield'!H5)*2))</f>
        <v>9.665084893263924</v>
      </c>
      <c r="I5" s="9">
        <f>IF('Year-end close'!I5="","",'Year-end close'!I5*EXP((INDEX('Rates 2y'!$G$2:$G$14,MATCH(IF($C5="GBp","GBP",$C5),'Rates 2y'!$A$2:$A$14,0))-'Dividend yield'!I5)*2))</f>
        <v>14.56363457907356</v>
      </c>
      <c r="J5" s="9">
        <f>IF('Year-end close'!J5="","",'Year-end close'!J5*EXP((INDEX('Rates 2y'!$H$2:$H$14,MATCH(IF($C5="GBp","GBP",$C5),'Rates 2y'!$A$2:$A$14,0))-'Dividend yield'!J5)*2))</f>
        <v>18.96830488041688</v>
      </c>
      <c r="K5" s="9">
        <f>IF('Year-end close'!K5="","",'Year-end close'!K5*EXP((INDEX('Rates 2y'!$I$2:$I$14,MATCH(IF($C5="GBp","GBP",$C5),'Rates 2y'!$A$2:$A$14,0))-'Dividend yield'!K5)*2))</f>
        <v>27.831463612058748</v>
      </c>
      <c r="L5" s="9">
        <f>IF('Year-end close'!L5="","",'Year-end close'!L5*EXP((INDEX('Rates 2y'!$J$2:$J$14,MATCH(IF($C5="GBp","GBP",$C5),'Rates 2y'!$A$2:$A$14,0))-'Dividend yield'!L5)*2))</f>
        <v>55.534692388768235</v>
      </c>
      <c r="M5" s="9">
        <f>IF('Year-end close'!M5="","",'Year-end close'!M5*EXP((INDEX('Rates 2y'!$K$2:$K$14,MATCH(IF($C5="GBp","GBP",$C5),'Rates 2y'!$A$2:$A$14,0))-'Dividend yield'!M5)*2))</f>
        <v>51.08990265989248</v>
      </c>
    </row>
    <row r="6">
      <c r="A6" s="2" t="inlineStr">
        <is>
          <t>ALK.AX</t>
        </is>
      </c>
      <c r="B6" s="2" t="inlineStr">
        <is>
          <t>Alkane Resources Ltd</t>
        </is>
      </c>
      <c r="C6" s="2" t="inlineStr">
        <is>
          <t>AUD</t>
        </is>
      </c>
      <c r="D6" s="9">
        <f>IF('Year-end close'!D6="","",'Year-end close'!D6*EXP((INDEX('Rates 2y'!$B$2:$B$14,MATCH(IF($C6="GBp","GBP",$C6),'Rates 2y'!$A$2:$A$14,0))-'Dividend yield'!D6)*2))</f>
        <v>0.3434675554834881</v>
      </c>
      <c r="E6" s="9">
        <f>IF('Year-end close'!E6="","",'Year-end close'!E6*EXP((INDEX('Rates 2y'!$C$2:$C$14,MATCH(IF($C6="GBp","GBP",$C6),'Rates 2y'!$A$2:$A$14,0))-'Dividend yield'!E6)*2))</f>
        <v>0.20255259041130705</v>
      </c>
      <c r="F6" s="9">
        <f>IF('Year-end close'!F6="","",'Year-end close'!F6*EXP((INDEX('Rates 2y'!$D$2:$D$14,MATCH(IF($C6="GBp","GBP",$C6),'Rates 2y'!$A$2:$A$14,0))-'Dividend yield'!F6)*2))</f>
        <v>0.5959307900809463</v>
      </c>
      <c r="G6" s="9">
        <f>IF('Year-end close'!G6="","",'Year-end close'!G6*EXP((INDEX('Rates 2y'!$E$2:$E$14,MATCH(IF($C6="GBp","GBP",$C6),'Rates 2y'!$A$2:$A$14,0))-'Dividend yield'!G6)*2))</f>
        <v>0.9569119112739702</v>
      </c>
      <c r="H6" s="9">
        <f>IF('Year-end close'!H6="","",'Year-end close'!H6*EXP((INDEX('Rates 2y'!$F$2:$F$14,MATCH(IF($C6="GBp","GBP",$C6),'Rates 2y'!$A$2:$A$14,0))-'Dividend yield'!H6)*2))</f>
        <v>0.9260461443124612</v>
      </c>
      <c r="I6" s="9">
        <f>IF('Year-end close'!I6="","",'Year-end close'!I6*EXP((INDEX('Rates 2y'!$G$2:$G$14,MATCH(IF($C6="GBp","GBP",$C6),'Rates 2y'!$A$2:$A$14,0))-'Dividend yield'!I6)*2))</f>
        <v>0.5737918769710059</v>
      </c>
      <c r="J6" s="9">
        <f>IF('Year-end close'!J6="","",'Year-end close'!J6*EXP((INDEX('Rates 2y'!$H$2:$H$14,MATCH(IF($C6="GBp","GBP",$C6),'Rates 2y'!$A$2:$A$14,0))-'Dividend yield'!J6)*2))</f>
        <v>0.705308457600024</v>
      </c>
      <c r="K6" s="9">
        <f>IF('Year-end close'!K6="","",'Year-end close'!K6*EXP((INDEX('Rates 2y'!$I$2:$I$14,MATCH(IF($C6="GBp","GBP",$C6),'Rates 2y'!$A$2:$A$14,0))-'Dividend yield'!K6)*2))</f>
        <v>0.5508214589602263</v>
      </c>
      <c r="L6" s="9">
        <f>IF('Year-end close'!L6="","",'Year-end close'!L6*EXP((INDEX('Rates 2y'!$J$2:$J$14,MATCH(IF($C6="GBp","GBP",$C6),'Rates 2y'!$A$2:$A$14,0))-'Dividend yield'!L6)*2))</f>
        <v>1.4541099759112617</v>
      </c>
      <c r="M6" s="9">
        <f>IF('Year-end close'!M6="","",'Year-end close'!M6*EXP((INDEX('Rates 2y'!$K$2:$K$14,MATCH(IF($C6="GBp","GBP",$C6),'Rates 2y'!$A$2:$A$14,0))-'Dividend yield'!M6)*2))</f>
        <v>2.0059361079007787</v>
      </c>
    </row>
    <row r="7">
      <c r="A7" s="2" t="inlineStr">
        <is>
          <t>AMRQ.L</t>
        </is>
      </c>
      <c r="B7" s="2" t="inlineStr">
        <is>
          <t>Amaroq Minerals Ltd</t>
        </is>
      </c>
      <c r="C7" s="2" t="inlineStr">
        <is>
          <t>GBp</t>
        </is>
      </c>
      <c r="D7" s="9" t="str">
        <f>IF('Year-end close'!D7="","",'Year-end close'!D7*EXP((INDEX('Rates 2y'!$B$2:$B$14,MATCH(IF($C7="GBp","GBP",$C7),'Rates 2y'!$A$2:$A$14,0))-'Dividend yield'!D7)*2))</f>
        <v/>
      </c>
      <c r="E7" s="9" t="str">
        <f>IF('Year-end close'!E7="","",'Year-end close'!E7*EXP((INDEX('Rates 2y'!$C$2:$C$14,MATCH(IF($C7="GBp","GBP",$C7),'Rates 2y'!$A$2:$A$14,0))-'Dividend yield'!E7)*2))</f>
        <v/>
      </c>
      <c r="F7" s="9" t="str">
        <f>IF('Year-end close'!F7="","",'Year-end close'!F7*EXP((INDEX('Rates 2y'!$D$2:$D$14,MATCH(IF($C7="GBp","GBP",$C7),'Rates 2y'!$A$2:$A$14,0))-'Dividend yield'!F7)*2))</f>
        <v/>
      </c>
      <c r="G7" s="9">
        <f>IF('Year-end close'!G7="","",'Year-end close'!G7*EXP((INDEX('Rates 2y'!$E$2:$E$14,MATCH(IF($C7="GBp","GBP",$C7),'Rates 2y'!$A$2:$A$14,0))-'Dividend yield'!G7)*2))</f>
        <v>44.366700049900096</v>
      </c>
      <c r="H7" s="9">
        <f>IF('Year-end close'!H7="","",'Year-end close'!H7*EXP((INDEX('Rates 2y'!$F$2:$F$14,MATCH(IF($C7="GBp","GBP",$C7),'Rates 2y'!$A$2:$A$14,0))-'Dividend yield'!H7)*2))</f>
        <v>34.98639683337798</v>
      </c>
      <c r="I7" s="9">
        <f>IF('Year-end close'!I7="","",'Year-end close'!I7*EXP((INDEX('Rates 2y'!$G$2:$G$14,MATCH(IF($C7="GBp","GBP",$C7),'Rates 2y'!$A$2:$A$14,0))-'Dividend yield'!I7)*2))</f>
        <v>44.598196778648266</v>
      </c>
      <c r="J7" s="9">
        <f>IF('Year-end close'!J7="","",'Year-end close'!J7*EXP((INDEX('Rates 2y'!$H$2:$H$14,MATCH(IF($C7="GBp","GBP",$C7),'Rates 2y'!$A$2:$A$14,0))-'Dividend yield'!J7)*2))</f>
        <v>68.78872879735988</v>
      </c>
      <c r="K7" s="9">
        <f>IF('Year-end close'!K7="","",'Year-end close'!K7*EXP((INDEX('Rates 2y'!$I$2:$I$14,MATCH(IF($C7="GBp","GBP",$C7),'Rates 2y'!$A$2:$A$14,0))-'Dividend yield'!K7)*2))</f>
        <v>111.38278844687615</v>
      </c>
      <c r="L7" s="9">
        <f>IF('Year-end close'!L7="","",'Year-end close'!L7*EXP((INDEX('Rates 2y'!$J$2:$J$14,MATCH(IF($C7="GBp","GBP",$C7),'Rates 2y'!$A$2:$A$14,0))-'Dividend yield'!L7)*2))</f>
        <v>117.48937244642484</v>
      </c>
      <c r="M7" s="9">
        <f>IF('Year-end close'!M7="","",'Year-end close'!M7*EXP((INDEX('Rates 2y'!$K$2:$K$14,MATCH(IF($C7="GBp","GBP",$C7),'Rates 2y'!$A$2:$A$14,0))-'Dividend yield'!M7)*2))</f>
        <v>128.80715603071346</v>
      </c>
    </row>
    <row r="8">
      <c r="A8" s="2" t="inlineStr">
        <is>
          <t>AR.TO</t>
        </is>
      </c>
      <c r="B8" s="2" t="inlineStr">
        <is>
          <t>Argonaut Gold Inc</t>
        </is>
      </c>
      <c r="C8" s="2" t="inlineStr">
        <is>
          <t>CAD</t>
        </is>
      </c>
      <c r="D8" s="9">
        <f>IF('Year-end close'!D8="","",'Year-end close'!D8*EXP((INDEX('Rates 2y'!$B$2:$B$14,MATCH(IF($C8="GBp","GBP",$C8),'Rates 2y'!$A$2:$A$14,0))-'Dividend yield'!D8)*2))</f>
        <v>2.482506505193004</v>
      </c>
      <c r="E8" s="9">
        <f>IF('Year-end close'!E8="","",'Year-end close'!E8*EXP((INDEX('Rates 2y'!$C$2:$C$14,MATCH(IF($C8="GBp","GBP",$C8),'Rates 2y'!$A$2:$A$14,0))-'Dividend yield'!E8)*2))</f>
        <v>1.6191249051082073</v>
      </c>
      <c r="F8" s="9">
        <f>IF('Year-end close'!F8="","",'Year-end close'!F8*EXP((INDEX('Rates 2y'!$D$2:$D$14,MATCH(IF($C8="GBp","GBP",$C8),'Rates 2y'!$A$2:$A$14,0))-'Dividend yield'!F8)*2))</f>
        <v>2.01743998311983</v>
      </c>
      <c r="G8" s="9">
        <f>IF('Year-end close'!G8="","",'Year-end close'!G8*EXP((INDEX('Rates 2y'!$E$2:$E$14,MATCH(IF($C8="GBp","GBP",$C8),'Rates 2y'!$A$2:$A$14,0))-'Dividend yield'!G8)*2))</f>
        <v>2.750981949255917</v>
      </c>
      <c r="H8" s="9">
        <f>IF('Year-end close'!H8="","",'Year-end close'!H8*EXP((INDEX('Rates 2y'!$F$2:$F$14,MATCH(IF($C8="GBp","GBP",$C8),'Rates 2y'!$A$2:$A$14,0))-'Dividend yield'!H8)*2))</f>
        <v>2.4460359566817793</v>
      </c>
      <c r="I8" s="9">
        <f>IF('Year-end close'!I8="","",'Year-end close'!I8*EXP((INDEX('Rates 2y'!$G$2:$G$14,MATCH(IF($C8="GBp","GBP",$C8),'Rates 2y'!$A$2:$A$14,0))-'Dividend yield'!I8)*2))</f>
        <v>0.5638728662147154</v>
      </c>
      <c r="J8" s="9">
        <f>IF('Year-end close'!J8="","",'Year-end close'!J8*EXP((INDEX('Rates 2y'!$H$2:$H$14,MATCH(IF($C8="GBp","GBP",$C8),'Rates 2y'!$A$2:$A$14,0))-'Dividend yield'!J8)*2))</f>
        <v>0.5079244391599016</v>
      </c>
      <c r="K8" s="9">
        <f>IF('Year-end close'!K8="","",'Year-end close'!K8*EXP((INDEX('Rates 2y'!$I$2:$I$14,MATCH(IF($C8="GBp","GBP",$C8),'Rates 2y'!$A$2:$A$14,0))-'Dividend yield'!K8)*2))</f>
        <v>0.5513825280571756</v>
      </c>
      <c r="L8" s="9" t="str">
        <f>IF('Year-end close'!L8="","",'Year-end close'!L8*EXP((INDEX('Rates 2y'!$J$2:$J$14,MATCH(IF($C8="GBp","GBP",$C8),'Rates 2y'!$A$2:$A$14,0))-'Dividend yield'!L8)*2))</f>
        <v/>
      </c>
      <c r="M8" s="9" t="str">
        <f>IF('Year-end close'!M8="","",'Year-end close'!M8*EXP((INDEX('Rates 2y'!$K$2:$K$14,MATCH(IF($C8="GBp","GBP",$C8),'Rates 2y'!$A$2:$A$14,0))-'Dividend yield'!M8)*2))</f>
        <v/>
      </c>
    </row>
    <row r="9">
      <c r="A9" s="2" t="inlineStr">
        <is>
          <t>ASE.V</t>
        </is>
      </c>
      <c r="B9" s="2" t="inlineStr">
        <is>
          <t>Asante Gold Corp</t>
        </is>
      </c>
      <c r="C9" s="2" t="inlineStr">
        <is>
          <t>CAD</t>
        </is>
      </c>
      <c r="D9" s="9">
        <f>IF('Year-end close'!D9="","",'Year-end close'!D9*EXP((INDEX('Rates 2y'!$B$2:$B$14,MATCH(IF($C9="GBp","GBP",$C9),'Rates 2y'!$A$2:$A$14,0))-'Dividend yield'!D9)*2))</f>
        <v>0.07757832828728138</v>
      </c>
      <c r="E9" s="9">
        <f>IF('Year-end close'!E9="","",'Year-end close'!E9*EXP((INDEX('Rates 2y'!$C$2:$C$14,MATCH(IF($C9="GBp","GBP",$C9),'Rates 2y'!$A$2:$A$14,0))-'Dividend yield'!E9)*2))</f>
        <v>0.03113701740592706</v>
      </c>
      <c r="F9" s="9">
        <f>IF('Year-end close'!F9="","",'Year-end close'!F9*EXP((INDEX('Rates 2y'!$D$2:$D$14,MATCH(IF($C9="GBp","GBP",$C9),'Rates 2y'!$A$2:$A$14,0))-'Dividend yield'!F9)*2))</f>
        <v>0.046556307302765304</v>
      </c>
      <c r="G9" s="9">
        <f>IF('Year-end close'!G9="","",'Year-end close'!G9*EXP((INDEX('Rates 2y'!$E$2:$E$14,MATCH(IF($C9="GBp","GBP",$C9),'Rates 2y'!$A$2:$A$14,0))-'Dividend yield'!G9)*2))</f>
        <v>0.11044088117450761</v>
      </c>
      <c r="H9" s="9">
        <f>IF('Year-end close'!H9="","",'Year-end close'!H9*EXP((INDEX('Rates 2y'!$F$2:$F$14,MATCH(IF($C9="GBp","GBP",$C9),'Rates 2y'!$A$2:$A$14,0))-'Dividend yield'!H9)*2))</f>
        <v>1.2434016113132378</v>
      </c>
      <c r="I9" s="9">
        <f>IF('Year-end close'!I9="","",'Year-end close'!I9*EXP((INDEX('Rates 2y'!$G$2:$G$14,MATCH(IF($C9="GBp","GBP",$C9),'Rates 2y'!$A$2:$A$14,0))-'Dividend yield'!I9)*2))</f>
        <v>1.485588128296462</v>
      </c>
      <c r="J9" s="9">
        <f>IF('Year-end close'!J9="","",'Year-end close'!J9*EXP((INDEX('Rates 2y'!$H$2:$H$14,MATCH(IF($C9="GBp","GBP",$C9),'Rates 2y'!$A$2:$A$14,0))-'Dividend yield'!J9)*2))</f>
        <v>1.5345802204405536</v>
      </c>
      <c r="K9" s="9">
        <f>IF('Year-end close'!K9="","",'Year-end close'!K9*EXP((INDEX('Rates 2y'!$I$2:$I$14,MATCH(IF($C9="GBp","GBP",$C9),'Rates 2y'!$A$2:$A$14,0))-'Dividend yield'!K9)*2))</f>
        <v>1.1133685662692967</v>
      </c>
      <c r="L9" s="9">
        <f>IF('Year-end close'!L9="","",'Year-end close'!L9*EXP((INDEX('Rates 2y'!$J$2:$J$14,MATCH(IF($C9="GBp","GBP",$C9),'Rates 2y'!$A$2:$A$14,0))-'Dividend yield'!L9)*2))</f>
        <v>1.7380699751470516</v>
      </c>
      <c r="M9" s="9">
        <f>IF('Year-end close'!M9="","",'Year-end close'!M9*EXP((INDEX('Rates 2y'!$K$2:$K$14,MATCH(IF($C9="GBp","GBP",$C9),'Rates 2y'!$A$2:$A$14,0))-'Dividend yield'!M9)*2))</f>
        <v>0.9059031385614936</v>
      </c>
    </row>
    <row r="10">
      <c r="A10" s="2" t="inlineStr">
        <is>
          <t>AU</t>
        </is>
      </c>
      <c r="B10" s="2" t="inlineStr">
        <is>
          <t>AngloGold Ashanti plc</t>
        </is>
      </c>
      <c r="C10" s="2" t="inlineStr">
        <is>
          <t>USD</t>
        </is>
      </c>
      <c r="D10" s="9">
        <f>IF('Year-end close'!D10="","",'Year-end close'!D10*EXP((INDEX('Rates 2y'!$B$2:$B$14,MATCH(IF($C10="GBp","GBP",$C10),'Rates 2y'!$A$2:$A$14,0))-'Dividend yield'!D10)*2))</f>
        <v>10.378920219543753</v>
      </c>
      <c r="E10" s="9">
        <f>IF('Year-end close'!E10="","",'Year-end close'!E10*EXP((INDEX('Rates 2y'!$C$2:$C$14,MATCH(IF($C10="GBp","GBP",$C10),'Rates 2y'!$A$2:$A$14,0))-'Dividend yield'!E10)*2))</f>
        <v>13.065284383792187</v>
      </c>
      <c r="F10" s="9">
        <f>IF('Year-end close'!F10="","",'Year-end close'!F10*EXP((INDEX('Rates 2y'!$D$2:$D$14,MATCH(IF($C10="GBp","GBP",$C10),'Rates 2y'!$A$2:$A$14,0))-'Dividend yield'!F10)*2))</f>
        <v>22.917270431676876</v>
      </c>
      <c r="G10" s="9">
        <f>IF('Year-end close'!G10="","",'Year-end close'!G10*EXP((INDEX('Rates 2y'!$E$2:$E$14,MATCH(IF($C10="GBp","GBP",$C10),'Rates 2y'!$A$2:$A$14,0))-'Dividend yield'!G10)*2))</f>
        <v>22.459382838622044</v>
      </c>
      <c r="H10" s="9">
        <f>IF('Year-end close'!H10="","",'Year-end close'!H10*EXP((INDEX('Rates 2y'!$F$2:$F$14,MATCH(IF($C10="GBp","GBP",$C10),'Rates 2y'!$A$2:$A$14,0))-'Dividend yield'!H10)*2))</f>
        <v>20.220392056980053</v>
      </c>
      <c r="I10" s="9">
        <f>IF('Year-end close'!I10="","",'Year-end close'!I10*EXP((INDEX('Rates 2y'!$G$2:$G$14,MATCH(IF($C10="GBp","GBP",$C10),'Rates 2y'!$A$2:$A$14,0))-'Dividend yield'!I10)*2))</f>
        <v>20.28114147448634</v>
      </c>
      <c r="J10" s="9">
        <f>IF('Year-end close'!J10="","",'Year-end close'!J10*EXP((INDEX('Rates 2y'!$H$2:$H$14,MATCH(IF($C10="GBp","GBP",$C10),'Rates 2y'!$A$2:$A$14,0))-'Dividend yield'!J10)*2))</f>
        <v>19.887444868019845</v>
      </c>
      <c r="K10" s="9">
        <f>IF('Year-end close'!K10="","",'Year-end close'!K10*EXP((INDEX('Rates 2y'!$I$2:$I$14,MATCH(IF($C10="GBp","GBP",$C10),'Rates 2y'!$A$2:$A$14,0))-'Dividend yield'!K10)*2))</f>
        <v>23.849719151340928</v>
      </c>
      <c r="L10" s="9">
        <f>IF('Year-end close'!L10="","",'Year-end close'!L10*EXP((INDEX('Rates 2y'!$J$2:$J$14,MATCH(IF($C10="GBp","GBP",$C10),'Rates 2y'!$A$2:$A$14,0))-'Dividend yield'!L10)*2))</f>
        <v>86.1701612385129</v>
      </c>
      <c r="M10" s="9">
        <f>IF('Year-end close'!M10="","",'Year-end close'!M10*EXP((INDEX('Rates 2y'!$K$2:$K$14,MATCH(IF($C10="GBp","GBP",$C10),'Rates 2y'!$A$2:$A$14,0))-'Dividend yield'!M10)*2))</f>
        <v>98.70294999894034</v>
      </c>
    </row>
    <row r="11">
      <c r="A11" s="2" t="inlineStr">
        <is>
          <t>AUMB.V</t>
        </is>
      </c>
      <c r="B11" s="2" t="inlineStr">
        <is>
          <t>1911 Gold Corp</t>
        </is>
      </c>
      <c r="C11" s="2" t="inlineStr">
        <is>
          <t>CAD</t>
        </is>
      </c>
      <c r="D11" s="9" t="str">
        <f>IF('Year-end close'!D11="","",'Year-end close'!D11*EXP((INDEX('Rates 2y'!$B$2:$B$14,MATCH(IF($C11="GBp","GBP",$C11),'Rates 2y'!$A$2:$A$14,0))-'Dividend yield'!D11)*2))</f>
        <v/>
      </c>
      <c r="E11" s="9">
        <f>IF('Year-end close'!E11="","",'Year-end close'!E11*EXP((INDEX('Rates 2y'!$C$2:$C$14,MATCH(IF($C11="GBp","GBP",$C11),'Rates 2y'!$A$2:$A$14,0))-'Dividend yield'!E11)*2))</f>
        <v>0.3009911682572949</v>
      </c>
      <c r="F11" s="9">
        <f>IF('Year-end close'!F11="","",'Year-end close'!F11*EXP((INDEX('Rates 2y'!$D$2:$D$14,MATCH(IF($C11="GBp","GBP",$C11),'Rates 2y'!$A$2:$A$14,0))-'Dividend yield'!F11)*2))</f>
        <v>0.2586461516820295</v>
      </c>
      <c r="G11" s="9">
        <f>IF('Year-end close'!G11="","",'Year-end close'!G11*EXP((INDEX('Rates 2y'!$E$2:$E$14,MATCH(IF($C11="GBp","GBP",$C11),'Rates 2y'!$A$2:$A$14,0))-'Dividend yield'!G11)*2))</f>
        <v>0.5120440854454443</v>
      </c>
      <c r="H11" s="9">
        <f>IF('Year-end close'!H11="","",'Year-end close'!H11*EXP((INDEX('Rates 2y'!$F$2:$F$14,MATCH(IF($C11="GBp","GBP",$C11),'Rates 2y'!$A$2:$A$14,0))-'Dividend yield'!H11)*2))</f>
        <v>0.31085040282830945</v>
      </c>
      <c r="I11" s="9">
        <f>IF('Year-end close'!I11="","",'Year-end close'!I11*EXP((INDEX('Rates 2y'!$G$2:$G$14,MATCH(IF($C11="GBp","GBP",$C11),'Rates 2y'!$A$2:$A$14,0))-'Dividend yield'!I11)*2))</f>
        <v>0.1734993434506817</v>
      </c>
      <c r="J11" s="9">
        <f>IF('Year-end close'!J11="","",'Year-end close'!J11*EXP((INDEX('Rates 2y'!$H$2:$H$14,MATCH(IF($C11="GBp","GBP",$C11),'Rates 2y'!$A$2:$A$14,0))-'Dividend yield'!J11)*2))</f>
        <v>0.08105177220636726</v>
      </c>
      <c r="K11" s="9">
        <f>IF('Year-end close'!K11="","",'Year-end close'!K11*EXP((INDEX('Rates 2y'!$I$2:$I$14,MATCH(IF($C11="GBp","GBP",$C11),'Rates 2y'!$A$2:$A$14,0))-'Dividend yield'!K11)*2))</f>
        <v>0.1643544074016581</v>
      </c>
      <c r="L11" s="9">
        <f>IF('Year-end close'!L11="","",'Year-end close'!L11*EXP((INDEX('Rates 2y'!$J$2:$J$14,MATCH(IF($C11="GBp","GBP",$C11),'Rates 2y'!$A$2:$A$14,0))-'Dividend yield'!L11)*2))</f>
        <v>0.926970653411761</v>
      </c>
      <c r="M11" s="9">
        <f>IF('Year-end close'!M11="","",'Year-end close'!M11*EXP((INDEX('Rates 2y'!$K$2:$K$14,MATCH(IF($C11="GBp","GBP",$C11),'Rates 2y'!$A$2:$A$14,0))-'Dividend yield'!M11)*2))</f>
        <v>0.8743018662860927</v>
      </c>
    </row>
    <row r="12">
      <c r="A12" s="2" t="inlineStr">
        <is>
          <t>BGL.AX</t>
        </is>
      </c>
      <c r="B12" s="2" t="inlineStr">
        <is>
          <t>Bellevue Gold Ltd</t>
        </is>
      </c>
      <c r="C12" s="2" t="inlineStr">
        <is>
          <t>AUD</t>
        </is>
      </c>
      <c r="D12" s="9">
        <f>IF('Year-end close'!D12="","",'Year-end close'!D12*EXP((INDEX('Rates 2y'!$B$2:$B$14,MATCH(IF($C12="GBp","GBP",$C12),'Rates 2y'!$A$2:$A$14,0))-'Dividend yield'!D12)*2))</f>
        <v>0.27581485516098286</v>
      </c>
      <c r="E12" s="9">
        <f>IF('Year-end close'!E12="","",'Year-end close'!E12*EXP((INDEX('Rates 2y'!$C$2:$C$14,MATCH(IF($C12="GBp","GBP",$C12),'Rates 2y'!$A$2:$A$14,0))-'Dividend yield'!E12)*2))</f>
        <v>0.425879805480184</v>
      </c>
      <c r="F12" s="9">
        <f>IF('Year-end close'!F12="","",'Year-end close'!F12*EXP((INDEX('Rates 2y'!$D$2:$D$14,MATCH(IF($C12="GBp","GBP",$C12),'Rates 2y'!$A$2:$A$14,0))-'Dividend yield'!F12)*2))</f>
        <v>0.5447171923685397</v>
      </c>
      <c r="G12" s="9">
        <f>IF('Year-end close'!G12="","",'Year-end close'!G12*EXP((INDEX('Rates 2y'!$E$2:$E$14,MATCH(IF($C12="GBp","GBP",$C12),'Rates 2y'!$A$2:$A$14,0))-'Dividend yield'!G12)*2))</f>
        <v>1.1222422414940805</v>
      </c>
      <c r="H12" s="9">
        <f>IF('Year-end close'!H12="","",'Year-end close'!H12*EXP((INDEX('Rates 2y'!$F$2:$F$14,MATCH(IF($C12="GBp","GBP",$C12),'Rates 2y'!$A$2:$A$14,0))-'Dividend yield'!H12)*2))</f>
        <v>0.8552010840918357</v>
      </c>
      <c r="I12" s="9">
        <f>IF('Year-end close'!I12="","",'Year-end close'!I12*EXP((INDEX('Rates 2y'!$G$2:$G$14,MATCH(IF($C12="GBp","GBP",$C12),'Rates 2y'!$A$2:$A$14,0))-'Dividend yield'!I12)*2))</f>
        <v>1.2119342448172645</v>
      </c>
      <c r="J12" s="9">
        <f>IF('Year-end close'!J12="","",'Year-end close'!J12*EXP((INDEX('Rates 2y'!$H$2:$H$14,MATCH(IF($C12="GBp","GBP",$C12),'Rates 2y'!$A$2:$A$14,0))-'Dividend yield'!J12)*2))</f>
        <v>1.8036513992061682</v>
      </c>
      <c r="K12" s="9">
        <f>IF('Year-end close'!K12="","",'Year-end close'!K12*EXP((INDEX('Rates 2y'!$I$2:$I$14,MATCH(IF($C12="GBp","GBP",$C12),'Rates 2y'!$A$2:$A$14,0))-'Dividend yield'!K12)*2))</f>
        <v>1.2150473359416756</v>
      </c>
      <c r="L12" s="9">
        <f>IF('Year-end close'!L12="","",'Year-end close'!L12*EXP((INDEX('Rates 2y'!$J$2:$J$14,MATCH(IF($C12="GBp","GBP",$C12),'Rates 2y'!$A$2:$A$14,0))-'Dividend yield'!L12)*2))</f>
        <v>1.8433141330324916</v>
      </c>
      <c r="M12" s="9">
        <f>IF('Year-end close'!M12="","",'Year-end close'!M12*EXP((INDEX('Rates 2y'!$K$2:$K$14,MATCH(IF($C12="GBp","GBP",$C12),'Rates 2y'!$A$2:$A$14,0))-'Dividend yield'!M12)*2))</f>
        <v>1.7243906405787826</v>
      </c>
    </row>
    <row r="13">
      <c r="A13" s="2" t="inlineStr">
        <is>
          <t>BTO.TO</t>
        </is>
      </c>
      <c r="B13" s="2" t="inlineStr">
        <is>
          <t>B2Gold Corp</t>
        </is>
      </c>
      <c r="C13" s="2" t="inlineStr">
        <is>
          <t>CAD</t>
        </is>
      </c>
      <c r="D13" s="9">
        <f>IF('Year-end close'!D13="","",'Year-end close'!D13*EXP((INDEX('Rates 2y'!$B$2:$B$14,MATCH(IF($C13="GBp","GBP",$C13),'Rates 2y'!$A$2:$A$14,0))-'Dividend yield'!D13)*2))</f>
        <v>4.01338551672869</v>
      </c>
      <c r="E13" s="9">
        <f>IF('Year-end close'!E13="","",'Year-end close'!E13*EXP((INDEX('Rates 2y'!$C$2:$C$14,MATCH(IF($C13="GBp","GBP",$C13),'Rates 2y'!$A$2:$A$14,0))-'Dividend yield'!E13)*2))</f>
        <v>4.1412233149882995</v>
      </c>
      <c r="F13" s="9">
        <f>IF('Year-end close'!F13="","",'Year-end close'!F13*EXP((INDEX('Rates 2y'!$D$2:$D$14,MATCH(IF($C13="GBp","GBP",$C13),'Rates 2y'!$A$2:$A$14,0))-'Dividend yield'!F13)*2))</f>
        <v>5.36335577050497</v>
      </c>
      <c r="G13" s="9">
        <f>IF('Year-end close'!G13="","",'Year-end close'!G13*EXP((INDEX('Rates 2y'!$E$2:$E$14,MATCH(IF($C13="GBp","GBP",$C13),'Rates 2y'!$A$2:$A$14,0))-'Dividend yield'!G13)*2))</f>
        <v>6.8751896898726335</v>
      </c>
      <c r="H13" s="9">
        <f>IF('Year-end close'!H13="","",'Year-end close'!H13*EXP((INDEX('Rates 2y'!$F$2:$F$14,MATCH(IF($C13="GBp","GBP",$C13),'Rates 2y'!$A$2:$A$14,0))-'Dividend yield'!H13)*2))</f>
        <v>4.678155419188981</v>
      </c>
      <c r="I13" s="9">
        <f>IF('Year-end close'!I13="","",'Year-end close'!I13*EXP((INDEX('Rates 2y'!$G$2:$G$14,MATCH(IF($C13="GBp","GBP",$C13),'Rates 2y'!$A$2:$A$14,0))-'Dividend yield'!I13)*2))</f>
        <v>4.779706218824717</v>
      </c>
      <c r="J13" s="9">
        <f>IF('Year-end close'!J13="","",'Year-end close'!J13*EXP((INDEX('Rates 2y'!$H$2:$H$14,MATCH(IF($C13="GBp","GBP",$C13),'Rates 2y'!$A$2:$A$14,0))-'Dividend yield'!J13)*2))</f>
        <v>4.0864422825181395</v>
      </c>
      <c r="K13" s="9">
        <f>IF('Year-end close'!K13="","",'Year-end close'!K13*EXP((INDEX('Rates 2y'!$I$2:$I$14,MATCH(IF($C13="GBp","GBP",$C13),'Rates 2y'!$A$2:$A$14,0))-'Dividend yield'!K13)*2))</f>
        <v>3.2957342791585993</v>
      </c>
      <c r="L13" s="9">
        <f>IF('Year-end close'!L13="","",'Year-end close'!L13*EXP((INDEX('Rates 2y'!$J$2:$J$14,MATCH(IF($C13="GBp","GBP",$C13),'Rates 2y'!$A$2:$A$14,0))-'Dividend yield'!L13)*2))</f>
        <v>6.278130665686651</v>
      </c>
      <c r="M13" s="9">
        <f>IF('Year-end close'!M13="","",'Year-end close'!M13*EXP((INDEX('Rates 2y'!$K$2:$K$14,MATCH(IF($C13="GBp","GBP",$C13),'Rates 2y'!$A$2:$A$14,0))-'Dividend yield'!M13)*2))</f>
        <v>7.969604457099258</v>
      </c>
    </row>
    <row r="14">
      <c r="A14" s="2" t="inlineStr">
        <is>
          <t>CERT.V</t>
        </is>
      </c>
      <c r="B14" s="2" t="inlineStr">
        <is>
          <t>Cerrado Gold Inc</t>
        </is>
      </c>
      <c r="C14" s="2" t="inlineStr">
        <is>
          <t>CAD</t>
        </is>
      </c>
      <c r="D14" s="9" t="str">
        <f>IF('Year-end close'!D14="","",'Year-end close'!D14*EXP((INDEX('Rates 2y'!$B$2:$B$14,MATCH(IF($C14="GBp","GBP",$C14),'Rates 2y'!$A$2:$A$14,0))-'Dividend yield'!D14)*2))</f>
        <v/>
      </c>
      <c r="E14" s="9" t="str">
        <f>IF('Year-end close'!E14="","",'Year-end close'!E14*EXP((INDEX('Rates 2y'!$C$2:$C$14,MATCH(IF($C14="GBp","GBP",$C14),'Rates 2y'!$A$2:$A$14,0))-'Dividend yield'!E14)*2))</f>
        <v/>
      </c>
      <c r="F14" s="9" t="str">
        <f>IF('Year-end close'!F14="","",'Year-end close'!F14*EXP((INDEX('Rates 2y'!$D$2:$D$14,MATCH(IF($C14="GBp","GBP",$C14),'Rates 2y'!$A$2:$A$14,0))-'Dividend yield'!F14)*2))</f>
        <v/>
      </c>
      <c r="G14" s="9">
        <f>IF('Year-end close'!G14="","",'Year-end close'!G14*EXP((INDEX('Rates 2y'!$E$2:$E$14,MATCH(IF($C14="GBp","GBP",$C14),'Rates 2y'!$A$2:$A$14,0))-'Dividend yield'!G14)*2))</f>
        <v>0.050200400533867096</v>
      </c>
      <c r="H14" s="9">
        <f>IF('Year-end close'!H14="","",'Year-end close'!H14*EXP((INDEX('Rates 2y'!$F$2:$F$14,MATCH(IF($C14="GBp","GBP",$C14),'Rates 2y'!$A$2:$A$14,0))-'Dividend yield'!H14)*2))</f>
        <v>1.4370461245505455</v>
      </c>
      <c r="I14" s="9">
        <f>IF('Year-end close'!I14="","",'Year-end close'!I14*EXP((INDEX('Rates 2y'!$G$2:$G$14,MATCH(IF($C14="GBp","GBP",$C14),'Rates 2y'!$A$2:$A$14,0))-'Dividend yield'!I14)*2))</f>
        <v>0.9542463889787492</v>
      </c>
      <c r="J14" s="9">
        <f>IF('Year-end close'!J14="","",'Year-end close'!J14*EXP((INDEX('Rates 2y'!$H$2:$H$14,MATCH(IF($C14="GBp","GBP",$C14),'Rates 2y'!$A$2:$A$14,0))-'Dividend yield'!J14)*2))</f>
        <v>0.6484141776509381</v>
      </c>
      <c r="K14" s="9">
        <f>IF('Year-end close'!K14="","",'Year-end close'!K14*EXP((INDEX('Rates 2y'!$I$2:$I$14,MATCH(IF($C14="GBp","GBP",$C14),'Rates 2y'!$A$2:$A$14,0))-'Dividend yield'!K14)*2))</f>
        <v>0.4082351409654088</v>
      </c>
      <c r="L14" s="9">
        <f>IF('Year-end close'!L14="","",'Year-end close'!L14*EXP((INDEX('Rates 2y'!$J$2:$J$14,MATCH(IF($C14="GBp","GBP",$C14),'Rates 2y'!$A$2:$A$14,0))-'Dividend yield'!L14)*2))</f>
        <v>1.7380699751470516</v>
      </c>
      <c r="M14" s="9">
        <f>IF('Year-end close'!M14="","",'Year-end close'!M14*EXP((INDEX('Rates 2y'!$K$2:$K$14,MATCH(IF($C14="GBp","GBP",$C14),'Rates 2y'!$A$2:$A$14,0))-'Dividend yield'!M14)*2))</f>
        <v>2.5491692968823427</v>
      </c>
    </row>
    <row r="15">
      <c r="A15" s="2" t="inlineStr">
        <is>
          <t>CG.TO</t>
        </is>
      </c>
      <c r="B15" s="2" t="inlineStr">
        <is>
          <t>Centerra Gold Inc</t>
        </is>
      </c>
      <c r="C15" s="2" t="inlineStr">
        <is>
          <t>CAD</t>
        </is>
      </c>
      <c r="D15" s="9">
        <f>IF('Year-end close'!D15="","",'Year-end close'!D15*EXP((INDEX('Rates 2y'!$B$2:$B$14,MATCH(IF($C15="GBp","GBP",$C15),'Rates 2y'!$A$2:$A$14,0))-'Dividend yield'!D15)*2))</f>
        <v>6.661392455601228</v>
      </c>
      <c r="E15" s="9">
        <f>IF('Year-end close'!E15="","",'Year-end close'!E15*EXP((INDEX('Rates 2y'!$C$2:$C$14,MATCH(IF($C15="GBp","GBP",$C15),'Rates 2y'!$A$2:$A$14,0))-'Dividend yield'!E15)*2))</f>
        <v>6.082097399957753</v>
      </c>
      <c r="F15" s="9">
        <f>IF('Year-end close'!F15="","",'Year-end close'!F15*EXP((INDEX('Rates 2y'!$D$2:$D$14,MATCH(IF($C15="GBp","GBP",$C15),'Rates 2y'!$A$2:$A$14,0))-'Dividend yield'!F15)*2))</f>
        <v>10.687258987501458</v>
      </c>
      <c r="G15" s="9">
        <f>IF('Year-end close'!G15="","",'Year-end close'!G15*EXP((INDEX('Rates 2y'!$E$2:$E$14,MATCH(IF($C15="GBp","GBP",$C15),'Rates 2y'!$A$2:$A$14,0))-'Dividend yield'!G15)*2))</f>
        <v>14.442003736610925</v>
      </c>
      <c r="H15" s="9">
        <f>IF('Year-end close'!H15="","",'Year-end close'!H15*EXP((INDEX('Rates 2y'!$F$2:$F$14,MATCH(IF($C15="GBp","GBP",$C15),'Rates 2y'!$A$2:$A$14,0))-'Dividend yield'!H15)*2))</f>
        <v>9.459667978235558</v>
      </c>
      <c r="I15" s="9">
        <f>IF('Year-end close'!I15="","",'Year-end close'!I15*EXP((INDEX('Rates 2y'!$G$2:$G$14,MATCH(IF($C15="GBp","GBP",$C15),'Rates 2y'!$A$2:$A$14,0))-'Dividend yield'!I15)*2))</f>
        <v>7.017813491306615</v>
      </c>
      <c r="J15" s="9">
        <f>IF('Year-end close'!J15="","",'Year-end close'!J15*EXP((INDEX('Rates 2y'!$H$2:$H$14,MATCH(IF($C15="GBp","GBP",$C15),'Rates 2y'!$A$2:$A$14,0))-'Dividend yield'!J15)*2))</f>
        <v>7.96400315038073</v>
      </c>
      <c r="K15" s="9">
        <f>IF('Year-end close'!K15="","",'Year-end close'!K15*EXP((INDEX('Rates 2y'!$I$2:$I$14,MATCH(IF($C15="GBp","GBP",$C15),'Rates 2y'!$A$2:$A$14,0))-'Dividend yield'!K15)*2))</f>
        <v>8.099741524507863</v>
      </c>
      <c r="L15" s="9">
        <f>IF('Year-end close'!L15="","",'Year-end close'!L15*EXP((INDEX('Rates 2y'!$J$2:$J$14,MATCH(IF($C15="GBp","GBP",$C15),'Rates 2y'!$A$2:$A$14,0))-'Dividend yield'!L15)*2))</f>
        <v>20.233096259185043</v>
      </c>
      <c r="M15" s="9">
        <f>IF('Year-end close'!M15="","",'Year-end close'!M15*EXP((INDEX('Rates 2y'!$K$2:$K$14,MATCH(IF($C15="GBp","GBP",$C15),'Rates 2y'!$A$2:$A$14,0))-'Dividend yield'!M15)*2))</f>
        <v>33.15264429499053</v>
      </c>
    </row>
    <row r="16">
      <c r="A16" s="2" t="inlineStr">
        <is>
          <t>CXB.TO</t>
        </is>
      </c>
      <c r="B16" s="2" t="inlineStr">
        <is>
          <t>Calibre Mining Corp</t>
        </is>
      </c>
      <c r="C16" s="2" t="inlineStr">
        <is>
          <t>CAD</t>
        </is>
      </c>
      <c r="D16" s="9">
        <f>IF('Year-end close'!D16="","",'Year-end close'!D16*EXP((INDEX('Rates 2y'!$B$2:$B$14,MATCH(IF($C16="GBp","GBP",$C16),'Rates 2y'!$A$2:$A$14,0))-'Dividend yield'!D16)*2))</f>
        <v>1.3446910236462106</v>
      </c>
      <c r="E16" s="9">
        <f>IF('Year-end close'!E16="","",'Year-end close'!E16*EXP((INDEX('Rates 2y'!$C$2:$C$14,MATCH(IF($C16="GBp","GBP",$C16),'Rates 2y'!$A$2:$A$14,0))-'Dividend yield'!E16)*2))</f>
        <v>0.37883371177211256</v>
      </c>
      <c r="F16" s="9">
        <f>IF('Year-end close'!F16="","",'Year-end close'!F16*EXP((INDEX('Rates 2y'!$D$2:$D$14,MATCH(IF($C16="GBp","GBP",$C16),'Rates 2y'!$A$2:$A$14,0))-'Dividend yield'!F16)*2))</f>
        <v>0.9725095303244308</v>
      </c>
      <c r="G16" s="9">
        <f>IF('Year-end close'!G16="","",'Year-end close'!G16*EXP((INDEX('Rates 2y'!$E$2:$E$14,MATCH(IF($C16="GBp","GBP",$C16),'Rates 2y'!$A$2:$A$14,0))-'Dividend yield'!G16)*2))</f>
        <v>2.4296993858391676</v>
      </c>
      <c r="H16" s="9">
        <f>IF('Year-end close'!H16="","",'Year-end close'!H16*EXP((INDEX('Rates 2y'!$F$2:$F$14,MATCH(IF($C16="GBp","GBP",$C16),'Rates 2y'!$A$2:$A$14,0))-'Dividend yield'!H16)*2))</f>
        <v>1.365703409147327</v>
      </c>
      <c r="I16" s="9">
        <f>IF('Year-end close'!I16="","",'Year-end close'!I16*EXP((INDEX('Rates 2y'!$G$2:$G$14,MATCH(IF($C16="GBp","GBP",$C16),'Rates 2y'!$A$2:$A$14,0))-'Dividend yield'!I16)*2))</f>
        <v>0.9759338069100845</v>
      </c>
      <c r="J16" s="9">
        <f>IF('Year-end close'!J16="","",'Year-end close'!J16*EXP((INDEX('Rates 2y'!$H$2:$H$14,MATCH(IF($C16="GBp","GBP",$C16),'Rates 2y'!$A$2:$A$14,0))-'Dividend yield'!J16)*2))</f>
        <v>1.46973880267546</v>
      </c>
      <c r="K16" s="9">
        <f>IF('Year-end close'!K16="","",'Year-end close'!K16*EXP((INDEX('Rates 2y'!$I$2:$I$14,MATCH(IF($C16="GBp","GBP",$C16),'Rates 2y'!$A$2:$A$14,0))-'Dividend yield'!K16)*2))</f>
        <v>2.279754683313322</v>
      </c>
      <c r="L16" s="9">
        <f>IF('Year-end close'!L16="","",'Year-end close'!L16*EXP((INDEX('Rates 2y'!$J$2:$J$14,MATCH(IF($C16="GBp","GBP",$C16),'Rates 2y'!$A$2:$A$14,0))-'Dividend yield'!L16)*2))</f>
        <v>3.1495934701149606</v>
      </c>
      <c r="M16" s="9" t="str">
        <f>IF('Year-end close'!M16="","",'Year-end close'!M16*EXP((INDEX('Rates 2y'!$K$2:$K$14,MATCH(IF($C16="GBp","GBP",$C16),'Rates 2y'!$A$2:$A$14,0))-'Dividend yield'!M16)*2))</f>
        <v/>
      </c>
    </row>
    <row r="17">
      <c r="A17" s="2" t="inlineStr">
        <is>
          <t>CYL.AX</t>
        </is>
      </c>
      <c r="B17" s="2" t="inlineStr">
        <is>
          <t>Catalyst Metals Ltd</t>
        </is>
      </c>
      <c r="C17" s="2" t="inlineStr">
        <is>
          <t>AUD</t>
        </is>
      </c>
      <c r="D17" s="9">
        <f>IF('Year-end close'!D17="","",'Year-end close'!D17*EXP((INDEX('Rates 2y'!$B$2:$B$14,MATCH(IF($C17="GBp","GBP",$C17),'Rates 2y'!$A$2:$A$14,0))-'Dividend yield'!D17)*2))</f>
        <v>1.2801972522566374</v>
      </c>
      <c r="E17" s="9">
        <f>IF('Year-end close'!E17="","",'Year-end close'!E17*EXP((INDEX('Rates 2y'!$C$2:$C$14,MATCH(IF($C17="GBp","GBP",$C17),'Rates 2y'!$A$2:$A$14,0))-'Dividend yield'!E17)*2))</f>
        <v>1.817779657537371</v>
      </c>
      <c r="F17" s="9">
        <f>IF('Year-end close'!F17="","",'Year-end close'!F17*EXP((INDEX('Rates 2y'!$D$2:$D$14,MATCH(IF($C17="GBp","GBP",$C17),'Rates 2y'!$A$2:$A$14,0))-'Dividend yield'!F17)*2))</f>
        <v>2.871219593419218</v>
      </c>
      <c r="G17" s="9">
        <f>IF('Year-end close'!G17="","",'Year-end close'!G17*EXP((INDEX('Rates 2y'!$E$2:$E$14,MATCH(IF($C17="GBp","GBP",$C17),'Rates 2y'!$A$2:$A$14,0))-'Dividend yield'!G17)*2))</f>
        <v>2.1242442428280808</v>
      </c>
      <c r="H17" s="9">
        <f>IF('Year-end close'!H17="","",'Year-end close'!H17*EXP((INDEX('Rates 2y'!$F$2:$F$14,MATCH(IF($C17="GBp","GBP",$C17),'Rates 2y'!$A$2:$A$14,0))-'Dividend yield'!H17)*2))</f>
        <v>1.988722047621843</v>
      </c>
      <c r="I17" s="9">
        <f>IF('Year-end close'!I17="","",'Year-end close'!I17*EXP((INDEX('Rates 2y'!$G$2:$G$14,MATCH(IF($C17="GBp","GBP",$C17),'Rates 2y'!$A$2:$A$14,0))-'Dividend yield'!I17)*2))</f>
        <v>1.2655596538799754</v>
      </c>
      <c r="J17" s="9">
        <f>IF('Year-end close'!J17="","",'Year-end close'!J17*EXP((INDEX('Rates 2y'!$H$2:$H$14,MATCH(IF($C17="GBp","GBP",$C17),'Rates 2y'!$A$2:$A$14,0))-'Dividend yield'!J17)*2))</f>
        <v>0.866829478424457</v>
      </c>
      <c r="K17" s="9">
        <f>IF('Year-end close'!K17="","",'Year-end close'!K17*EXP((INDEX('Rates 2y'!$I$2:$I$14,MATCH(IF($C17="GBp","GBP",$C17),'Rates 2y'!$A$2:$A$14,0))-'Dividend yield'!K17)*2))</f>
        <v>2.786508557092909</v>
      </c>
      <c r="L17" s="9">
        <f>IF('Year-end close'!L17="","",'Year-end close'!L17*EXP((INDEX('Rates 2y'!$J$2:$J$14,MATCH(IF($C17="GBp","GBP",$C17),'Rates 2y'!$A$2:$A$14,0))-'Dividend yield'!L17)*2))</f>
        <v>7.957062767811812</v>
      </c>
      <c r="M17" s="9">
        <f>IF('Year-end close'!M17="","",'Year-end close'!M17*EXP((INDEX('Rates 2y'!$K$2:$K$14,MATCH(IF($C17="GBp","GBP",$C17),'Rates 2y'!$A$2:$A$14,0))-'Dividend yield'!M17)*2))</f>
        <v>6.367812459566789</v>
      </c>
    </row>
    <row r="18">
      <c r="A18" s="2" t="inlineStr">
        <is>
          <t>ELD.TO</t>
        </is>
      </c>
      <c r="B18" s="2" t="inlineStr">
        <is>
          <t>Eldorado Gold Corp</t>
        </is>
      </c>
      <c r="C18" s="2" t="inlineStr">
        <is>
          <t>CAD</t>
        </is>
      </c>
      <c r="D18" s="9">
        <f>IF('Year-end close'!D18="","",'Year-end close'!D18*EXP((INDEX('Rates 2y'!$B$2:$B$14,MATCH(IF($C18="GBp","GBP",$C18),'Rates 2y'!$A$2:$A$14,0))-'Dividend yield'!D18)*2))</f>
        <v>9.208218619881713</v>
      </c>
      <c r="E18" s="9">
        <f>IF('Year-end close'!E18="","",'Year-end close'!E18*EXP((INDEX('Rates 2y'!$C$2:$C$14,MATCH(IF($C18="GBp","GBP",$C18),'Rates 2y'!$A$2:$A$14,0))-'Dividend yield'!E18)*2))</f>
        <v>4.151602320790275</v>
      </c>
      <c r="F18" s="9">
        <f>IF('Year-end close'!F18="","",'Year-end close'!F18*EXP((INDEX('Rates 2y'!$D$2:$D$14,MATCH(IF($C18="GBp","GBP",$C18),'Rates 2y'!$A$2:$A$14,0))-'Dividend yield'!F18)*2))</f>
        <v>10.79071744817427</v>
      </c>
      <c r="G18" s="9">
        <f>IF('Year-end close'!G18="","",'Year-end close'!G18*EXP((INDEX('Rates 2y'!$E$2:$E$14,MATCH(IF($C18="GBp","GBP",$C18),'Rates 2y'!$A$2:$A$14,0))-'Dividend yield'!G18)*2))</f>
        <v>16.93761514012676</v>
      </c>
      <c r="H18" s="9">
        <f>IF('Year-end close'!H18="","",'Year-end close'!H18*EXP((INDEX('Rates 2y'!$F$2:$F$14,MATCH(IF($C18="GBp","GBP",$C18),'Rates 2y'!$A$2:$A$14,0))-'Dividend yield'!H18)*2))</f>
        <v>12.08749435260246</v>
      </c>
      <c r="I18" s="9">
        <f>IF('Year-end close'!I18="","",'Year-end close'!I18*EXP((INDEX('Rates 2y'!$G$2:$G$14,MATCH(IF($C18="GBp","GBP",$C18),'Rates 2y'!$A$2:$A$14,0))-'Dividend yield'!I18)*2))</f>
        <v>12.242547422238724</v>
      </c>
      <c r="J18" s="9">
        <f>IF('Year-end close'!J18="","",'Year-end close'!J18*EXP((INDEX('Rates 2y'!$H$2:$H$14,MATCH(IF($C18="GBp","GBP",$C18),'Rates 2y'!$A$2:$A$14,0))-'Dividend yield'!J18)*2))</f>
        <v>18.587873092660228</v>
      </c>
      <c r="K18" s="9">
        <f>IF('Year-end close'!K18="","",'Year-end close'!K18*EXP((INDEX('Rates 2y'!$I$2:$I$14,MATCH(IF($C18="GBp","GBP",$C18),'Rates 2y'!$A$2:$A$14,0))-'Dividend yield'!K18)*2))</f>
        <v>22.67030471127387</v>
      </c>
      <c r="L18" s="9">
        <f>IF('Year-end close'!L18="","",'Year-end close'!L18*EXP((INDEX('Rates 2y'!$J$2:$J$14,MATCH(IF($C18="GBp","GBP",$C18),'Rates 2y'!$A$2:$A$14,0))-'Dividend yield'!L18)*2))</f>
        <v>51.963025378184284</v>
      </c>
      <c r="M18" s="9">
        <f>IF('Year-end close'!M18="","",'Year-end close'!M18*EXP((INDEX('Rates 2y'!$K$2:$K$14,MATCH(IF($C18="GBp","GBP",$C18),'Rates 2y'!$A$2:$A$14,0))-'Dividend yield'!M18)*2))</f>
        <v>61.85553681390855</v>
      </c>
    </row>
    <row r="19">
      <c r="A19" s="2" t="inlineStr">
        <is>
          <t>EQX.TO</t>
        </is>
      </c>
      <c r="B19" s="2" t="inlineStr">
        <is>
          <t>Equinox Gold Corp</t>
        </is>
      </c>
      <c r="C19" s="2" t="inlineStr">
        <is>
          <t>CAD</t>
        </is>
      </c>
      <c r="D19" s="9">
        <f>IF('Year-end close'!D19="","",'Year-end close'!D19*EXP((INDEX('Rates 2y'!$B$2:$B$14,MATCH(IF($C19="GBp","GBP",$C19),'Rates 2y'!$A$2:$A$14,0))-'Dividend yield'!D19)*2))</f>
        <v>1.1585030357567354</v>
      </c>
      <c r="E19" s="9">
        <f>IF('Year-end close'!E19="","",'Year-end close'!E19*EXP((INDEX('Rates 2y'!$C$2:$C$14,MATCH(IF($C19="GBp","GBP",$C19),'Rates 2y'!$A$2:$A$14,0))-'Dividend yield'!E19)*2))</f>
        <v>1.05865859180152</v>
      </c>
      <c r="F19" s="9">
        <f>IF('Year-end close'!F19="","",'Year-end close'!F19*EXP((INDEX('Rates 2y'!$D$2:$D$14,MATCH(IF($C19="GBp","GBP",$C19),'Rates 2y'!$A$2:$A$14,0))-'Dividend yield'!F19)*2))</f>
        <v>10.335500221213898</v>
      </c>
      <c r="G19" s="9">
        <f>IF('Year-end close'!G19="","",'Year-end close'!G19*EXP((INDEX('Rates 2y'!$E$2:$E$14,MATCH(IF($C19="GBp","GBP",$C19),'Rates 2y'!$A$2:$A$14,0))-'Dividend yield'!G19)*2))</f>
        <v>13.222785500620592</v>
      </c>
      <c r="H19" s="9">
        <f>IF('Year-end close'!H19="","",'Year-end close'!H19*EXP((INDEX('Rates 2y'!$F$2:$F$14,MATCH(IF($C19="GBp","GBP",$C19),'Rates 2y'!$A$2:$A$14,0))-'Dividend yield'!H19)*2))</f>
        <v>8.724194912165014</v>
      </c>
      <c r="I19" s="9">
        <f>IF('Year-end close'!I19="","",'Year-end close'!I19*EXP((INDEX('Rates 2y'!$G$2:$G$14,MATCH(IF($C19="GBp","GBP",$C19),'Rates 2y'!$A$2:$A$14,0))-'Dividend yield'!I19)*2))</f>
        <v>4.8037630717907485</v>
      </c>
      <c r="J19" s="9">
        <f>IF('Year-end close'!J19="","",'Year-end close'!J19*EXP((INDEX('Rates 2y'!$H$2:$H$14,MATCH(IF($C19="GBp","GBP",$C19),'Rates 2y'!$A$2:$A$14,0))-'Dividend yield'!J19)*2))</f>
        <v>6.959645506786737</v>
      </c>
      <c r="K19" s="9">
        <f>IF('Year-end close'!K19="","",'Year-end close'!K19*EXP((INDEX('Rates 2y'!$I$2:$I$14,MATCH(IF($C19="GBp","GBP",$C19),'Rates 2y'!$A$2:$A$14,0))-'Dividend yield'!K19)*2))</f>
        <v>7.676941352180675</v>
      </c>
      <c r="L19" s="9">
        <f>IF('Year-end close'!L19="","",'Year-end close'!L19*EXP((INDEX('Rates 2y'!$J$2:$J$14,MATCH(IF($C19="GBp","GBP",$C19),'Rates 2y'!$A$2:$A$14,0))-'Dividend yield'!L19)*2))</f>
        <v>20.319618073082804</v>
      </c>
      <c r="M19" s="9">
        <f>IF('Year-end close'!M19="","",'Year-end close'!M19*EXP((INDEX('Rates 2y'!$K$2:$K$14,MATCH(IF($C19="GBp","GBP",$C19),'Rates 2y'!$A$2:$A$14,0))-'Dividend yield'!M19)*2))</f>
        <v>17.619405794017787</v>
      </c>
    </row>
    <row r="20">
      <c r="A20" s="2" t="inlineStr">
        <is>
          <t>FVI.TO</t>
        </is>
      </c>
      <c r="B20" s="2" t="inlineStr">
        <is>
          <t>Fortuna Mining Corp</t>
        </is>
      </c>
      <c r="C20" s="2" t="inlineStr">
        <is>
          <t>CAD</t>
        </is>
      </c>
      <c r="D20" s="9">
        <f>IF('Year-end close'!D20="","",'Year-end close'!D20*EXP((INDEX('Rates 2y'!$B$2:$B$14,MATCH(IF($C20="GBp","GBP",$C20),'Rates 2y'!$A$2:$A$14,0))-'Dividend yield'!D20)*2))</f>
        <v>6.785517780860878</v>
      </c>
      <c r="E20" s="9">
        <f>IF('Year-end close'!E20="","",'Year-end close'!E20*EXP((INDEX('Rates 2y'!$C$2:$C$14,MATCH(IF($C20="GBp","GBP",$C20),'Rates 2y'!$A$2:$A$14,0))-'Dividend yield'!E20)*2))</f>
        <v>5.1895029009878435</v>
      </c>
      <c r="F20" s="9">
        <f>IF('Year-end close'!F20="","",'Year-end close'!F20*EXP((INDEX('Rates 2y'!$D$2:$D$14,MATCH(IF($C20="GBp","GBP",$C20),'Rates 2y'!$A$2:$A$14,0))-'Dividend yield'!F20)*2))</f>
        <v>5.472952569591744</v>
      </c>
      <c r="G20" s="9">
        <f>IF('Year-end close'!G20="","",'Year-end close'!G20*EXP((INDEX('Rates 2y'!$E$2:$E$14,MATCH(IF($C20="GBp","GBP",$C20),'Rates 2y'!$A$2:$A$14,0))-'Dividend yield'!G20)*2))</f>
        <v>10.501923791684998</v>
      </c>
      <c r="H20" s="9">
        <f>IF('Year-end close'!H20="","",'Year-end close'!H20*EXP((INDEX('Rates 2y'!$F$2:$F$14,MATCH(IF($C20="GBp","GBP",$C20),'Rates 2y'!$A$2:$A$14,0))-'Dividend yield'!H20)*2))</f>
        <v>5.034757344169996</v>
      </c>
      <c r="I20" s="9">
        <f>IF('Year-end close'!I20="","",'Year-end close'!I20*EXP((INDEX('Rates 2y'!$G$2:$G$14,MATCH(IF($C20="GBp","GBP",$C20),'Rates 2y'!$A$2:$A$14,0))-'Dividend yield'!I20)*2))</f>
        <v>5.51944786352481</v>
      </c>
      <c r="J20" s="9">
        <f>IF('Year-end close'!J20="","",'Year-end close'!J20*EXP((INDEX('Rates 2y'!$H$2:$H$14,MATCH(IF($C20="GBp","GBP",$C20),'Rates 2y'!$A$2:$A$14,0))-'Dividend yield'!J20)*2))</f>
        <v>5.511520510032974</v>
      </c>
      <c r="K20" s="9">
        <f>IF('Year-end close'!K20="","",'Year-end close'!K20*EXP((INDEX('Rates 2y'!$I$2:$I$14,MATCH(IF($C20="GBp","GBP",$C20),'Rates 2y'!$A$2:$A$14,0))-'Dividend yield'!K20)*2))</f>
        <v>6.542365765601486</v>
      </c>
      <c r="L20" s="9">
        <f>IF('Year-end close'!L20="","",'Year-end close'!L20*EXP((INDEX('Rates 2y'!$J$2:$J$14,MATCH(IF($C20="GBp","GBP",$C20),'Rates 2y'!$A$2:$A$14,0))-'Dividend yield'!L20)*2))</f>
        <v>14.167903736804755</v>
      </c>
      <c r="M20" s="9">
        <f>IF('Year-end close'!M20="","",'Year-end close'!M20*EXP((INDEX('Rates 2y'!$K$2:$K$14,MATCH(IF($C20="GBp","GBP",$C20),'Rates 2y'!$A$2:$A$14,0))-'Dividend yield'!M20)*2))</f>
        <v>17.443902296021317</v>
      </c>
    </row>
    <row r="21">
      <c r="A21" s="2" t="inlineStr">
        <is>
          <t>GFI</t>
        </is>
      </c>
      <c r="B21" s="2" t="inlineStr">
        <is>
          <t>Gold Fields Ltd</t>
        </is>
      </c>
      <c r="C21" s="2" t="inlineStr">
        <is>
          <t>USD</t>
        </is>
      </c>
      <c r="D21" s="9">
        <f>IF('Year-end close'!D21="","",'Year-end close'!D21*EXP((INDEX('Rates 2y'!$B$2:$B$14,MATCH(IF($C21="GBp","GBP",$C21),'Rates 2y'!$A$2:$A$14,0))-'Dividend yield'!D21)*2))</f>
        <v>4.310556537025301</v>
      </c>
      <c r="E21" s="9">
        <f>IF('Year-end close'!E21="","",'Year-end close'!E21*EXP((INDEX('Rates 2y'!$C$2:$C$14,MATCH(IF($C21="GBp","GBP",$C21),'Rates 2y'!$A$2:$A$14,0))-'Dividend yield'!E21)*2))</f>
        <v>3.581834106991478</v>
      </c>
      <c r="F21" s="9">
        <f>IF('Year-end close'!F21="","",'Year-end close'!F21*EXP((INDEX('Rates 2y'!$D$2:$D$14,MATCH(IF($C21="GBp","GBP",$C21),'Rates 2y'!$A$2:$A$14,0))-'Dividend yield'!F21)*2))</f>
        <v>6.703365066424887</v>
      </c>
      <c r="G21" s="9">
        <f>IF('Year-end close'!G21="","",'Year-end close'!G21*EXP((INDEX('Rates 2y'!$E$2:$E$14,MATCH(IF($C21="GBp","GBP",$C21),'Rates 2y'!$A$2:$A$14,0))-'Dividend yield'!G21)*2))</f>
        <v>8.978774289085976</v>
      </c>
      <c r="H21" s="9">
        <f>IF('Year-end close'!H21="","",'Year-end close'!H21*EXP((INDEX('Rates 2y'!$F$2:$F$14,MATCH(IF($C21="GBp","GBP",$C21),'Rates 2y'!$A$2:$A$14,0))-'Dividend yield'!H21)*2))</f>
        <v>10.452067109969326</v>
      </c>
      <c r="I21" s="9">
        <f>IF('Year-end close'!I21="","",'Year-end close'!I21*EXP((INDEX('Rates 2y'!$G$2:$G$14,MATCH(IF($C21="GBp","GBP",$C21),'Rates 2y'!$A$2:$A$14,0))-'Dividend yield'!I21)*2))</f>
        <v>10.565209914302427</v>
      </c>
      <c r="J21" s="9">
        <f>IF('Year-end close'!J21="","",'Year-end close'!J21*EXP((INDEX('Rates 2y'!$H$2:$H$14,MATCH(IF($C21="GBp","GBP",$C21),'Rates 2y'!$A$2:$A$14,0))-'Dividend yield'!J21)*2))</f>
        <v>14.86670600945968</v>
      </c>
      <c r="K21" s="9">
        <f>IF('Year-end close'!K21="","",'Year-end close'!K21*EXP((INDEX('Rates 2y'!$I$2:$I$14,MATCH(IF($C21="GBp","GBP",$C21),'Rates 2y'!$A$2:$A$14,0))-'Dividend yield'!K21)*2))</f>
        <v>13.547863093231111</v>
      </c>
      <c r="L21" s="9">
        <f>IF('Year-end close'!L21="","",'Year-end close'!L21*EXP((INDEX('Rates 2y'!$J$2:$J$14,MATCH(IF($C21="GBp","GBP",$C21),'Rates 2y'!$A$2:$A$14,0))-'Dividend yield'!L21)*2))</f>
        <v>46.00979695622091</v>
      </c>
      <c r="M21" s="9">
        <f>IF('Year-end close'!M21="","",'Year-end close'!M21*EXP((INDEX('Rates 2y'!$K$2:$K$14,MATCH(IF($C21="GBp","GBP",$C21),'Rates 2y'!$A$2:$A$14,0))-'Dividend yield'!M21)*2))</f>
        <v>38.332212988638254</v>
      </c>
    </row>
    <row r="22">
      <c r="A22" s="2" t="inlineStr">
        <is>
          <t>GMD.AX</t>
        </is>
      </c>
      <c r="B22" s="2" t="inlineStr">
        <is>
          <t>Genesis Minerals Ltd</t>
        </is>
      </c>
      <c r="C22" s="2" t="inlineStr">
        <is>
          <t>AUD</t>
        </is>
      </c>
      <c r="D22" s="9">
        <f>IF('Year-end close'!D22="","",'Year-end close'!D22*EXP((INDEX('Rates 2y'!$B$2:$B$14,MATCH(IF($C22="GBp","GBP",$C22),'Rates 2y'!$A$2:$A$14,0))-'Dividend yield'!D22)*2))</f>
        <v>0.03434675554834881</v>
      </c>
      <c r="E22" s="9">
        <f>IF('Year-end close'!E22="","",'Year-end close'!E22*EXP((INDEX('Rates 2y'!$C$2:$C$14,MATCH(IF($C22="GBp","GBP",$C22),'Rates 2y'!$A$2:$A$14,0))-'Dividend yield'!E22)*2))</f>
        <v>0.03427813068499042</v>
      </c>
      <c r="F22" s="9">
        <f>IF('Year-end close'!F22="","",'Year-end close'!F22*EXP((INDEX('Rates 2y'!$D$2:$D$14,MATCH(IF($C22="GBp","GBP",$C22),'Rates 2y'!$A$2:$A$14,0))-'Dividend yield'!F22)*2))</f>
        <v>0.0325812152444734</v>
      </c>
      <c r="G22" s="9">
        <f>IF('Year-end close'!G22="","",'Year-end close'!G22*EXP((INDEX('Rates 2y'!$E$2:$E$14,MATCH(IF($C22="GBp","GBP",$C22),'Rates 2y'!$A$2:$A$14,0))-'Dividend yield'!G22)*2))</f>
        <v>0.07414814809871602</v>
      </c>
      <c r="H22" s="9">
        <f>IF('Year-end close'!H22="","",'Year-end close'!H22*EXP((INDEX('Rates 2y'!$F$2:$F$14,MATCH(IF($C22="GBp","GBP",$C22),'Rates 2y'!$A$2:$A$14,0))-'Dividend yield'!H22)*2))</f>
        <v>0.16699192766290286</v>
      </c>
      <c r="I22" s="9">
        <f>IF('Year-end close'!I22="","",'Year-end close'!I22*EXP((INDEX('Rates 2y'!$G$2:$G$14,MATCH(IF($C22="GBp","GBP",$C22),'Rates 2y'!$A$2:$A$14,0))-'Dividend yield'!I22)*2))</f>
        <v>1.3406352265677706</v>
      </c>
      <c r="J22" s="9">
        <f>IF('Year-end close'!J22="","",'Year-end close'!J22*EXP((INDEX('Rates 2y'!$H$2:$H$14,MATCH(IF($C22="GBp","GBP",$C22),'Rates 2y'!$A$2:$A$14,0))-'Dividend yield'!J22)*2))</f>
        <v>1.9274841818382336</v>
      </c>
      <c r="K22" s="9">
        <f>IF('Year-end close'!K22="","",'Year-end close'!K22*EXP((INDEX('Rates 2y'!$I$2:$I$14,MATCH(IF($C22="GBp","GBP",$C22),'Rates 2y'!$A$2:$A$14,0))-'Dividend yield'!K22)*2))</f>
        <v>2.6677039286897233</v>
      </c>
      <c r="L22" s="9">
        <f>IF('Year-end close'!L22="","",'Year-end close'!L22*EXP((INDEX('Rates 2y'!$J$2:$J$14,MATCH(IF($C22="GBp","GBP",$C22),'Rates 2y'!$A$2:$A$14,0))-'Dividend yield'!L22)*2))</f>
        <v>7.8381392753581025</v>
      </c>
      <c r="M22" s="9">
        <f>IF('Year-end close'!M22="","",'Year-end close'!M22*EXP((INDEX('Rates 2y'!$K$2:$K$14,MATCH(IF($C22="GBp","GBP",$C22),'Rates 2y'!$A$2:$A$14,0))-'Dividend yield'!M22)*2))</f>
        <v>8.163178766508418</v>
      </c>
    </row>
    <row r="23">
      <c r="A23" s="2" t="inlineStr">
        <is>
          <t>GOR.AX</t>
        </is>
      </c>
      <c r="B23" s="2" t="inlineStr">
        <is>
          <t>Gold Road Resources Ltd</t>
        </is>
      </c>
      <c r="C23" s="2" t="inlineStr">
        <is>
          <t>AUD</t>
        </is>
      </c>
      <c r="D23" s="9" t="str">
        <f>IF('Year-end close'!D23="","",'Year-end close'!D23*EXP((INDEX('Rates 2y'!$B$2:$B$14,MATCH(IF($C23="GBp","GBP",$C23),'Rates 2y'!$A$2:$A$14,0))-'Dividend yield'!D23)*2))</f>
        <v/>
      </c>
      <c r="E23" s="9" t="str">
        <f>IF('Year-end close'!E23="","",'Year-end close'!E23*EXP((INDEX('Rates 2y'!$C$2:$C$14,MATCH(IF($C23="GBp","GBP",$C23),'Rates 2y'!$A$2:$A$14,0))-'Dividend yield'!E23)*2))</f>
        <v/>
      </c>
      <c r="F23" s="9" t="str">
        <f>IF('Year-end close'!F23="","",'Year-end close'!F23*EXP((INDEX('Rates 2y'!$D$2:$D$14,MATCH(IF($C23="GBp","GBP",$C23),'Rates 2y'!$A$2:$A$14,0))-'Dividend yield'!F23)*2))</f>
        <v/>
      </c>
      <c r="G23" s="9" t="str">
        <f>IF('Year-end close'!G23="","",'Year-end close'!G23*EXP((INDEX('Rates 2y'!$E$2:$E$14,MATCH(IF($C23="GBp","GBP",$C23),'Rates 2y'!$A$2:$A$14,0))-'Dividend yield'!G23)*2))</f>
        <v/>
      </c>
      <c r="H23" s="9" t="str">
        <f>IF('Year-end close'!H23="","",'Year-end close'!H23*EXP((INDEX('Rates 2y'!$F$2:$F$14,MATCH(IF($C23="GBp","GBP",$C23),'Rates 2y'!$A$2:$A$14,0))-'Dividend yield'!H23)*2))</f>
        <v/>
      </c>
      <c r="I23" s="9" t="str">
        <f>IF('Year-end close'!I23="","",'Year-end close'!I23*EXP((INDEX('Rates 2y'!$G$2:$G$14,MATCH(IF($C23="GBp","GBP",$C23),'Rates 2y'!$A$2:$A$14,0))-'Dividend yield'!I23)*2))</f>
        <v/>
      </c>
      <c r="J23" s="9" t="str">
        <f>IF('Year-end close'!J23="","",'Year-end close'!J23*EXP((INDEX('Rates 2y'!$H$2:$H$14,MATCH(IF($C23="GBp","GBP",$C23),'Rates 2y'!$A$2:$A$14,0))-'Dividend yield'!J23)*2))</f>
        <v/>
      </c>
      <c r="K23" s="9" t="str">
        <f>IF('Year-end close'!K23="","",'Year-end close'!K23*EXP((INDEX('Rates 2y'!$I$2:$I$14,MATCH(IF($C23="GBp","GBP",$C23),'Rates 2y'!$A$2:$A$14,0))-'Dividend yield'!K23)*2))</f>
        <v/>
      </c>
      <c r="L23" s="9" t="str">
        <f>IF('Year-end close'!L23="","",'Year-end close'!L23*EXP((INDEX('Rates 2y'!$J$2:$J$14,MATCH(IF($C23="GBp","GBP",$C23),'Rates 2y'!$A$2:$A$14,0))-'Dividend yield'!L23)*2))</f>
        <v/>
      </c>
      <c r="M23" s="9" t="str">
        <f>IF('Year-end close'!M23="","",'Year-end close'!M23*EXP((INDEX('Rates 2y'!$K$2:$K$14,MATCH(IF($C23="GBp","GBP",$C23),'Rates 2y'!$A$2:$A$14,0))-'Dividend yield'!M23)*2))</f>
        <v/>
      </c>
    </row>
    <row r="24">
      <c r="A24" s="2" t="inlineStr">
        <is>
          <t>HMY</t>
        </is>
      </c>
      <c r="B24" s="2" t="inlineStr">
        <is>
          <t>Harmony Gold Mining Co Ltd</t>
        </is>
      </c>
      <c r="C24" s="2" t="inlineStr">
        <is>
          <t>USD</t>
        </is>
      </c>
      <c r="D24" s="9">
        <f>IF('Year-end close'!D24="","",'Year-end close'!D24*EXP((INDEX('Rates 2y'!$B$2:$B$14,MATCH(IF($C24="GBp","GBP",$C24),'Rates 2y'!$A$2:$A$14,0))-'Dividend yield'!D24)*2))</f>
        <v>1.8116181127691118</v>
      </c>
      <c r="E24" s="9">
        <f>IF('Year-end close'!E24="","",'Year-end close'!E24*EXP((INDEX('Rates 2y'!$C$2:$C$14,MATCH(IF($C24="GBp","GBP",$C24),'Rates 2y'!$A$2:$A$14,0))-'Dividend yield'!E24)*2))</f>
        <v>1.8813989450935769</v>
      </c>
      <c r="F24" s="9">
        <f>IF('Year-end close'!F24="","",'Year-end close'!F24*EXP((INDEX('Rates 2y'!$D$2:$D$14,MATCH(IF($C24="GBp","GBP",$C24),'Rates 2y'!$A$2:$A$14,0))-'Dividend yield'!F24)*2))</f>
        <v>3.7465396286429855</v>
      </c>
      <c r="G24" s="9">
        <f>IF('Year-end close'!G24="","",'Year-end close'!G24*EXP((INDEX('Rates 2y'!$E$2:$E$14,MATCH(IF($C24="GBp","GBP",$C24),'Rates 2y'!$A$2:$A$14,0))-'Dividend yield'!G24)*2))</f>
        <v>4.692183832118196</v>
      </c>
      <c r="H24" s="9">
        <f>IF('Year-end close'!H24="","",'Year-end close'!H24*EXP((INDEX('Rates 2y'!$F$2:$F$14,MATCH(IF($C24="GBp","GBP",$C24),'Rates 2y'!$A$2:$A$14,0))-'Dividend yield'!H24)*2))</f>
        <v>3.987861125935364</v>
      </c>
      <c r="I24" s="9">
        <f>IF('Year-end close'!I24="","",'Year-end close'!I24*EXP((INDEX('Rates 2y'!$G$2:$G$14,MATCH(IF($C24="GBp","GBP",$C24),'Rates 2y'!$A$2:$A$14,0))-'Dividend yield'!I24)*2))</f>
        <v>3.630728916718363</v>
      </c>
      <c r="J24" s="9">
        <f>IF('Year-end close'!J24="","",'Year-end close'!J24*EXP((INDEX('Rates 2y'!$H$2:$H$14,MATCH(IF($C24="GBp","GBP",$C24),'Rates 2y'!$A$2:$A$14,0))-'Dividend yield'!J24)*2))</f>
        <v>6.609077493161017</v>
      </c>
      <c r="K24" s="9">
        <f>IF('Year-end close'!K24="","",'Year-end close'!K24*EXP((INDEX('Rates 2y'!$I$2:$I$14,MATCH(IF($C24="GBp","GBP",$C24),'Rates 2y'!$A$2:$A$14,0))-'Dividend yield'!K24)*2))</f>
        <v>8.65801016834687</v>
      </c>
      <c r="L24" s="9">
        <f>IF('Year-end close'!L24="","",'Year-end close'!L24*EXP((INDEX('Rates 2y'!$J$2:$J$14,MATCH(IF($C24="GBp","GBP",$C24),'Rates 2y'!$A$2:$A$14,0))-'Dividend yield'!L24)*2))</f>
        <v>21.078630014367064</v>
      </c>
      <c r="M24" s="9">
        <f>IF('Year-end close'!M24="","",'Year-end close'!M24*EXP((INDEX('Rates 2y'!$K$2:$K$14,MATCH(IF($C24="GBp","GBP",$C24),'Rates 2y'!$A$2:$A$14,0))-'Dividend yield'!M24)*2))</f>
        <v>19.679250055202427</v>
      </c>
    </row>
    <row r="25">
      <c r="A25" s="2" t="inlineStr">
        <is>
          <t>HUM.L</t>
        </is>
      </c>
      <c r="B25" s="2" t="inlineStr">
        <is>
          <t>Hummingbird Resources plc</t>
        </is>
      </c>
      <c r="C25" s="2" t="inlineStr">
        <is>
          <t>GBp</t>
        </is>
      </c>
      <c r="D25" s="9" t="str">
        <f>IF('Year-end close'!D25="","",'Year-end close'!D25*EXP((INDEX('Rates 2y'!$B$2:$B$14,MATCH(IF($C25="GBp","GBP",$C25),'Rates 2y'!$A$2:$A$14,0))-'Dividend yield'!D25)*2))</f>
        <v/>
      </c>
      <c r="E25" s="9" t="str">
        <f>IF('Year-end close'!E25="","",'Year-end close'!E25*EXP((INDEX('Rates 2y'!$C$2:$C$14,MATCH(IF($C25="GBp","GBP",$C25),'Rates 2y'!$A$2:$A$14,0))-'Dividend yield'!E25)*2))</f>
        <v/>
      </c>
      <c r="F25" s="9" t="str">
        <f>IF('Year-end close'!F25="","",'Year-end close'!F25*EXP((INDEX('Rates 2y'!$D$2:$D$14,MATCH(IF($C25="GBp","GBP",$C25),'Rates 2y'!$A$2:$A$14,0))-'Dividend yield'!F25)*2))</f>
        <v/>
      </c>
      <c r="G25" s="9" t="str">
        <f>IF('Year-end close'!G25="","",'Year-end close'!G25*EXP((INDEX('Rates 2y'!$E$2:$E$14,MATCH(IF($C25="GBp","GBP",$C25),'Rates 2y'!$A$2:$A$14,0))-'Dividend yield'!G25)*2))</f>
        <v/>
      </c>
      <c r="H25" s="9" t="str">
        <f>IF('Year-end close'!H25="","",'Year-end close'!H25*EXP((INDEX('Rates 2y'!$F$2:$F$14,MATCH(IF($C25="GBp","GBP",$C25),'Rates 2y'!$A$2:$A$14,0))-'Dividend yield'!H25)*2))</f>
        <v/>
      </c>
      <c r="I25" s="9" t="str">
        <f>IF('Year-end close'!I25="","",'Year-end close'!I25*EXP((INDEX('Rates 2y'!$G$2:$G$14,MATCH(IF($C25="GBp","GBP",$C25),'Rates 2y'!$A$2:$A$14,0))-'Dividend yield'!I25)*2))</f>
        <v/>
      </c>
      <c r="J25" s="9" t="str">
        <f>IF('Year-end close'!J25="","",'Year-end close'!J25*EXP((INDEX('Rates 2y'!$H$2:$H$14,MATCH(IF($C25="GBp","GBP",$C25),'Rates 2y'!$A$2:$A$14,0))-'Dividend yield'!J25)*2))</f>
        <v/>
      </c>
      <c r="K25" s="9" t="str">
        <f>IF('Year-end close'!K25="","",'Year-end close'!K25*EXP((INDEX('Rates 2y'!$I$2:$I$14,MATCH(IF($C25="GBp","GBP",$C25),'Rates 2y'!$A$2:$A$14,0))-'Dividend yield'!K25)*2))</f>
        <v/>
      </c>
      <c r="L25" s="9" t="str">
        <f>IF('Year-end close'!L25="","",'Year-end close'!L25*EXP((INDEX('Rates 2y'!$J$2:$J$14,MATCH(IF($C25="GBp","GBP",$C25),'Rates 2y'!$A$2:$A$14,0))-'Dividend yield'!L25)*2))</f>
        <v/>
      </c>
      <c r="M25" s="9" t="str">
        <f>IF('Year-end close'!M25="","",'Year-end close'!M25*EXP((INDEX('Rates 2y'!$K$2:$K$14,MATCH(IF($C25="GBp","GBP",$C25),'Rates 2y'!$A$2:$A$14,0))-'Dividend yield'!M25)*2))</f>
        <v/>
      </c>
    </row>
    <row r="26">
      <c r="A26" s="2" t="inlineStr">
        <is>
          <t>IAU.TO</t>
        </is>
      </c>
      <c r="B26" s="2" t="inlineStr">
        <is>
          <t>i-80 Gold Corp</t>
        </is>
      </c>
      <c r="C26" s="2" t="inlineStr">
        <is>
          <t>CAD</t>
        </is>
      </c>
      <c r="D26" s="9" t="str">
        <f>IF('Year-end close'!D26="","",'Year-end close'!D26*EXP((INDEX('Rates 2y'!$B$2:$B$14,MATCH(IF($C26="GBp","GBP",$C26),'Rates 2y'!$A$2:$A$14,0))-'Dividend yield'!D26)*2))</f>
        <v/>
      </c>
      <c r="E26" s="9" t="str">
        <f>IF('Year-end close'!E26="","",'Year-end close'!E26*EXP((INDEX('Rates 2y'!$C$2:$C$14,MATCH(IF($C26="GBp","GBP",$C26),'Rates 2y'!$A$2:$A$14,0))-'Dividend yield'!E26)*2))</f>
        <v/>
      </c>
      <c r="F26" s="9" t="str">
        <f>IF('Year-end close'!F26="","",'Year-end close'!F26*EXP((INDEX('Rates 2y'!$D$2:$D$14,MATCH(IF($C26="GBp","GBP",$C26),'Rates 2y'!$A$2:$A$14,0))-'Dividend yield'!F26)*2))</f>
        <v/>
      </c>
      <c r="G26" s="9" t="str">
        <f>IF('Year-end close'!G26="","",'Year-end close'!G26*EXP((INDEX('Rates 2y'!$E$2:$E$14,MATCH(IF($C26="GBp","GBP",$C26),'Rates 2y'!$A$2:$A$14,0))-'Dividend yield'!G26)*2))</f>
        <v/>
      </c>
      <c r="H26" s="9">
        <f>IF('Year-end close'!H26="","",'Year-end close'!H26*EXP((INDEX('Rates 2y'!$F$2:$F$14,MATCH(IF($C26="GBp","GBP",$C26),'Rates 2y'!$A$2:$A$14,0))-'Dividend yield'!H26)*2))</f>
        <v>3.1492712942277907</v>
      </c>
      <c r="I26" s="9">
        <f>IF('Year-end close'!I26="","",'Year-end close'!I26*EXP((INDEX('Rates 2y'!$G$2:$G$14,MATCH(IF($C26="GBp","GBP",$C26),'Rates 2y'!$A$2:$A$14,0))-'Dividend yield'!I26)*2))</f>
        <v>4.0989219890223545</v>
      </c>
      <c r="J26" s="9">
        <f>IF('Year-end close'!J26="","",'Year-end close'!J26*EXP((INDEX('Rates 2y'!$H$2:$H$14,MATCH(IF($C26="GBp","GBP",$C26),'Rates 2y'!$A$2:$A$14,0))-'Dividend yield'!J26)*2))</f>
        <v>2.51800838987781</v>
      </c>
      <c r="K26" s="9">
        <f>IF('Year-end close'!K26="","",'Year-end close'!K26*EXP((INDEX('Rates 2y'!$I$2:$I$14,MATCH(IF($C26="GBp","GBP",$C26),'Rates 2y'!$A$2:$A$14,0))-'Dividend yield'!K26)*2))</f>
        <v>0.7316422006912521</v>
      </c>
      <c r="L26" s="9">
        <f>IF('Year-end close'!L26="","",'Year-end close'!L26*EXP((INDEX('Rates 2y'!$J$2:$J$14,MATCH(IF($C26="GBp","GBP",$C26),'Rates 2y'!$A$2:$A$14,0))-'Dividend yield'!L26)*2))</f>
        <v>2.1278189998769967</v>
      </c>
      <c r="M26" s="9">
        <f>IF('Year-end close'!M26="","",'Year-end close'!M26*EXP((INDEX('Rates 2y'!$K$2:$K$14,MATCH(IF($C26="GBp","GBP",$C26),'Rates 2y'!$A$2:$A$14,0))-'Dividend yield'!M26)*2))</f>
        <v>2.6123718414331445</v>
      </c>
    </row>
    <row r="27">
      <c r="A27" s="2" t="inlineStr">
        <is>
          <t>IMG.TO</t>
        </is>
      </c>
      <c r="B27" s="2" t="inlineStr">
        <is>
          <t>IAMGOLD Corp</t>
        </is>
      </c>
      <c r="C27" s="2" t="inlineStr">
        <is>
          <t>CAD</t>
        </is>
      </c>
      <c r="D27" s="9">
        <f>IF('Year-end close'!D27="","",'Year-end close'!D27*EXP((INDEX('Rates 2y'!$B$2:$B$14,MATCH(IF($C27="GBp","GBP",$C27),'Rates 2y'!$A$2:$A$14,0))-'Dividend yield'!D27)*2))</f>
        <v>7.581988617943633</v>
      </c>
      <c r="E27" s="9">
        <f>IF('Year-end close'!E27="","",'Year-end close'!E27*EXP((INDEX('Rates 2y'!$C$2:$C$14,MATCH(IF($C27="GBp","GBP",$C27),'Rates 2y'!$A$2:$A$14,0))-'Dividend yield'!E27)*2))</f>
        <v>5.199881906789819</v>
      </c>
      <c r="F27" s="9">
        <f>IF('Year-end close'!F27="","",'Year-end close'!F27*EXP((INDEX('Rates 2y'!$D$2:$D$14,MATCH(IF($C27="GBp","GBP",$C27),'Rates 2y'!$A$2:$A$14,0))-'Dividend yield'!F27)*2))</f>
        <v>5.017735342631371</v>
      </c>
      <c r="G27" s="9">
        <f>IF('Year-end close'!G27="","",'Year-end close'!G27*EXP((INDEX('Rates 2y'!$E$2:$E$14,MATCH(IF($C27="GBp","GBP",$C27),'Rates 2y'!$A$2:$A$14,0))-'Dividend yield'!G27)*2))</f>
        <v>4.6887174098631865</v>
      </c>
      <c r="H27" s="9">
        <f>IF('Year-end close'!H27="","",'Year-end close'!H27*EXP((INDEX('Rates 2y'!$F$2:$F$14,MATCH(IF($C27="GBp","GBP",$C27),'Rates 2y'!$A$2:$A$14,0))-'Dividend yield'!H27)*2))</f>
        <v>4.015575695552588</v>
      </c>
      <c r="I27" s="9">
        <f>IF('Year-end close'!I27="","",'Year-end close'!I27*EXP((INDEX('Rates 2y'!$G$2:$G$14,MATCH(IF($C27="GBp","GBP",$C27),'Rates 2y'!$A$2:$A$14,0))-'Dividend yield'!I27)*2))</f>
        <v>3.762767011086659</v>
      </c>
      <c r="J27" s="9">
        <f>IF('Year-end close'!J27="","",'Year-end close'!J27*EXP((INDEX('Rates 2y'!$H$2:$H$14,MATCH(IF($C27="GBp","GBP",$C27),'Rates 2y'!$A$2:$A$14,0))-'Dividend yield'!J27)*2))</f>
        <v>3.6095055889235557</v>
      </c>
      <c r="K27" s="9">
        <f>IF('Year-end close'!K27="","",'Year-end close'!K27*EXP((INDEX('Rates 2y'!$I$2:$I$14,MATCH(IF($C27="GBp","GBP",$C27),'Rates 2y'!$A$2:$A$14,0))-'Dividend yield'!K27)*2))</f>
        <v>7.878408045124642</v>
      </c>
      <c r="L27" s="9">
        <f>IF('Year-end close'!L27="","",'Year-end close'!L27*EXP((INDEX('Rates 2y'!$J$2:$J$14,MATCH(IF($C27="GBp","GBP",$C27),'Rates 2y'!$A$2:$A$14,0))-'Dividend yield'!L27)*2))</f>
        <v>23.85896056792771</v>
      </c>
      <c r="M27" s="9">
        <f>IF('Year-end close'!M27="","",'Year-end close'!M27*EXP((INDEX('Rates 2y'!$K$2:$K$14,MATCH(IF($C27="GBp","GBP",$C27),'Rates 2y'!$A$2:$A$14,0))-'Dividend yield'!M27)*2))</f>
        <v>29.33651442899721</v>
      </c>
    </row>
    <row r="28">
      <c r="A28" s="2" t="inlineStr">
        <is>
          <t>K.TO</t>
        </is>
      </c>
      <c r="B28" s="2" t="inlineStr">
        <is>
          <t>Kinross Gold Corp</t>
        </is>
      </c>
      <c r="C28" s="2" t="inlineStr">
        <is>
          <t>CAD</t>
        </is>
      </c>
      <c r="D28" s="9">
        <f>IF('Year-end close'!D28="","",'Year-end close'!D28*EXP((INDEX('Rates 2y'!$B$2:$B$14,MATCH(IF($C28="GBp","GBP",$C28),'Rates 2y'!$A$2:$A$14,0))-'Dividend yield'!D28)*2))</f>
        <v>5.606327190894201</v>
      </c>
      <c r="E28" s="9">
        <f>IF('Year-end close'!E28="","",'Year-end close'!E28*EXP((INDEX('Rates 2y'!$C$2:$C$14,MATCH(IF($C28="GBp","GBP",$C28),'Rates 2y'!$A$2:$A$14,0))-'Dividend yield'!E28)*2))</f>
        <v>4.566762552869303</v>
      </c>
      <c r="F28" s="9">
        <f>IF('Year-end close'!F28="","",'Year-end close'!F28*EXP((INDEX('Rates 2y'!$D$2:$D$14,MATCH(IF($C28="GBp","GBP",$C28),'Rates 2y'!$A$2:$A$14,0))-'Dividend yield'!F28)*2))</f>
        <v>6.373041177445207</v>
      </c>
      <c r="G28" s="9">
        <f>IF('Year-end close'!G28="","",'Year-end close'!G28*EXP((INDEX('Rates 2y'!$E$2:$E$14,MATCH(IF($C28="GBp","GBP",$C28),'Rates 2y'!$A$2:$A$14,0))-'Dividend yield'!G28)*2))</f>
        <v>9.22014028034529</v>
      </c>
      <c r="H28" s="9">
        <f>IF('Year-end close'!H28="","",'Year-end close'!H28*EXP((INDEX('Rates 2y'!$F$2:$F$14,MATCH(IF($C28="GBp","GBP",$C28),'Rates 2y'!$A$2:$A$14,0))-'Dividend yield'!H28)*2))</f>
        <v>7.181202460364908</v>
      </c>
      <c r="I28" s="9">
        <f>IF('Year-end close'!I28="","",'Year-end close'!I28*EXP((INDEX('Rates 2y'!$G$2:$G$14,MATCH(IF($C28="GBp","GBP",$C28),'Rates 2y'!$A$2:$A$14,0))-'Dividend yield'!I28)*2))</f>
        <v>5.656785852254034</v>
      </c>
      <c r="J28" s="9">
        <f>IF('Year-end close'!J28="","",'Year-end close'!J28*EXP((INDEX('Rates 2y'!$H$2:$H$14,MATCH(IF($C28="GBp","GBP",$C28),'Rates 2y'!$A$2:$A$14,0))-'Dividend yield'!J28)*2))</f>
        <v>8.31981835179991</v>
      </c>
      <c r="K28" s="9">
        <f>IF('Year-end close'!K28="","",'Year-end close'!K28*EXP((INDEX('Rates 2y'!$I$2:$I$14,MATCH(IF($C28="GBp","GBP",$C28),'Rates 2y'!$A$2:$A$14,0))-'Dividend yield'!K28)*2))</f>
        <v>13.81004719472069</v>
      </c>
      <c r="L28" s="9">
        <f>IF('Year-end close'!L28="","",'Year-end close'!L28*EXP((INDEX('Rates 2y'!$J$2:$J$14,MATCH(IF($C28="GBp","GBP",$C28),'Rates 2y'!$A$2:$A$14,0))-'Dividend yield'!L28)*2))</f>
        <v>40.35436122591592</v>
      </c>
      <c r="M28" s="9">
        <f>IF('Year-end close'!M28="","",'Year-end close'!M28*EXP((INDEX('Rates 2y'!$K$2:$K$14,MATCH(IF($C28="GBp","GBP",$C28),'Rates 2y'!$A$2:$A$14,0))-'Dividend yield'!M28)*2))</f>
        <v>37.00878439868216</v>
      </c>
    </row>
    <row r="29">
      <c r="A29" s="2" t="inlineStr">
        <is>
          <t>KNT.TO</t>
        </is>
      </c>
      <c r="B29" s="2" t="inlineStr">
        <is>
          <t>K92 Mining Inc</t>
        </is>
      </c>
      <c r="C29" s="2" t="inlineStr">
        <is>
          <t>CAD</t>
        </is>
      </c>
      <c r="D29" s="9">
        <f>IF('Year-end close'!D29="","",'Year-end close'!D29*EXP((INDEX('Rates 2y'!$B$2:$B$14,MATCH(IF($C29="GBp","GBP",$C29),'Rates 2y'!$A$2:$A$14,0))-'Dividend yield'!D29)*2))</f>
        <v>0.558563963668426</v>
      </c>
      <c r="E29" s="9">
        <f>IF('Year-end close'!E29="","",'Year-end close'!E29*EXP((INDEX('Rates 2y'!$C$2:$C$14,MATCH(IF($C29="GBp","GBP",$C29),'Rates 2y'!$A$2:$A$14,0))-'Dividend yield'!E29)*2))</f>
        <v>0.8718364873659576</v>
      </c>
      <c r="F29" s="9">
        <f>IF('Year-end close'!F29="","",'Year-end close'!F29*EXP((INDEX('Rates 2y'!$D$2:$D$14,MATCH(IF($C29="GBp","GBP",$C29),'Rates 2y'!$A$2:$A$14,0))-'Dividend yield'!F29)*2))</f>
        <v>2.9796036673769795</v>
      </c>
      <c r="G29" s="9">
        <f>IF('Year-end close'!G29="","",'Year-end close'!G29*EXP((INDEX('Rates 2y'!$E$2:$E$14,MATCH(IF($C29="GBp","GBP",$C29),'Rates 2y'!$A$2:$A$14,0))-'Dividend yield'!G29)*2))</f>
        <v>7.640500961254572</v>
      </c>
      <c r="H29" s="9">
        <f>IF('Year-end close'!H29="","",'Year-end close'!H29*EXP((INDEX('Rates 2y'!$F$2:$F$14,MATCH(IF($C29="GBp","GBP",$C29),'Rates 2y'!$A$2:$A$14,0))-'Dividend yield'!H29)*2))</f>
        <v>7.327916053559165</v>
      </c>
      <c r="I29" s="9">
        <f>IF('Year-end close'!I29="","",'Year-end close'!I29*EXP((INDEX('Rates 2y'!$G$2:$G$14,MATCH(IF($C29="GBp","GBP",$C29),'Rates 2y'!$A$2:$A$14,0))-'Dividend yield'!I29)*2))</f>
        <v>8.317124776667052</v>
      </c>
      <c r="J29" s="9">
        <f>IF('Year-end close'!J29="","",'Year-end close'!J29*EXP((INDEX('Rates 2y'!$H$2:$H$14,MATCH(IF($C29="GBp","GBP",$C29),'Rates 2y'!$A$2:$A$14,0))-'Dividend yield'!J29)*2))</f>
        <v>7.035293827512679</v>
      </c>
      <c r="K29" s="9">
        <f>IF('Year-end close'!K29="","",'Year-end close'!K29*EXP((INDEX('Rates 2y'!$I$2:$I$14,MATCH(IF($C29="GBp","GBP",$C29),'Rates 2y'!$A$2:$A$14,0))-'Dividend yield'!K29)*2))</f>
        <v>9.203846814492852</v>
      </c>
      <c r="L29" s="9">
        <f>IF('Year-end close'!L29="","",'Year-end close'!L29*EXP((INDEX('Rates 2y'!$J$2:$J$14,MATCH(IF($C29="GBp","GBP",$C29),'Rates 2y'!$A$2:$A$14,0))-'Dividend yield'!L29)*2))</f>
        <v>23.90109559762825</v>
      </c>
      <c r="M29" s="9">
        <f>IF('Year-end close'!M29="","",'Year-end close'!M29*EXP((INDEX('Rates 2y'!$K$2:$K$14,MATCH(IF($C29="GBp","GBP",$C29),'Rates 2y'!$A$2:$A$14,0))-'Dividend yield'!M29)*2))</f>
        <v>31.021915617018593</v>
      </c>
    </row>
    <row r="30">
      <c r="A30" s="2" t="inlineStr">
        <is>
          <t>LYC.AX</t>
        </is>
      </c>
      <c r="B30" s="2" t="inlineStr">
        <is>
          <t>Lynas Rare Earths Ltd</t>
        </is>
      </c>
      <c r="C30" s="2" t="inlineStr">
        <is>
          <t>AUD</t>
        </is>
      </c>
      <c r="D30" s="9">
        <f>IF('Year-end close'!D30="","",'Year-end close'!D30*EXP((INDEX('Rates 2y'!$B$2:$B$14,MATCH(IF($C30="GBp","GBP",$C30),'Rates 2y'!$A$2:$A$14,0))-'Dividend yield'!D30)*2))</f>
        <v>2.2689674877394066</v>
      </c>
      <c r="E30" s="9">
        <f>IF('Year-end close'!E30="","",'Year-end close'!E30*EXP((INDEX('Rates 2y'!$C$2:$C$14,MATCH(IF($C30="GBp","GBP",$C30),'Rates 2y'!$A$2:$A$14,0))-'Dividend yield'!E30)*2))</f>
        <v>1.6463890041124187</v>
      </c>
      <c r="F30" s="9">
        <f>IF('Year-end close'!F30="","",'Year-end close'!F30*EXP((INDEX('Rates 2y'!$D$2:$D$14,MATCH(IF($C30="GBp","GBP",$C30),'Rates 2y'!$A$2:$A$14,0))-'Dividend yield'!F30)*2))</f>
        <v>2.3723197349882192</v>
      </c>
      <c r="G30" s="9">
        <f>IF('Year-end close'!G30="","",'Year-end close'!G30*EXP((INDEX('Rates 2y'!$E$2:$E$14,MATCH(IF($C30="GBp","GBP",$C30),'Rates 2y'!$A$2:$A$14,0))-'Dividend yield'!G30)*2))</f>
        <v>3.987967965309321</v>
      </c>
      <c r="H30" s="9">
        <f>IF('Year-end close'!H30="","",'Year-end close'!H30*EXP((INDEX('Rates 2y'!$F$2:$F$14,MATCH(IF($C30="GBp","GBP",$C30),'Rates 2y'!$A$2:$A$14,0))-'Dividend yield'!H30)*2))</f>
        <v>10.29277517776801</v>
      </c>
      <c r="I30" s="9">
        <f>IF('Year-end close'!I30="","",'Year-end close'!I30*EXP((INDEX('Rates 2y'!$G$2:$G$14,MATCH(IF($C30="GBp","GBP",$C30),'Rates 2y'!$A$2:$A$14,0))-'Dividend yield'!I30)*2))</f>
        <v>8.4191892228456</v>
      </c>
      <c r="J30" s="9">
        <f>IF('Year-end close'!J30="","",'Year-end close'!J30*EXP((INDEX('Rates 2y'!$H$2:$H$14,MATCH(IF($C30="GBp","GBP",$C30),'Rates 2y'!$A$2:$A$14,0))-'Dividend yield'!J30)*2))</f>
        <v>7.709936727352934</v>
      </c>
      <c r="K30" s="9">
        <f>IF('Year-end close'!K30="","",'Year-end close'!K30*EXP((INDEX('Rates 2y'!$I$2:$I$14,MATCH(IF($C30="GBp","GBP",$C30),'Rates 2y'!$A$2:$A$14,0))-'Dividend yield'!K30)*2))</f>
        <v>6.94467055120442</v>
      </c>
      <c r="L30" s="9">
        <f>IF('Year-end close'!L30="","",'Year-end close'!L30*EXP((INDEX('Rates 2y'!$J$2:$J$14,MATCH(IF($C30="GBp","GBP",$C30),'Rates 2y'!$A$2:$A$14,0))-'Dividend yield'!L30)*2))</f>
        <v>13.449165873855833</v>
      </c>
      <c r="M30" s="9">
        <f>IF('Year-end close'!M30="","",'Year-end close'!M30*EXP((INDEX('Rates 2y'!$K$2:$K$14,MATCH(IF($C30="GBp","GBP",$C30),'Rates 2y'!$A$2:$A$14,0))-'Dividend yield'!M30)*2))</f>
        <v>15.373564206288583</v>
      </c>
    </row>
    <row r="31">
      <c r="A31" s="2" t="inlineStr">
        <is>
          <t>MSA.TO</t>
        </is>
      </c>
      <c r="B31" s="2" t="inlineStr">
        <is>
          <t>Mineros SA</t>
        </is>
      </c>
      <c r="C31" s="2" t="inlineStr">
        <is>
          <t>CAD</t>
        </is>
      </c>
      <c r="D31" s="9" t="str">
        <f>IF('Year-end close'!D31="","",'Year-end close'!D31*EXP((INDEX('Rates 2y'!$B$2:$B$14,MATCH(IF($C31="GBp","GBP",$C31),'Rates 2y'!$A$2:$A$14,0))-'Dividend yield'!D31)*2))</f>
        <v/>
      </c>
      <c r="E31" s="9" t="str">
        <f>IF('Year-end close'!E31="","",'Year-end close'!E31*EXP((INDEX('Rates 2y'!$C$2:$C$14,MATCH(IF($C31="GBp","GBP",$C31),'Rates 2y'!$A$2:$A$14,0))-'Dividend yield'!E31)*2))</f>
        <v/>
      </c>
      <c r="F31" s="9" t="str">
        <f>IF('Year-end close'!F31="","",'Year-end close'!F31*EXP((INDEX('Rates 2y'!$D$2:$D$14,MATCH(IF($C31="GBp","GBP",$C31),'Rates 2y'!$A$2:$A$14,0))-'Dividend yield'!F31)*2))</f>
        <v/>
      </c>
      <c r="G31" s="9" t="str">
        <f>IF('Year-end close'!G31="","",'Year-end close'!G31*EXP((INDEX('Rates 2y'!$E$2:$E$14,MATCH(IF($C31="GBp","GBP",$C31),'Rates 2y'!$A$2:$A$14,0))-'Dividend yield'!G31)*2))</f>
        <v/>
      </c>
      <c r="H31" s="9">
        <f>IF('Year-end close'!H31="","",'Year-end close'!H31*EXP((INDEX('Rates 2y'!$F$2:$F$14,MATCH(IF($C31="GBp","GBP",$C31),'Rates 2y'!$A$2:$A$14,0))-'Dividend yield'!H31)*2))</f>
        <v>1.151675262937671</v>
      </c>
      <c r="I31" s="9">
        <f>IF('Year-end close'!I31="","",'Year-end close'!I31*EXP((INDEX('Rates 2y'!$G$2:$G$14,MATCH(IF($C31="GBp","GBP",$C31),'Rates 2y'!$A$2:$A$14,0))-'Dividend yield'!I31)*2))</f>
        <v>0.5786236898162495</v>
      </c>
      <c r="J31" s="9">
        <f>IF('Year-end close'!J31="","",'Year-end close'!J31*EXP((INDEX('Rates 2y'!$H$2:$H$14,MATCH(IF($C31="GBp","GBP",$C31),'Rates 2y'!$A$2:$A$14,0))-'Dividend yield'!J31)*2))</f>
        <v>0.5276421791096654</v>
      </c>
      <c r="K31" s="9">
        <f>IF('Year-end close'!K31="","",'Year-end close'!K31*EXP((INDEX('Rates 2y'!$I$2:$I$14,MATCH(IF($C31="GBp","GBP",$C31),'Rates 2y'!$A$2:$A$14,0))-'Dividend yield'!K31)*2))</f>
        <v>1.334088276987611</v>
      </c>
      <c r="L31" s="9">
        <f>IF('Year-end close'!L31="","",'Year-end close'!L31*EXP((INDEX('Rates 2y'!$J$2:$J$14,MATCH(IF($C31="GBp","GBP",$C31),'Rates 2y'!$A$2:$A$14,0))-'Dividend yield'!L31)*2))</f>
        <v>5.632253699434711</v>
      </c>
      <c r="M31" s="9">
        <f>IF('Year-end close'!M31="","",'Year-end close'!M31*EXP((INDEX('Rates 2y'!$K$2:$K$14,MATCH(IF($C31="GBp","GBP",$C31),'Rates 2y'!$A$2:$A$14,0))-'Dividend yield'!M31)*2))</f>
        <v>10.266319144435116</v>
      </c>
    </row>
    <row r="32">
      <c r="A32" s="2" t="inlineStr">
        <is>
          <t>MUX</t>
        </is>
      </c>
      <c r="B32" s="2" t="inlineStr">
        <is>
          <t>McEwen Mining Inc</t>
        </is>
      </c>
      <c r="C32" s="2" t="inlineStr">
        <is>
          <t>USD</t>
        </is>
      </c>
      <c r="D32" s="9">
        <f>IF('Year-end close'!D32="","",'Year-end close'!D32*EXP((INDEX('Rates 2y'!$B$2:$B$14,MATCH(IF($C32="GBp","GBP",$C32),'Rates 2y'!$A$2:$A$14,0))-'Dividend yield'!D32)*2))</f>
        <v>2.3471537947894765</v>
      </c>
      <c r="E32" s="9">
        <f>IF('Year-end close'!E32="","",'Year-end close'!E32*EXP((INDEX('Rates 2y'!$C$2:$C$14,MATCH(IF($C32="GBp","GBP",$C32),'Rates 2y'!$A$2:$A$14,0))-'Dividend yield'!E32)*2))</f>
        <v>1.8920227617653782</v>
      </c>
      <c r="F32" s="9">
        <f>IF('Year-end close'!F32="","",'Year-end close'!F32*EXP((INDEX('Rates 2y'!$D$2:$D$14,MATCH(IF($C32="GBp","GBP",$C32),'Rates 2y'!$A$2:$A$14,0))-'Dividend yield'!F32)*2))</f>
        <v>1.3004923200030687</v>
      </c>
      <c r="G32" s="9">
        <f>IF('Year-end close'!G32="","",'Year-end close'!G32*EXP((INDEX('Rates 2y'!$E$2:$E$14,MATCH(IF($C32="GBp","GBP",$C32),'Rates 2y'!$A$2:$A$14,0))-'Dividend yield'!G32)*2))</f>
        <v>0.9875643321872698</v>
      </c>
      <c r="H32" s="9">
        <f>IF('Year-end close'!H32="","",'Year-end close'!H32*EXP((INDEX('Rates 2y'!$F$2:$F$14,MATCH(IF($C32="GBp","GBP",$C32),'Rates 2y'!$A$2:$A$14,0))-'Dividend yield'!H32)*2))</f>
        <v>0.9000451982216368</v>
      </c>
      <c r="I32" s="9">
        <f>IF('Year-end close'!I32="","",'Year-end close'!I32*EXP((INDEX('Rates 2y'!$G$2:$G$14,MATCH(IF($C32="GBp","GBP",$C32),'Rates 2y'!$A$2:$A$14,0))-'Dividend yield'!I32)*2))</f>
        <v>6.40289097738176</v>
      </c>
      <c r="J32" s="9">
        <f>IF('Year-end close'!J32="","",'Year-end close'!J32*EXP((INDEX('Rates 2y'!$H$2:$H$14,MATCH(IF($C32="GBp","GBP",$C32),'Rates 2y'!$A$2:$A$14,0))-'Dividend yield'!J32)*2))</f>
        <v>7.8496500508954545</v>
      </c>
      <c r="K32" s="9">
        <f>IF('Year-end close'!K32="","",'Year-end close'!K32*EXP((INDEX('Rates 2y'!$I$2:$I$14,MATCH(IF($C32="GBp","GBP",$C32),'Rates 2y'!$A$2:$A$14,0))-'Dividend yield'!K32)*2))</f>
        <v>8.468524904550842</v>
      </c>
      <c r="L32" s="9">
        <f>IF('Year-end close'!L32="","",'Year-end close'!L32*EXP((INDEX('Rates 2y'!$J$2:$J$14,MATCH(IF($C32="GBp","GBP",$C32),'Rates 2y'!$A$2:$A$14,0))-'Dividend yield'!L32)*2))</f>
        <v>19.844187172399923</v>
      </c>
      <c r="M32" s="9">
        <f>IF('Year-end close'!M32="","",'Year-end close'!M32*EXP((INDEX('Rates 2y'!$K$2:$K$14,MATCH(IF($C32="GBp","GBP",$C32),'Rates 2y'!$A$2:$A$14,0))-'Dividend yield'!M32)*2))</f>
        <v>20.390947596923095</v>
      </c>
    </row>
    <row r="33">
      <c r="A33" s="2" t="inlineStr">
        <is>
          <t>NFGC.TO</t>
        </is>
      </c>
      <c r="B33" s="2" t="inlineStr">
        <is>
          <t>New Found Gold Corp</t>
        </is>
      </c>
      <c r="C33" s="2" t="inlineStr">
        <is>
          <t>CAD</t>
        </is>
      </c>
      <c r="D33" s="9" t="str">
        <f>IF('Year-end close'!D33="","",'Year-end close'!D33*EXP((INDEX('Rates 2y'!$B$2:$B$14,MATCH(IF($C33="GBp","GBP",$C33),'Rates 2y'!$A$2:$A$14,0))-'Dividend yield'!D33)*2))</f>
        <v/>
      </c>
      <c r="E33" s="9" t="str">
        <f>IF('Year-end close'!E33="","",'Year-end close'!E33*EXP((INDEX('Rates 2y'!$C$2:$C$14,MATCH(IF($C33="GBp","GBP",$C33),'Rates 2y'!$A$2:$A$14,0))-'Dividend yield'!E33)*2))</f>
        <v/>
      </c>
      <c r="F33" s="9" t="str">
        <f>IF('Year-end close'!F33="","",'Year-end close'!F33*EXP((INDEX('Rates 2y'!$D$2:$D$14,MATCH(IF($C33="GBp","GBP",$C33),'Rates 2y'!$A$2:$A$14,0))-'Dividend yield'!F33)*2))</f>
        <v/>
      </c>
      <c r="G33" s="9">
        <f>IF('Year-end close'!G33="","",'Year-end close'!G33*EXP((INDEX('Rates 2y'!$E$2:$E$14,MATCH(IF($C33="GBp","GBP",$C33),'Rates 2y'!$A$2:$A$14,0))-'Dividend yield'!G33)*2))</f>
        <v>4.086312603456782</v>
      </c>
      <c r="H33" s="9">
        <f>IF('Year-end close'!H33="","",'Year-end close'!H33*EXP((INDEX('Rates 2y'!$F$2:$F$14,MATCH(IF($C33="GBp","GBP",$C33),'Rates 2y'!$A$2:$A$14,0))-'Dividend yield'!H33)*2))</f>
        <v>9.152251204584326</v>
      </c>
      <c r="I33" s="9">
        <f>IF('Year-end close'!I33="","",'Year-end close'!I33*EXP((INDEX('Rates 2y'!$G$2:$G$14,MATCH(IF($C33="GBp","GBP",$C33),'Rates 2y'!$A$2:$A$14,0))-'Dividend yield'!I33)*2))</f>
        <v>5.9098213862888445</v>
      </c>
      <c r="J33" s="9">
        <f>IF('Year-end close'!J33="","",'Year-end close'!J33*EXP((INDEX('Rates 2y'!$H$2:$H$14,MATCH(IF($C33="GBp","GBP",$C33),'Rates 2y'!$A$2:$A$14,0))-'Dividend yield'!J33)*2))</f>
        <v>5.046823682716469</v>
      </c>
      <c r="K33" s="9">
        <f>IF('Year-end close'!K33="","",'Year-end close'!K33*EXP((INDEX('Rates 2y'!$I$2:$I$14,MATCH(IF($C33="GBp","GBP",$C33),'Rates 2y'!$A$2:$A$14,0))-'Dividend yield'!K33)*2))</f>
        <v>2.746309130130932</v>
      </c>
      <c r="L33" s="9">
        <f>IF('Year-end close'!L33="","",'Year-end close'!L33*EXP((INDEX('Rates 2y'!$J$2:$J$14,MATCH(IF($C33="GBp","GBP",$C33),'Rates 2y'!$A$2:$A$14,0))-'Dividend yield'!L33)*2))</f>
        <v>4.27670551460426</v>
      </c>
      <c r="M33" s="9">
        <f>IF('Year-end close'!M33="","",'Year-end close'!M33*EXP((INDEX('Rates 2y'!$K$2:$K$14,MATCH(IF($C33="GBp","GBP",$C33),'Rates 2y'!$A$2:$A$14,0))-'Dividend yield'!M33)*2))</f>
        <v>2.6229055988582783</v>
      </c>
    </row>
    <row r="34">
      <c r="A34" s="2" t="inlineStr">
        <is>
          <t>OBM.AX</t>
        </is>
      </c>
      <c r="B34" s="2" t="inlineStr">
        <is>
          <t>Ora Banda Mining Ltd</t>
        </is>
      </c>
      <c r="C34" s="2" t="inlineStr">
        <is>
          <t>AUD</t>
        </is>
      </c>
      <c r="D34" s="9">
        <f>IF('Year-end close'!D34="","",'Year-end close'!D34*EXP((INDEX('Rates 2y'!$B$2:$B$14,MATCH(IF($C34="GBp","GBP",$C34),'Rates 2y'!$A$2:$A$14,0))-'Dividend yield'!D34)*2))</f>
        <v>0.24459053193521121</v>
      </c>
      <c r="E34" s="9">
        <f>IF('Year-end close'!E34="","",'Year-end close'!E34*EXP((INDEX('Rates 2y'!$C$2:$C$14,MATCH(IF($C34="GBp","GBP",$C34),'Rates 2y'!$A$2:$A$14,0))-'Dividend yield'!E34)*2))</f>
        <v>0.11945409178102724</v>
      </c>
      <c r="F34" s="9">
        <f>IF('Year-end close'!F34="","",'Year-end close'!F34*EXP((INDEX('Rates 2y'!$D$2:$D$14,MATCH(IF($C34="GBp","GBP",$C34),'Rates 2y'!$A$2:$A$14,0))-'Dividend yield'!F34)*2))</f>
        <v>0.18836015063211184</v>
      </c>
      <c r="G34" s="9">
        <f>IF('Year-end close'!G34="","",'Year-end close'!G34*EXP((INDEX('Rates 2y'!$E$2:$E$14,MATCH(IF($C34="GBp","GBP",$C34),'Rates 2y'!$A$2:$A$14,0))-'Dividend yield'!G34)*2))</f>
        <v>0.3056106104068701</v>
      </c>
      <c r="H34" s="9">
        <f>IF('Year-end close'!H34="","",'Year-end close'!H34*EXP((INDEX('Rates 2y'!$F$2:$F$14,MATCH(IF($C34="GBp","GBP",$C34),'Rates 2y'!$A$2:$A$14,0))-'Dividend yield'!H34)*2))</f>
        <v>0.06679677106516115</v>
      </c>
      <c r="I34" s="9">
        <f>IF('Year-end close'!I34="","",'Year-end close'!I34*EXP((INDEX('Rates 2y'!$G$2:$G$14,MATCH(IF($C34="GBp","GBP",$C34),'Rates 2y'!$A$2:$A$14,0))-'Dividend yield'!I34)*2))</f>
        <v>0.0900906872253542</v>
      </c>
      <c r="J34" s="9">
        <f>IF('Year-end close'!J34="","",'Year-end close'!J34*EXP((INDEX('Rates 2y'!$H$2:$H$14,MATCH(IF($C34="GBp","GBP",$C34),'Rates 2y'!$A$2:$A$14,0))-'Dividend yield'!J34)*2))</f>
        <v>0.25843363331909275</v>
      </c>
      <c r="K34" s="9">
        <f>IF('Year-end close'!K34="","",'Year-end close'!K34*EXP((INDEX('Rates 2y'!$I$2:$I$14,MATCH(IF($C34="GBp","GBP",$C34),'Rates 2y'!$A$2:$A$14,0))-'Dividend yield'!K34)*2))</f>
        <v>0.7020273496551903</v>
      </c>
      <c r="L34" s="9">
        <f>IF('Year-end close'!L34="","",'Year-end close'!L34*EXP((INDEX('Rates 2y'!$J$2:$J$14,MATCH(IF($C34="GBp","GBP",$C34),'Rates 2y'!$A$2:$A$14,0))-'Dividend yield'!L34)*2))</f>
        <v>1.6541176677652272</v>
      </c>
      <c r="M34" s="9">
        <f>IF('Year-end close'!M34="","",'Year-end close'!M34*EXP((INDEX('Rates 2y'!$K$2:$K$14,MATCH(IF($C34="GBp","GBP",$C34),'Rates 2y'!$A$2:$A$14,0))-'Dividend yield'!M34)*2))</f>
        <v>1.6703345076452782</v>
      </c>
    </row>
    <row r="35">
      <c r="A35" s="2" t="inlineStr">
        <is>
          <t>OGC.TO</t>
        </is>
      </c>
      <c r="B35" s="2" t="inlineStr">
        <is>
          <t>OceanaGold Corp</t>
        </is>
      </c>
      <c r="C35" s="2" t="inlineStr">
        <is>
          <t>CAD</t>
        </is>
      </c>
      <c r="D35" s="9">
        <f>IF('Year-end close'!D35="","",'Year-end close'!D35*EXP((INDEX('Rates 2y'!$B$2:$B$14,MATCH(IF($C35="GBp","GBP",$C35),'Rates 2y'!$A$2:$A$14,0))-'Dividend yield'!D35)*2))</f>
        <v>3.287679961790103</v>
      </c>
      <c r="E35" s="9">
        <f>IF('Year-end close'!E35="","",'Year-end close'!E35*EXP((INDEX('Rates 2y'!$C$2:$C$14,MATCH(IF($C35="GBp","GBP",$C35),'Rates 2y'!$A$2:$A$14,0))-'Dividend yield'!E35)*2))</f>
        <v>5.0884226522671545</v>
      </c>
      <c r="F35" s="9">
        <f>IF('Year-end close'!F35="","",'Year-end close'!F35*EXP((INDEX('Rates 2y'!$D$2:$D$14,MATCH(IF($C35="GBp","GBP",$C35),'Rates 2y'!$A$2:$A$14,0))-'Dividend yield'!F35)*2))</f>
        <v>2.611428420487075</v>
      </c>
      <c r="G35" s="9">
        <f>IF('Year-end close'!G35="","",'Year-end close'!G35*EXP((INDEX('Rates 2y'!$E$2:$E$14,MATCH(IF($C35="GBp","GBP",$C35),'Rates 2y'!$A$2:$A$14,0))-'Dividend yield'!G35)*2))</f>
        <v>2.469859706266261</v>
      </c>
      <c r="H35" s="9">
        <f>IF('Year-end close'!H35="","",'Year-end close'!H35*EXP((INDEX('Rates 2y'!$F$2:$F$14,MATCH(IF($C35="GBp","GBP",$C35),'Rates 2y'!$A$2:$A$14,0))-'Dividend yield'!H35)*2))</f>
        <v>2.242199626958298</v>
      </c>
      <c r="I35" s="9">
        <f>IF('Year-end close'!I35="","",'Year-end close'!I35*EXP((INDEX('Rates 2y'!$G$2:$G$14,MATCH(IF($C35="GBp","GBP",$C35),'Rates 2y'!$A$2:$A$14,0))-'Dividend yield'!I35)*2))</f>
        <v>2.797676913142242</v>
      </c>
      <c r="J35" s="9">
        <f>IF('Year-end close'!J35="","",'Year-end close'!J35*EXP((INDEX('Rates 2y'!$H$2:$H$14,MATCH(IF($C35="GBp","GBP",$C35),'Rates 2y'!$A$2:$A$14,0))-'Dividend yield'!J35)*2))</f>
        <v>2.6850949246698512</v>
      </c>
      <c r="K35" s="9">
        <f>IF('Year-end close'!K35="","",'Year-end close'!K35*EXP((INDEX('Rates 2y'!$I$2:$I$14,MATCH(IF($C35="GBp","GBP",$C35),'Rates 2y'!$A$2:$A$14,0))-'Dividend yield'!K35)*2))</f>
        <v>4.163324106676508</v>
      </c>
      <c r="L35" s="9">
        <f>IF('Year-end close'!L35="","",'Year-end close'!L35*EXP((INDEX('Rates 2y'!$J$2:$J$14,MATCH(IF($C35="GBp","GBP",$C35),'Rates 2y'!$A$2:$A$14,0))-'Dividend yield'!L35)*2))</f>
        <v>40.62388729545259</v>
      </c>
      <c r="M35" s="9">
        <f>IF('Year-end close'!M35="","",'Year-end close'!M35*EXP((INDEX('Rates 2y'!$K$2:$K$14,MATCH(IF($C35="GBp","GBP",$C35),'Rates 2y'!$A$2:$A$14,0))-'Dividend yield'!M35)*2))</f>
        <v>41.23217693446299</v>
      </c>
    </row>
    <row r="36">
      <c r="A36" s="2" t="inlineStr">
        <is>
          <t>OGG.V</t>
        </is>
      </c>
      <c r="B36" s="2" t="inlineStr">
        <is>
          <t>Osisko Gold Group Inc (formerly Osisko Development)</t>
        </is>
      </c>
      <c r="C36" s="2" t="inlineStr">
        <is>
          <t>CAD</t>
        </is>
      </c>
      <c r="D36" s="9" t="str">
        <f>IF('Year-end close'!D36="","",'Year-end close'!D36*EXP((INDEX('Rates 2y'!$B$2:$B$14,MATCH(IF($C36="GBp","GBP",$C36),'Rates 2y'!$A$2:$A$14,0))-'Dividend yield'!D36)*2))</f>
        <v/>
      </c>
      <c r="E36" s="9" t="str">
        <f>IF('Year-end close'!E36="","",'Year-end close'!E36*EXP((INDEX('Rates 2y'!$C$2:$C$14,MATCH(IF($C36="GBp","GBP",$C36),'Rates 2y'!$A$2:$A$14,0))-'Dividend yield'!E36)*2))</f>
        <v/>
      </c>
      <c r="F36" s="9" t="str">
        <f>IF('Year-end close'!F36="","",'Year-end close'!F36*EXP((INDEX('Rates 2y'!$D$2:$D$14,MATCH(IF($C36="GBp","GBP",$C36),'Rates 2y'!$A$2:$A$14,0))-'Dividend yield'!F36)*2))</f>
        <v/>
      </c>
      <c r="G36" s="9">
        <f>IF('Year-end close'!G36="","",'Year-end close'!G36*EXP((INDEX('Rates 2y'!$E$2:$E$14,MATCH(IF($C36="GBp","GBP",$C36),'Rates 2y'!$A$2:$A$14,0))-'Dividend yield'!G36)*2))</f>
        <v>7.620420801041025</v>
      </c>
      <c r="H36" s="9">
        <f>IF('Year-end close'!H36="","",'Year-end close'!H36*EXP((INDEX('Rates 2y'!$F$2:$F$14,MATCH(IF($C36="GBp","GBP",$C36),'Rates 2y'!$A$2:$A$14,0))-'Dividend yield'!H36)*2))</f>
        <v>4.137877493386677</v>
      </c>
      <c r="I36" s="9">
        <f>IF('Year-end close'!I36="","",'Year-end close'!I36*EXP((INDEX('Rates 2y'!$G$2:$G$14,MATCH(IF($C36="GBp","GBP",$C36),'Rates 2y'!$A$2:$A$14,0))-'Dividend yield'!I36)*2))</f>
        <v>6.256820073190207</v>
      </c>
      <c r="J36" s="9">
        <f>IF('Year-end close'!J36="","",'Year-end close'!J36*EXP((INDEX('Rates 2y'!$H$2:$H$14,MATCH(IF($C36="GBp","GBP",$C36),'Rates 2y'!$A$2:$A$14,0))-'Dividend yield'!J36)*2))</f>
        <v>4.160657639926853</v>
      </c>
      <c r="K36" s="9">
        <f>IF('Year-end close'!K36="","",'Year-end close'!K36*EXP((INDEX('Rates 2y'!$I$2:$I$14,MATCH(IF($C36="GBp","GBP",$C36),'Rates 2y'!$A$2:$A$14,0))-'Dividend yield'!K36)*2))</f>
        <v>2.48122137625729</v>
      </c>
      <c r="L36" s="9">
        <f>IF('Year-end close'!L36="","",'Year-end close'!L36*EXP((INDEX('Rates 2y'!$J$2:$J$14,MATCH(IF($C36="GBp","GBP",$C36),'Rates 2y'!$A$2:$A$14,0))-'Dividend yield'!L36)*2))</f>
        <v>4.898197202687147</v>
      </c>
      <c r="M36" s="9">
        <f>IF('Year-end close'!M36="","",'Year-end close'!M36*EXP((INDEX('Rates 2y'!$K$2:$K$14,MATCH(IF($C36="GBp","GBP",$C36),'Rates 2y'!$A$2:$A$14,0))-'Dividend yield'!M36)*2))</f>
        <v>4.192435455203191</v>
      </c>
    </row>
    <row r="37">
      <c r="A37" s="2" t="inlineStr">
        <is>
          <t>OLA.TO</t>
        </is>
      </c>
      <c r="B37" s="2" t="inlineStr">
        <is>
          <t>Orla Mining Ltd</t>
        </is>
      </c>
      <c r="C37" s="2" t="inlineStr">
        <is>
          <t>CAD</t>
        </is>
      </c>
      <c r="D37" s="9">
        <f>IF('Year-end close'!D37="","",'Year-end close'!D37*EXP((INDEX('Rates 2y'!$B$2:$B$14,MATCH(IF($C37="GBp","GBP",$C37),'Rates 2y'!$A$2:$A$14,0))-'Dividend yield'!D37)*2))</f>
        <v>1.8411923246848114</v>
      </c>
      <c r="E37" s="9">
        <f>IF('Year-end close'!E37="","",'Year-end close'!E37*EXP((INDEX('Rates 2y'!$C$2:$C$14,MATCH(IF($C37="GBp","GBP",$C37),'Rates 2y'!$A$2:$A$14,0))-'Dividend yield'!E37)*2))</f>
        <v>1.0897956092074472</v>
      </c>
      <c r="F37" s="9">
        <f>IF('Year-end close'!F37="","",'Year-end close'!F37*EXP((INDEX('Rates 2y'!$D$2:$D$14,MATCH(IF($C37="GBp","GBP",$C37),'Rates 2y'!$A$2:$A$14,0))-'Dividend yield'!F37)*2))</f>
        <v>2.069169213456236</v>
      </c>
      <c r="G37" s="9">
        <f>IF('Year-end close'!G37="","",'Year-end close'!G37*EXP((INDEX('Rates 2y'!$E$2:$E$14,MATCH(IF($C37="GBp","GBP",$C37),'Rates 2y'!$A$2:$A$14,0))-'Dividend yield'!G37)*2))</f>
        <v>6.8874949532465655</v>
      </c>
      <c r="H37" s="9">
        <f>IF('Year-end close'!H37="","",'Year-end close'!H37*EXP((INDEX('Rates 2y'!$F$2:$F$14,MATCH(IF($C37="GBp","GBP",$C37),'Rates 2y'!$A$2:$A$14,0))-'Dividend yield'!H37)*2))</f>
        <v>4.922647362822081</v>
      </c>
      <c r="I37" s="9">
        <f>IF('Year-end close'!I37="","",'Year-end close'!I37*EXP((INDEX('Rates 2y'!$G$2:$G$14,MATCH(IF($C37="GBp","GBP",$C37),'Rates 2y'!$A$2:$A$14,0))-'Dividend yield'!I37)*2))</f>
        <v>5.942352513185848</v>
      </c>
      <c r="J37" s="9">
        <f>IF('Year-end close'!J37="","",'Year-end close'!J37*EXP((INDEX('Rates 2y'!$H$2:$H$14,MATCH(IF($C37="GBp","GBP",$C37),'Rates 2y'!$A$2:$A$14,0))-'Dividend yield'!J37)*2))</f>
        <v>4.668582079086756</v>
      </c>
      <c r="K37" s="9">
        <f>IF('Year-end close'!K37="","",'Year-end close'!K37*EXP((INDEX('Rates 2y'!$I$2:$I$14,MATCH(IF($C37="GBp","GBP",$C37),'Rates 2y'!$A$2:$A$14,0))-'Dividend yield'!K37)*2))</f>
        <v>8.440394083336765</v>
      </c>
      <c r="L37" s="9">
        <f>IF('Year-end close'!L37="","",'Year-end close'!L37*EXP((INDEX('Rates 2y'!$J$2:$J$14,MATCH(IF($C37="GBp","GBP",$C37),'Rates 2y'!$A$2:$A$14,0))-'Dividend yield'!L37)*2))</f>
        <v>19.445316206796715</v>
      </c>
      <c r="M37" s="9">
        <f>IF('Year-end close'!M37="","",'Year-end close'!M37*EXP((INDEX('Rates 2y'!$K$2:$K$14,MATCH(IF($C37="GBp","GBP",$C37),'Rates 2y'!$A$2:$A$14,0))-'Dividend yield'!M37)*2))</f>
        <v>14.17843749422989</v>
      </c>
    </row>
    <row r="38">
      <c r="A38" s="2" t="inlineStr">
        <is>
          <t>PGM.V</t>
        </is>
      </c>
      <c r="B38" s="2" t="inlineStr">
        <is>
          <t>Pure Gold Mining Inc</t>
        </is>
      </c>
      <c r="C38" s="2" t="inlineStr">
        <is>
          <t>CAD</t>
        </is>
      </c>
      <c r="D38" s="9">
        <f>IF('Year-end close'!D38="","",'Year-end close'!D38*EXP((INDEX('Rates 2y'!$B$2:$B$14,MATCH(IF($C38="GBp","GBP",$C38),'Rates 2y'!$A$2:$A$14,0))-'Dividend yield'!D38)*2))</f>
        <v>0.5792515178783677</v>
      </c>
      <c r="E38" s="9">
        <f>IF('Year-end close'!E38="","",'Year-end close'!E38*EXP((INDEX('Rates 2y'!$C$2:$C$14,MATCH(IF($C38="GBp","GBP",$C38),'Rates 2y'!$A$2:$A$14,0))-'Dividend yield'!E38)*2))</f>
        <v>0.6746353771284197</v>
      </c>
      <c r="F38" s="9">
        <f>IF('Year-end close'!F38="","",'Year-end close'!F38*EXP((INDEX('Rates 2y'!$D$2:$D$14,MATCH(IF($C38="GBp","GBP",$C38),'Rates 2y'!$A$2:$A$14,0))-'Dividend yield'!F38)*2))</f>
        <v>0.8380135314497755</v>
      </c>
      <c r="G38" s="9">
        <f>IF('Year-end close'!G38="","",'Year-end close'!G38*EXP((INDEX('Rates 2y'!$E$2:$E$14,MATCH(IF($C38="GBp","GBP",$C38),'Rates 2y'!$A$2:$A$14,0))-'Dividend yield'!G38)*2))</f>
        <v>2.590340667547542</v>
      </c>
      <c r="H38" s="9">
        <f>IF('Year-end close'!H38="","",'Year-end close'!H38*EXP((INDEX('Rates 2y'!$F$2:$F$14,MATCH(IF($C38="GBp","GBP",$C38),'Rates 2y'!$A$2:$A$14,0))-'Dividend yield'!H38)*2))</f>
        <v>0.6930435210598376</v>
      </c>
      <c r="I38" s="9">
        <f>IF('Year-end close'!I38="","",'Year-end close'!I38*EXP((INDEX('Rates 2y'!$G$2:$G$14,MATCH(IF($C38="GBp","GBP",$C38),'Rates 2y'!$A$2:$A$14,0))-'Dividend yield'!I38)*2))</f>
        <v>0.016265563448501406</v>
      </c>
      <c r="J38" s="9" t="str">
        <f>IF('Year-end close'!J38="","",'Year-end close'!J38*EXP((INDEX('Rates 2y'!$H$2:$H$14,MATCH(IF($C38="GBp","GBP",$C38),'Rates 2y'!$A$2:$A$14,0))-'Dividend yield'!J38)*2))</f>
        <v/>
      </c>
      <c r="K38" s="9" t="str">
        <f>IF('Year-end close'!K38="","",'Year-end close'!K38*EXP((INDEX('Rates 2y'!$I$2:$I$14,MATCH(IF($C38="GBp","GBP",$C38),'Rates 2y'!$A$2:$A$14,0))-'Dividend yield'!K38)*2))</f>
        <v/>
      </c>
      <c r="L38" s="9" t="str">
        <f>IF('Year-end close'!L38="","",'Year-end close'!L38*EXP((INDEX('Rates 2y'!$J$2:$J$14,MATCH(IF($C38="GBp","GBP",$C38),'Rates 2y'!$A$2:$A$14,0))-'Dividend yield'!L38)*2))</f>
        <v/>
      </c>
      <c r="M38" s="9" t="str">
        <f>IF('Year-end close'!M38="","",'Year-end close'!M38*EXP((INDEX('Rates 2y'!$K$2:$K$14,MATCH(IF($C38="GBp","GBP",$C38),'Rates 2y'!$A$2:$A$14,0))-'Dividend yield'!M38)*2))</f>
        <v/>
      </c>
    </row>
    <row r="39">
      <c r="A39" s="2" t="inlineStr">
        <is>
          <t>PNR.AX</t>
        </is>
      </c>
      <c r="B39" s="2" t="inlineStr">
        <is>
          <t>Pantoro Gold Ltd</t>
        </is>
      </c>
      <c r="C39" s="2" t="inlineStr">
        <is>
          <t>AUD</t>
        </is>
      </c>
      <c r="D39" s="9">
        <f>IF('Year-end close'!D39="","",'Year-end close'!D39*EXP((INDEX('Rates 2y'!$B$2:$B$14,MATCH(IF($C39="GBp","GBP",$C39),'Rates 2y'!$A$2:$A$14,0))-'Dividend yield'!D39)*2))</f>
        <v>0.22377431645136348</v>
      </c>
      <c r="E39" s="9">
        <f>IF('Year-end close'!E39="","",'Year-end close'!E39*EXP((INDEX('Rates 2y'!$C$2:$C$14,MATCH(IF($C39="GBp","GBP",$C39),'Rates 2y'!$A$2:$A$14,0))-'Dividend yield'!E39)*2))</f>
        <v>0.20774624657569954</v>
      </c>
      <c r="F39" s="9">
        <f>IF('Year-end close'!F39="","",'Year-end close'!F39*EXP((INDEX('Rates 2y'!$D$2:$D$14,MATCH(IF($C39="GBp","GBP",$C39),'Rates 2y'!$A$2:$A$14,0))-'Dividend yield'!F39)*2))</f>
        <v>0.157815261340418</v>
      </c>
      <c r="G39" s="9">
        <f>IF('Year-end close'!G39="","",'Year-end close'!G39*EXP((INDEX('Rates 2y'!$E$2:$E$14,MATCH(IF($C39="GBp","GBP",$C39),'Rates 2y'!$A$2:$A$14,0))-'Dividend yield'!G39)*2))</f>
        <v>0.22044044029348006</v>
      </c>
      <c r="H39" s="9">
        <f>IF('Year-end close'!H39="","",'Year-end close'!H39*EXP((INDEX('Rates 2y'!$F$2:$F$14,MATCH(IF($C39="GBp","GBP",$C39),'Rates 2y'!$A$2:$A$14,0))-'Dividend yield'!H39)*2))</f>
        <v>0.3390442167701361</v>
      </c>
      <c r="I39" s="9">
        <f>IF('Year-end close'!I39="","",'Year-end close'!I39*EXP((INDEX('Rates 2y'!$G$2:$G$14,MATCH(IF($C39="GBp","GBP",$C39),'Rates 2y'!$A$2:$A$14,0))-'Dividend yield'!I39)*2))</f>
        <v>0.10296078540040479</v>
      </c>
      <c r="J39" s="9">
        <f>IF('Year-end close'!J39="","",'Year-end close'!J39*EXP((INDEX('Rates 2y'!$H$2:$H$14,MATCH(IF($C39="GBp","GBP",$C39),'Rates 2y'!$A$2:$A$14,0))-'Dividend yield'!J39)*2))</f>
        <v>0.06137798791328453</v>
      </c>
      <c r="K39" s="9">
        <f>IF('Year-end close'!K39="","",'Year-end close'!K39*EXP((INDEX('Rates 2y'!$I$2:$I$14,MATCH(IF($C39="GBp","GBP",$C39),'Rates 2y'!$A$2:$A$14,0))-'Dividend yield'!K39)*2))</f>
        <v>0.09720378687533403</v>
      </c>
      <c r="L39" s="9">
        <f>IF('Year-end close'!L39="","",'Year-end close'!L39*EXP((INDEX('Rates 2y'!$J$2:$J$14,MATCH(IF($C39="GBp","GBP",$C39),'Rates 2y'!$A$2:$A$14,0))-'Dividend yield'!L39)*2))</f>
        <v>5.286689800896705</v>
      </c>
      <c r="M39" s="9">
        <f>IF('Year-end close'!M39="","",'Year-end close'!M39*EXP((INDEX('Rates 2y'!$K$2:$K$14,MATCH(IF($C39="GBp","GBP",$C39),'Rates 2y'!$A$2:$A$14,0))-'Dividend yield'!M39)*2))</f>
        <v>3.178500616490044</v>
      </c>
    </row>
    <row r="40">
      <c r="A40" s="2" t="inlineStr">
        <is>
          <t>PSAB.JK</t>
        </is>
      </c>
      <c r="B40" s="2" t="inlineStr">
        <is>
          <t>PT J Resources Asia Pasifik Tbk</t>
        </is>
      </c>
      <c r="C40" s="2" t="inlineStr">
        <is>
          <t>IDR</t>
        </is>
      </c>
      <c r="D40" s="9">
        <f>IF('Year-end close'!D40="","",'Year-end close'!D40*EXP((INDEX('Rates 2y'!$B$2:$B$14,MATCH(IF($C40="GBp","GBP",$C40),'Rates 2y'!$A$2:$A$14,0))-'Dividend yield'!D40)*2))</f>
        <v>201.0162611118526</v>
      </c>
      <c r="E40" s="9">
        <f>IF('Year-end close'!E40="","",'Year-end close'!E40*EXP((INDEX('Rates 2y'!$C$2:$C$14,MATCH(IF($C40="GBp","GBP",$C40),'Rates 2y'!$A$2:$A$14,0))-'Dividend yield'!E40)*2))</f>
        <v>235.6311591292448</v>
      </c>
      <c r="F40" s="9">
        <f>IF('Year-end close'!F40="","",'Year-end close'!F40*EXP((INDEX('Rates 2y'!$D$2:$D$14,MATCH(IF($C40="GBp","GBP",$C40),'Rates 2y'!$A$2:$A$14,0))-'Dividend yield'!F40)*2))</f>
        <v>291.39555246987976</v>
      </c>
      <c r="G40" s="9">
        <f>IF('Year-end close'!G40="","",'Year-end close'!G40*EXP((INDEX('Rates 2y'!$E$2:$E$14,MATCH(IF($C40="GBp","GBP",$C40),'Rates 2y'!$A$2:$A$14,0))-'Dividend yield'!G40)*2))</f>
        <v>286.56033379500093</v>
      </c>
      <c r="H40" s="9">
        <f>IF('Year-end close'!H40="","",'Year-end close'!H40*EXP((INDEX('Rates 2y'!$F$2:$F$14,MATCH(IF($C40="GBp","GBP",$C40),'Rates 2y'!$A$2:$A$14,0))-'Dividend yield'!H40)*2))</f>
        <v>150.27604955514155</v>
      </c>
      <c r="I40" s="9">
        <f>IF('Year-end close'!I40="","",'Year-end close'!I40*EXP((INDEX('Rates 2y'!$G$2:$G$14,MATCH(IF($C40="GBp","GBP",$C40),'Rates 2y'!$A$2:$A$14,0))-'Dividend yield'!I40)*2))</f>
        <v>120.40111991630563</v>
      </c>
      <c r="J40" s="9">
        <f>IF('Year-end close'!J40="","",'Year-end close'!J40*EXP((INDEX('Rates 2y'!$H$2:$H$14,MATCH(IF($C40="GBp","GBP",$C40),'Rates 2y'!$A$2:$A$14,0))-'Dividend yield'!J40)*2))</f>
        <v>100.0166642373413</v>
      </c>
      <c r="K40" s="9">
        <f>IF('Year-end close'!K40="","",'Year-end close'!K40*EXP((INDEX('Rates 2y'!$I$2:$I$14,MATCH(IF($C40="GBp","GBP",$C40),'Rates 2y'!$A$2:$A$14,0))-'Dividend yield'!K40)*2))</f>
        <v>268.6262787641578</v>
      </c>
      <c r="L40" s="9">
        <f>IF('Year-end close'!L40="","",'Year-end close'!L40*EXP((INDEX('Rates 2y'!$J$2:$J$14,MATCH(IF($C40="GBp","GBP",$C40),'Rates 2y'!$A$2:$A$14,0))-'Dividend yield'!L40)*2))</f>
        <v>607.8440049416063</v>
      </c>
      <c r="M40" s="9">
        <f>IF('Year-end close'!M40="","",'Year-end close'!M40*EXP((INDEX('Rates 2y'!$K$2:$K$14,MATCH(IF($C40="GBp","GBP",$C40),'Rates 2y'!$A$2:$A$14,0))-'Dividend yield'!M40)*2))</f>
        <v>356.9496540968909</v>
      </c>
    </row>
    <row r="41">
      <c r="A41" s="2" t="inlineStr">
        <is>
          <t>RMS.AX</t>
        </is>
      </c>
      <c r="B41" s="2" t="inlineStr">
        <is>
          <t>Ramelius Resources Ltd</t>
        </is>
      </c>
      <c r="C41" s="2" t="inlineStr">
        <is>
          <t>AUD</t>
        </is>
      </c>
      <c r="D41" s="9">
        <f>IF('Year-end close'!D41="","",'Year-end close'!D41*EXP((INDEX('Rates 2y'!$B$2:$B$14,MATCH(IF($C41="GBp","GBP",$C41),'Rates 2y'!$A$2:$A$14,0))-'Dividend yield'!D41)*2))</f>
        <v>0.40071214806406946</v>
      </c>
      <c r="E41" s="9">
        <f>IF('Year-end close'!E41="","",'Year-end close'!E41*EXP((INDEX('Rates 2y'!$C$2:$C$14,MATCH(IF($C41="GBp","GBP",$C41),'Rates 2y'!$A$2:$A$14,0))-'Dividend yield'!E41)*2))</f>
        <v>0.4882036794528939</v>
      </c>
      <c r="F41" s="9">
        <f>IF('Year-end close'!F41="","",'Year-end close'!F41*EXP((INDEX('Rates 2y'!$D$2:$D$14,MATCH(IF($C41="GBp","GBP",$C41),'Rates 2y'!$A$2:$A$14,0))-'Dividend yield'!F41)*2))</f>
        <v>1.2372324252732418</v>
      </c>
      <c r="G41" s="9">
        <f>IF('Year-end close'!G41="","",'Year-end close'!G41*EXP((INDEX('Rates 2y'!$E$2:$E$14,MATCH(IF($C41="GBp","GBP",$C41),'Rates 2y'!$A$2:$A$14,0))-'Dividend yield'!G41)*2))</f>
        <v>1.648766716356945</v>
      </c>
      <c r="H41" s="9">
        <f>IF('Year-end close'!H41="","",'Year-end close'!H41*EXP((INDEX('Rates 2y'!$F$2:$F$14,MATCH(IF($C41="GBp","GBP",$C41),'Rates 2y'!$A$2:$A$14,0))-'Dividend yield'!H41)*2))</f>
        <v>1.539145849481415</v>
      </c>
      <c r="I41" s="9">
        <f>IF('Year-end close'!I41="","",'Year-end close'!I41*EXP((INDEX('Rates 2y'!$G$2:$G$14,MATCH(IF($C41="GBp","GBP",$C41),'Rates 2y'!$A$2:$A$14,0))-'Dividend yield'!I41)*2))</f>
        <v>0.9762108385102994</v>
      </c>
      <c r="J41" s="9">
        <f>IF('Year-end close'!J41="","",'Year-end close'!J41*EXP((INDEX('Rates 2y'!$H$2:$H$14,MATCH(IF($C41="GBp","GBP",$C41),'Rates 2y'!$A$2:$A$14,0))-'Dividend yield'!J41)*2))</f>
        <v>1.7718559628475368</v>
      </c>
      <c r="K41" s="9">
        <f>IF('Year-end close'!K41="","",'Year-end close'!K41*EXP((INDEX('Rates 2y'!$I$2:$I$14,MATCH(IF($C41="GBp","GBP",$C41),'Rates 2y'!$A$2:$A$14,0))-'Dividend yield'!K41)*2))</f>
        <v>2.1302484311808394</v>
      </c>
      <c r="L41" s="9">
        <f>IF('Year-end close'!L41="","",'Year-end close'!L41*EXP((INDEX('Rates 2y'!$J$2:$J$14,MATCH(IF($C41="GBp","GBP",$C41),'Rates 2y'!$A$2:$A$14,0))-'Dividend yield'!L41)*2))</f>
        <v>4.327772927608061</v>
      </c>
      <c r="M41" s="9">
        <f>IF('Year-end close'!M41="","",'Year-end close'!M41*EXP((INDEX('Rates 2y'!$K$2:$K$14,MATCH(IF($C41="GBp","GBP",$C41),'Rates 2y'!$A$2:$A$14,0))-'Dividend yield'!M41)*2))</f>
        <v>4.056199725410665</v>
      </c>
    </row>
    <row r="42">
      <c r="A42" s="2" t="inlineStr">
        <is>
          <t>RRL.AX</t>
        </is>
      </c>
      <c r="B42" s="2" t="inlineStr">
        <is>
          <t>Regis Resources Ltd</t>
        </is>
      </c>
      <c r="C42" s="2" t="inlineStr">
        <is>
          <t>AUD</t>
        </is>
      </c>
      <c r="D42" s="9">
        <f>IF('Year-end close'!D42="","",'Year-end close'!D42*EXP((INDEX('Rates 2y'!$B$2:$B$14,MATCH(IF($C42="GBp","GBP",$C42),'Rates 2y'!$A$2:$A$14,0))-'Dividend yield'!D42)*2))</f>
        <v>4.173884023033048</v>
      </c>
      <c r="E42" s="9">
        <f>IF('Year-end close'!E42="","",'Year-end close'!E42*EXP((INDEX('Rates 2y'!$C$2:$C$14,MATCH(IF($C42="GBp","GBP",$C42),'Rates 2y'!$A$2:$A$14,0))-'Dividend yield'!E42)*2))</f>
        <v>4.695452408540541</v>
      </c>
      <c r="F42" s="9">
        <f>IF('Year-end close'!F42="","",'Year-end close'!F42*EXP((INDEX('Rates 2y'!$D$2:$D$14,MATCH(IF($C42="GBp","GBP",$C42),'Rates 2y'!$A$2:$A$14,0))-'Dividend yield'!F42)*2))</f>
        <v>4.104739772627137</v>
      </c>
      <c r="G42" s="9">
        <f>IF('Year-end close'!G42="","",'Year-end close'!G42*EXP((INDEX('Rates 2y'!$E$2:$E$14,MATCH(IF($C42="GBp","GBP",$C42),'Rates 2y'!$A$2:$A$14,0))-'Dividend yield'!G42)*2))</f>
        <v>3.4401793664175453</v>
      </c>
      <c r="H42" s="9">
        <f>IF('Year-end close'!H42="","",'Year-end close'!H42*EXP((INDEX('Rates 2y'!$F$2:$F$14,MATCH(IF($C42="GBp","GBP",$C42),'Rates 2y'!$A$2:$A$14,0))-'Dividend yield'!H42)*2))</f>
        <v>1.8395580868324457</v>
      </c>
      <c r="I42" s="9">
        <f>IF('Year-end close'!I42="","",'Year-end close'!I42*EXP((INDEX('Rates 2y'!$G$2:$G$14,MATCH(IF($C42="GBp","GBP",$C42),'Rates 2y'!$A$2:$A$14,0))-'Dividend yield'!I42)*2))</f>
        <v>2.1668792153221146</v>
      </c>
      <c r="J42" s="9">
        <f>IF('Year-end close'!J42="","",'Year-end close'!J42*EXP((INDEX('Rates 2y'!$H$2:$H$14,MATCH(IF($C42="GBp","GBP",$C42),'Rates 2y'!$A$2:$A$14,0))-'Dividend yield'!J42)*2))</f>
        <v>2.3474388359817593</v>
      </c>
      <c r="K42" s="9">
        <f>IF('Year-end close'!K42="","",'Year-end close'!K42*EXP((INDEX('Rates 2y'!$I$2:$I$14,MATCH(IF($C42="GBp","GBP",$C42),'Rates 2y'!$A$2:$A$14,0))-'Dividend yield'!K42)*2))</f>
        <v>2.754107294801131</v>
      </c>
      <c r="L42" s="9">
        <f>IF('Year-end close'!L42="","",'Year-end close'!L42*EXP((INDEX('Rates 2y'!$J$2:$J$14,MATCH(IF($C42="GBp","GBP",$C42),'Rates 2y'!$A$2:$A$14,0))-'Dividend yield'!L42)*2))</f>
        <v>8.055068843414913</v>
      </c>
      <c r="M42" s="9">
        <f>IF('Year-end close'!M42="","",'Year-end close'!M42*EXP((INDEX('Rates 2y'!$K$2:$K$14,MATCH(IF($C42="GBp","GBP",$C42),'Rates 2y'!$A$2:$A$14,0))-'Dividend yield'!M42)*2))</f>
        <v>7.622774141711859</v>
      </c>
    </row>
    <row r="43">
      <c r="A43" s="2" t="inlineStr">
        <is>
          <t>RSG.AX</t>
        </is>
      </c>
      <c r="B43" s="2" t="inlineStr">
        <is>
          <t>Resolute Mining Ltd</t>
        </is>
      </c>
      <c r="C43" s="2" t="inlineStr">
        <is>
          <t>AUD</t>
        </is>
      </c>
      <c r="D43" s="9">
        <f>IF('Year-end close'!D43="","",'Year-end close'!D43*EXP((INDEX('Rates 2y'!$B$2:$B$14,MATCH(IF($C43="GBp","GBP",$C43),'Rates 2y'!$A$2:$A$14,0))-'Dividend yield'!D43)*2))</f>
        <v>1.1456134553597</v>
      </c>
      <c r="E43" s="9">
        <f>IF('Year-end close'!E43="","",'Year-end close'!E43*EXP((INDEX('Rates 2y'!$C$2:$C$14,MATCH(IF($C43="GBp","GBP",$C43),'Rates 2y'!$A$2:$A$14,0))-'Dividend yield'!E43)*2))</f>
        <v>1.1588965981879522</v>
      </c>
      <c r="F43" s="9">
        <f>IF('Year-end close'!F43="","",'Year-end close'!F43*EXP((INDEX('Rates 2y'!$D$2:$D$14,MATCH(IF($C43="GBp","GBP",$C43),'Rates 2y'!$A$2:$A$14,0))-'Dividend yield'!F43)*2))</f>
        <v>1.2828853502511401</v>
      </c>
      <c r="G43" s="9">
        <f>IF('Year-end close'!G43="","",'Year-end close'!G43*EXP((INDEX('Rates 2y'!$E$2:$E$14,MATCH(IF($C43="GBp","GBP",$C43),'Rates 2y'!$A$2:$A$14,0))-'Dividend yield'!G43)*2))</f>
        <v>0.7965915910605302</v>
      </c>
      <c r="H43" s="9">
        <f>IF('Year-end close'!H43="","",'Year-end close'!H43*EXP((INDEX('Rates 2y'!$F$2:$F$14,MATCH(IF($C43="GBp","GBP",$C43),'Rates 2y'!$A$2:$A$14,0))-'Dividend yield'!H43)*2))</f>
        <v>0.39470819265777035</v>
      </c>
      <c r="I43" s="9">
        <f>IF('Year-end close'!I43="","",'Year-end close'!I43*EXP((INDEX('Rates 2y'!$G$2:$G$14,MATCH(IF($C43="GBp","GBP",$C43),'Rates 2y'!$A$2:$A$14,0))-'Dividend yield'!I43)*2))</f>
        <v>0.2145016362508433</v>
      </c>
      <c r="J43" s="9">
        <f>IF('Year-end close'!J43="","",'Year-end close'!J43*EXP((INDEX('Rates 2y'!$H$2:$H$14,MATCH(IF($C43="GBp","GBP",$C43),'Rates 2y'!$A$2:$A$14,0))-'Dividend yield'!J43)*2))</f>
        <v>0.47917902844581783</v>
      </c>
      <c r="K43" s="9">
        <f>IF('Year-end close'!K43="","",'Year-end close'!K43*EXP((INDEX('Rates 2y'!$I$2:$I$14,MATCH(IF($C43="GBp","GBP",$C43),'Rates 2y'!$A$2:$A$14,0))-'Dividend yield'!K43)*2))</f>
        <v>0.4266166201750772</v>
      </c>
      <c r="L43" s="9">
        <f>IF('Year-end close'!L43="","",'Year-end close'!L43*EXP((INDEX('Rates 2y'!$J$2:$J$14,MATCH(IF($C43="GBp","GBP",$C43),'Rates 2y'!$A$2:$A$14,0))-'Dividend yield'!L43)*2))</f>
        <v>1.3243752568708518</v>
      </c>
      <c r="M43" s="9">
        <f>IF('Year-end close'!M43="","",'Year-end close'!M43*EXP((INDEX('Rates 2y'!$K$2:$K$14,MATCH(IF($C43="GBp","GBP",$C43),'Rates 2y'!$A$2:$A$14,0))-'Dividend yield'!M43)*2))</f>
        <v>1.3189696435775013</v>
      </c>
    </row>
    <row r="44">
      <c r="A44" s="2" t="inlineStr">
        <is>
          <t>SBM.AX</t>
        </is>
      </c>
      <c r="B44" s="2" t="inlineStr">
        <is>
          <t>St Barbara Ltd</t>
        </is>
      </c>
      <c r="C44" s="2" t="inlineStr">
        <is>
          <t>AUD</t>
        </is>
      </c>
      <c r="D44" s="9">
        <f>IF('Year-end close'!D44="","",'Year-end close'!D44*EXP((INDEX('Rates 2y'!$B$2:$B$14,MATCH(IF($C44="GBp","GBP",$C44),'Rates 2y'!$A$2:$A$14,0))-'Dividend yield'!D44)*2))</f>
        <v>3.6990588507005984</v>
      </c>
      <c r="E44" s="9">
        <f>IF('Year-end close'!E44="","",'Year-end close'!E44*EXP((INDEX('Rates 2y'!$C$2:$C$14,MATCH(IF($C44="GBp","GBP",$C44),'Rates 2y'!$A$2:$A$14,0))-'Dividend yield'!E44)*2))</f>
        <v>4.341615477609971</v>
      </c>
      <c r="F44" s="9">
        <f>IF('Year-end close'!F44="","",'Year-end close'!F44*EXP((INDEX('Rates 2y'!$D$2:$D$14,MATCH(IF($C44="GBp","GBP",$C44),'Rates 2y'!$A$2:$A$14,0))-'Dividend yield'!F44)*2))</f>
        <v>2.4244965153768745</v>
      </c>
      <c r="G44" s="9">
        <f>IF('Year-end close'!G44="","",'Year-end close'!G44*EXP((INDEX('Rates 2y'!$E$2:$E$14,MATCH(IF($C44="GBp","GBP",$C44),'Rates 2y'!$A$2:$A$14,0))-'Dividend yield'!G44)*2))</f>
        <v>2.0236516340306876</v>
      </c>
      <c r="H44" s="9">
        <f>IF('Year-end close'!H44="","",'Year-end close'!H44*EXP((INDEX('Rates 2y'!$F$2:$F$14,MATCH(IF($C44="GBp","GBP",$C44),'Rates 2y'!$A$2:$A$14,0))-'Dividend yield'!H44)*2))</f>
        <v>1.2283468518251126</v>
      </c>
      <c r="I44" s="9">
        <f>IF('Year-end close'!I44="","",'Year-end close'!I44*EXP((INDEX('Rates 2y'!$G$2:$G$14,MATCH(IF($C44="GBp","GBP",$C44),'Rates 2y'!$A$2:$A$14,0))-'Dividend yield'!I44)*2))</f>
        <v>0.8311938404720178</v>
      </c>
      <c r="J44" s="9">
        <f>IF('Year-end close'!J44="","",'Year-end close'!J44*EXP((INDEX('Rates 2y'!$H$2:$H$14,MATCH(IF($C44="GBp","GBP",$C44),'Rates 2y'!$A$2:$A$14,0))-'Dividend yield'!J44)*2))</f>
        <v>0.22612942915420617</v>
      </c>
      <c r="K44" s="9">
        <f>IF('Year-end close'!K44="","",'Year-end close'!K44*EXP((INDEX('Rates 2y'!$I$2:$I$14,MATCH(IF($C44="GBp","GBP",$C44),'Rates 2y'!$A$2:$A$14,0))-'Dividend yield'!K44)*2))</f>
        <v>0.2430094671883351</v>
      </c>
      <c r="L44" s="9">
        <f>IF('Year-end close'!L44="","",'Year-end close'!L44*EXP((INDEX('Rates 2y'!$J$2:$J$14,MATCH(IF($C44="GBp","GBP",$C44),'Rates 2y'!$A$2:$A$14,0))-'Dividend yield'!L44)*2))</f>
        <v>0.6270511420286481</v>
      </c>
      <c r="M44" s="9">
        <f>IF('Year-end close'!M44="","",'Year-end close'!M44*EXP((INDEX('Rates 2y'!$K$2:$K$14,MATCH(IF($C44="GBp","GBP",$C44),'Rates 2y'!$A$2:$A$14,0))-'Dividend yield'!M44)*2))</f>
        <v>0.7847399117396557</v>
      </c>
    </row>
    <row r="45">
      <c r="A45" s="2" t="inlineStr">
        <is>
          <t>SPA.V</t>
        </is>
      </c>
      <c r="B45" s="2" t="inlineStr">
        <is>
          <t>Spanish Mountain Gold Ltd</t>
        </is>
      </c>
      <c r="C45" s="2" t="inlineStr">
        <is>
          <t>CAD</t>
        </is>
      </c>
      <c r="D45" s="9">
        <f>IF('Year-end close'!D45="","",'Year-end close'!D45*EXP((INDEX('Rates 2y'!$B$2:$B$14,MATCH(IF($C45="GBp","GBP",$C45),'Rates 2y'!$A$2:$A$14,0))-'Dividend yield'!D45)*2))</f>
        <v>0.14481287946959193</v>
      </c>
      <c r="E45" s="9">
        <f>IF('Year-end close'!E45="","",'Year-end close'!E45*EXP((INDEX('Rates 2y'!$C$2:$C$14,MATCH(IF($C45="GBp","GBP",$C45),'Rates 2y'!$A$2:$A$14,0))-'Dividend yield'!E45)*2))</f>
        <v>0.07265304061382982</v>
      </c>
      <c r="F45" s="9">
        <f>IF('Year-end close'!F45="","",'Year-end close'!F45*EXP((INDEX('Rates 2y'!$D$2:$D$14,MATCH(IF($C45="GBp","GBP",$C45),'Rates 2y'!$A$2:$A$14,0))-'Dividend yield'!F45)*2))</f>
        <v>0.09311261460553061</v>
      </c>
      <c r="G45" s="9">
        <f>IF('Year-end close'!G45="","",'Year-end close'!G45*EXP((INDEX('Rates 2y'!$E$2:$E$14,MATCH(IF($C45="GBp","GBP",$C45),'Rates 2y'!$A$2:$A$14,0))-'Dividend yield'!G45)*2))</f>
        <v>0.3815230440573899</v>
      </c>
      <c r="H45" s="9">
        <f>IF('Year-end close'!H45="","",'Year-end close'!H45*EXP((INDEX('Rates 2y'!$F$2:$F$14,MATCH(IF($C45="GBp","GBP",$C45),'Rates 2y'!$A$2:$A$14,0))-'Dividend yield'!H45)*2))</f>
        <v>0.22421996269582978</v>
      </c>
      <c r="I45" s="9">
        <f>IF('Year-end close'!I45="","",'Year-end close'!I45*EXP((INDEX('Rates 2y'!$G$2:$G$14,MATCH(IF($C45="GBp","GBP",$C45),'Rates 2y'!$A$2:$A$14,0))-'Dividend yield'!I45)*2))</f>
        <v>0.1734993434506817</v>
      </c>
      <c r="J45" s="9">
        <f>IF('Year-end close'!J45="","",'Year-end close'!J45*EXP((INDEX('Rates 2y'!$H$2:$H$14,MATCH(IF($C45="GBp","GBP",$C45),'Rates 2y'!$A$2:$A$14,0))-'Dividend yield'!J45)*2))</f>
        <v>0.19452425329528145</v>
      </c>
      <c r="K45" s="9">
        <f>IF('Year-end close'!K45="","",'Year-end close'!K45*EXP((INDEX('Rates 2y'!$I$2:$I$14,MATCH(IF($C45="GBp","GBP",$C45),'Rates 2y'!$A$2:$A$14,0))-'Dividend yield'!K45)*2))</f>
        <v>0.10603510154945683</v>
      </c>
      <c r="L45" s="9">
        <f>IF('Year-end close'!L45="","",'Year-end close'!L45*EXP((INDEX('Rates 2y'!$J$2:$J$14,MATCH(IF($C45="GBp","GBP",$C45),'Rates 2y'!$A$2:$A$14,0))-'Dividend yield'!L45)*2))</f>
        <v>0.2528101782032075</v>
      </c>
      <c r="M45" s="9">
        <f>IF('Year-end close'!M45="","",'Year-end close'!M45*EXP((INDEX('Rates 2y'!$K$2:$K$14,MATCH(IF($C45="GBp","GBP",$C45),'Rates 2y'!$A$2:$A$14,0))-'Dividend yield'!M45)*2))</f>
        <v>0.3686815098796776</v>
      </c>
    </row>
    <row r="46">
      <c r="A46" s="2" t="inlineStr">
        <is>
          <t>SSRM</t>
        </is>
      </c>
      <c r="B46" s="2" t="inlineStr">
        <is>
          <t>SSR Mining Inc</t>
        </is>
      </c>
      <c r="C46" s="2" t="inlineStr">
        <is>
          <t>USD</t>
        </is>
      </c>
      <c r="D46" s="9">
        <f>IF('Year-end close'!D46="","",'Year-end close'!D46*EXP((INDEX('Rates 2y'!$B$2:$B$14,MATCH(IF($C46="GBp","GBP",$C46),'Rates 2y'!$A$2:$A$14,0))-'Dividend yield'!D46)*2))</f>
        <v>9.12862163009137</v>
      </c>
      <c r="E46" s="9">
        <f>IF('Year-end close'!E46="","",'Year-end close'!E46*EXP((INDEX('Rates 2y'!$C$2:$C$14,MATCH(IF($C46="GBp","GBP",$C46),'Rates 2y'!$A$2:$A$14,0))-'Dividend yield'!E46)*2))</f>
        <v>12.7073258358555</v>
      </c>
      <c r="F46" s="9">
        <f>IF('Year-end close'!F46="","",'Year-end close'!F46*EXP((INDEX('Rates 2y'!$D$2:$D$14,MATCH(IF($C46="GBp","GBP",$C46),'Rates 2y'!$A$2:$A$14,0))-'Dividend yield'!F46)*2))</f>
        <v>19.878334228006587</v>
      </c>
      <c r="G46" s="9">
        <f>IF('Year-end close'!G46="","",'Year-end close'!G46*EXP((INDEX('Rates 2y'!$E$2:$E$14,MATCH(IF($C46="GBp","GBP",$C46),'Rates 2y'!$A$2:$A$14,0))-'Dividend yield'!G46)*2))</f>
        <v>20.162354030747203</v>
      </c>
      <c r="H46" s="9">
        <f>IF('Year-end close'!H46="","",'Year-end close'!H46*EXP((INDEX('Rates 2y'!$F$2:$F$14,MATCH(IF($C46="GBp","GBP",$C46),'Rates 2y'!$A$2:$A$14,0))-'Dividend yield'!H46)*2))</f>
        <v>17.559000010580878</v>
      </c>
      <c r="I46" s="9">
        <f>IF('Year-end close'!I46="","",'Year-end close'!I46*EXP((INDEX('Rates 2y'!$G$2:$G$14,MATCH(IF($C46="GBp","GBP",$C46),'Rates 2y'!$A$2:$A$14,0))-'Dividend yield'!I46)*2))</f>
        <v>16.52063253441386</v>
      </c>
      <c r="J46" s="9">
        <f>IF('Year-end close'!J46="","",'Year-end close'!J46*EXP((INDEX('Rates 2y'!$H$2:$H$14,MATCH(IF($C46="GBp","GBP",$C46),'Rates 2y'!$A$2:$A$14,0))-'Dividend yield'!J46)*2))</f>
        <v>11.120514488834123</v>
      </c>
      <c r="K46" s="9">
        <f>IF('Year-end close'!K46="","",'Year-end close'!K46*EXP((INDEX('Rates 2y'!$I$2:$I$14,MATCH(IF($C46="GBp","GBP",$C46),'Rates 2y'!$A$2:$A$14,0))-'Dividend yield'!K46)*2))</f>
        <v>7.575955441603323</v>
      </c>
      <c r="L46" s="9">
        <f>IF('Year-end close'!L46="","",'Year-end close'!L46*EXP((INDEX('Rates 2y'!$J$2:$J$14,MATCH(IF($C46="GBp","GBP",$C46),'Rates 2y'!$A$2:$A$14,0))-'Dividend yield'!L46)*2))</f>
        <v>23.499977461858798</v>
      </c>
      <c r="M46" s="9">
        <f>IF('Year-end close'!M46="","",'Year-end close'!M46*EXP((INDEX('Rates 2y'!$K$2:$K$14,MATCH(IF($C46="GBp","GBP",$C46),'Rates 2y'!$A$2:$A$14,0))-'Dividend yield'!M46)*2))</f>
        <v>38.18750270291113</v>
      </c>
    </row>
    <row r="47">
      <c r="A47" s="2" t="inlineStr">
        <is>
          <t>STLR.TO</t>
        </is>
      </c>
      <c r="B47" s="2" t="inlineStr">
        <is>
          <t>STLLR Gold Inc</t>
        </is>
      </c>
      <c r="C47" s="2" t="inlineStr">
        <is>
          <t>CAD</t>
        </is>
      </c>
      <c r="D47" s="9">
        <f>IF('Year-end close'!D47="","",'Year-end close'!D47*EXP((INDEX('Rates 2y'!$B$2:$B$14,MATCH(IF($C47="GBp","GBP",$C47),'Rates 2y'!$A$2:$A$14,0))-'Dividend yield'!D47)*2))</f>
        <v>0.1861879878894753</v>
      </c>
      <c r="E47" s="9">
        <f>IF('Year-end close'!E47="","",'Year-end close'!E47*EXP((INDEX('Rates 2y'!$C$2:$C$14,MATCH(IF($C47="GBp","GBP",$C47),'Rates 2y'!$A$2:$A$14,0))-'Dividend yield'!E47)*2))</f>
        <v>0.13492707542568394</v>
      </c>
      <c r="F47" s="9">
        <f>IF('Year-end close'!F47="","",'Year-end close'!F47*EXP((INDEX('Rates 2y'!$D$2:$D$14,MATCH(IF($C47="GBp","GBP",$C47),'Rates 2y'!$A$2:$A$14,0))-'Dividend yield'!F47)*2))</f>
        <v>0.13449599887465533</v>
      </c>
      <c r="G47" s="9">
        <f>IF('Year-end close'!G47="","",'Year-end close'!G47*EXP((INDEX('Rates 2y'!$E$2:$E$14,MATCH(IF($C47="GBp","GBP",$C47),'Rates 2y'!$A$2:$A$14,0))-'Dividend yield'!G47)*2))</f>
        <v>0.3815230440573899</v>
      </c>
      <c r="H47" s="9">
        <f>IF('Year-end close'!H47="","",'Year-end close'!H47*EXP((INDEX('Rates 2y'!$F$2:$F$14,MATCH(IF($C47="GBp","GBP",$C47),'Rates 2y'!$A$2:$A$14,0))-'Dividend yield'!H47)*2))</f>
        <v>2.0893223796656866</v>
      </c>
      <c r="I47" s="9">
        <f>IF('Year-end close'!I47="","",'Year-end close'!I47*EXP((INDEX('Rates 2y'!$G$2:$G$14,MATCH(IF($C47="GBp","GBP",$C47),'Rates 2y'!$A$2:$A$14,0))-'Dividend yield'!I47)*2))</f>
        <v>1.6048689269188054</v>
      </c>
      <c r="J47" s="9">
        <f>IF('Year-end close'!J47="","",'Year-end close'!J47*EXP((INDEX('Rates 2y'!$H$2:$H$14,MATCH(IF($C47="GBp","GBP",$C47),'Rates 2y'!$A$2:$A$14,0))-'Dividend yield'!J47)*2))</f>
        <v>0.8105177220636728</v>
      </c>
      <c r="K47" s="9">
        <f>IF('Year-end close'!K47="","",'Year-end close'!K47*EXP((INDEX('Rates 2y'!$I$2:$I$14,MATCH(IF($C47="GBp","GBP",$C47),'Rates 2y'!$A$2:$A$14,0))-'Dividend yield'!K47)*2))</f>
        <v>0.8800913428604917</v>
      </c>
      <c r="L47" s="9">
        <f>IF('Year-end close'!L47="","",'Year-end close'!L47*EXP((INDEX('Rates 2y'!$J$2:$J$14,MATCH(IF($C47="GBp","GBP",$C47),'Rates 2y'!$A$2:$A$14,0))-'Dividend yield'!L47)*2))</f>
        <v>1.7170024602967844</v>
      </c>
      <c r="M47" s="9">
        <f>IF('Year-end close'!M47="","",'Year-end close'!M47*EXP((INDEX('Rates 2y'!$K$2:$K$14,MATCH(IF($C47="GBp","GBP",$C47),'Rates 2y'!$A$2:$A$14,0))-'Dividend yield'!M47)*2))</f>
        <v>1.7486037325721855</v>
      </c>
    </row>
    <row r="48">
      <c r="A48" s="2" t="inlineStr">
        <is>
          <t>TSK.TO</t>
        </is>
      </c>
      <c r="B48" s="2" t="inlineStr">
        <is>
          <t>Talisker Resources Ltd</t>
        </is>
      </c>
      <c r="C48" s="2" t="inlineStr">
        <is>
          <t>CAD</t>
        </is>
      </c>
      <c r="D48" s="9" t="str">
        <f>IF('Year-end close'!D48="","",'Year-end close'!D48*EXP((INDEX('Rates 2y'!$B$2:$B$14,MATCH(IF($C48="GBp","GBP",$C48),'Rates 2y'!$A$2:$A$14,0))-'Dividend yield'!D48)*2))</f>
        <v/>
      </c>
      <c r="E48" s="9">
        <f>IF('Year-end close'!E48="","",'Year-end close'!E48*EXP((INDEX('Rates 2y'!$C$2:$C$14,MATCH(IF($C48="GBp","GBP",$C48),'Rates 2y'!$A$2:$A$14,0))-'Dividend yield'!E48)*2))</f>
        <v>0.03113701740592706</v>
      </c>
      <c r="F48" s="9">
        <f>IF('Year-end close'!F48="","",'Year-end close'!F48*EXP((INDEX('Rates 2y'!$D$2:$D$14,MATCH(IF($C48="GBp","GBP",$C48),'Rates 2y'!$A$2:$A$14,0))-'Dividend yield'!F48)*2))</f>
        <v>0.3414129202202789</v>
      </c>
      <c r="G48" s="9">
        <f>IF('Year-end close'!G48="","",'Year-end close'!G48*EXP((INDEX('Rates 2y'!$E$2:$E$14,MATCH(IF($C48="GBp","GBP",$C48),'Rates 2y'!$A$2:$A$14,0))-'Dividend yield'!G48)*2))</f>
        <v>0.33634268357690955</v>
      </c>
      <c r="H48" s="9">
        <f>IF('Year-end close'!H48="","",'Year-end close'!H48*EXP((INDEX('Rates 2y'!$F$2:$F$14,MATCH(IF($C48="GBp","GBP",$C48),'Rates 2y'!$A$2:$A$14,0))-'Dividend yield'!H48)*2))</f>
        <v>0.31594631107139654</v>
      </c>
      <c r="I48" s="9">
        <f>IF('Year-end close'!I48="","",'Year-end close'!I48*EXP((INDEX('Rates 2y'!$G$2:$G$14,MATCH(IF($C48="GBp","GBP",$C48),'Rates 2y'!$A$2:$A$14,0))-'Dividend yield'!I48)*2))</f>
        <v>0.15181192551934647</v>
      </c>
      <c r="J48" s="9">
        <f>IF('Year-end close'!J48="","",'Year-end close'!J48*EXP((INDEX('Rates 2y'!$H$2:$H$14,MATCH(IF($C48="GBp","GBP",$C48),'Rates 2y'!$A$2:$A$14,0))-'Dividend yield'!J48)*2))</f>
        <v>0.356627797708016</v>
      </c>
      <c r="K48" s="9">
        <f>IF('Year-end close'!K48="","",'Year-end close'!K48*EXP((INDEX('Rates 2y'!$I$2:$I$14,MATCH(IF($C48="GBp","GBP",$C48),'Rates 2y'!$A$2:$A$14,0))-'Dividend yield'!K48)*2))</f>
        <v>0.33401056988078903</v>
      </c>
      <c r="L48" s="9">
        <f>IF('Year-end close'!L48="","",'Year-end close'!L48*EXP((INDEX('Rates 2y'!$J$2:$J$14,MATCH(IF($C48="GBp","GBP",$C48),'Rates 2y'!$A$2:$A$14,0))-'Dividend yield'!L48)*2))</f>
        <v>1.5168610692192452</v>
      </c>
      <c r="M48" s="9">
        <f>IF('Year-end close'!M48="","",'Year-end close'!M48*EXP((INDEX('Rates 2y'!$K$2:$K$14,MATCH(IF($C48="GBp","GBP",$C48),'Rates 2y'!$A$2:$A$14,0))-'Dividend yield'!M48)*2))</f>
        <v>1.2745846484411714</v>
      </c>
    </row>
    <row r="49">
      <c r="A49" s="2" t="inlineStr">
        <is>
          <t>VAU.AX</t>
        </is>
      </c>
      <c r="B49" s="2" t="inlineStr">
        <is>
          <t>Vault Minerals Ltd</t>
        </is>
      </c>
      <c r="C49" s="2" t="inlineStr">
        <is>
          <t>AUD</t>
        </is>
      </c>
      <c r="D49" s="9">
        <f>IF('Year-end close'!D49="","",'Year-end close'!D49*EXP((INDEX('Rates 2y'!$B$2:$B$14,MATCH(IF($C49="GBp","GBP",$C49),'Rates 2y'!$A$2:$A$14,0))-'Dividend yield'!D49)*2))</f>
        <v>0.06036702490315852</v>
      </c>
      <c r="E49" s="9">
        <f>IF('Year-end close'!E49="","",'Year-end close'!E49*EXP((INDEX('Rates 2y'!$C$2:$C$14,MATCH(IF($C49="GBp","GBP",$C49),'Rates 2y'!$A$2:$A$14,0))-'Dividend yield'!E49)*2))</f>
        <v>0.0924470797261863</v>
      </c>
      <c r="F49" s="9">
        <f>IF('Year-end close'!F49="","",'Year-end close'!F49*EXP((INDEX('Rates 2y'!$D$2:$D$14,MATCH(IF($C49="GBp","GBP",$C49),'Rates 2y'!$A$2:$A$14,0))-'Dividend yield'!F49)*2))</f>
        <v>0.3359937822086319</v>
      </c>
      <c r="G49" s="9">
        <f>IF('Year-end close'!G49="","",'Year-end close'!G49*EXP((INDEX('Rates 2y'!$E$2:$E$14,MATCH(IF($C49="GBp","GBP",$C49),'Rates 2y'!$A$2:$A$14,0))-'Dividend yield'!G49)*2))</f>
        <v>0.2605205203468401</v>
      </c>
      <c r="H49" s="9">
        <f>IF('Year-end close'!H49="","",'Year-end close'!H49*EXP((INDEX('Rates 2y'!$F$2:$F$14,MATCH(IF($C49="GBp","GBP",$C49),'Rates 2y'!$A$2:$A$14,0))-'Dividend yield'!H49)*2))</f>
        <v>0.2935009637711625</v>
      </c>
      <c r="I49" s="9">
        <f>IF('Year-end close'!I49="","",'Year-end close'!I49*EXP((INDEX('Rates 2y'!$G$2:$G$14,MATCH(IF($C49="GBp","GBP",$C49),'Rates 2y'!$A$2:$A$14,0))-'Dividend yield'!I49)*2))</f>
        <v>0.21986417715711437</v>
      </c>
      <c r="J49" s="9">
        <f>IF('Year-end close'!J49="","",'Year-end close'!J49*EXP((INDEX('Rates 2y'!$H$2:$H$14,MATCH(IF($C49="GBp","GBP",$C49),'Rates 2y'!$A$2:$A$14,0))-'Dividend yield'!J49)*2))</f>
        <v>0.3338101097038282</v>
      </c>
      <c r="K49" s="9">
        <f>IF('Year-end close'!K49="","",'Year-end close'!K49*EXP((INDEX('Rates 2y'!$I$2:$I$14,MATCH(IF($C49="GBp","GBP",$C49),'Rates 2y'!$A$2:$A$14,0))-'Dividend yield'!K49)*2))</f>
        <v>0.35641388520955813</v>
      </c>
      <c r="L49" s="9">
        <f>IF('Year-end close'!L49="","",'Year-end close'!L49*EXP((INDEX('Rates 2y'!$J$2:$J$14,MATCH(IF($C49="GBp","GBP",$C49),'Rates 2y'!$A$2:$A$14,0))-'Dividend yield'!L49)*2))</f>
        <v>5.902929716338654</v>
      </c>
      <c r="M49" s="9">
        <f>IF('Year-end close'!M49="","",'Year-end close'!M49*EXP((INDEX('Rates 2y'!$K$2:$K$14,MATCH(IF($C49="GBp","GBP",$C49),'Rates 2y'!$A$2:$A$14,0))-'Dividend yield'!M49)*2))</f>
        <v>6.715422943689893</v>
      </c>
    </row>
    <row r="50">
      <c r="A50" s="2" t="inlineStr">
        <is>
          <t>WAF.AX</t>
        </is>
      </c>
      <c r="B50" s="2" t="inlineStr">
        <is>
          <t>West African Resources Ltd</t>
        </is>
      </c>
      <c r="C50" s="2" t="inlineStr">
        <is>
          <t>AUD</t>
        </is>
      </c>
      <c r="D50" s="9">
        <f>IF('Year-end close'!D50="","",'Year-end close'!D50*EXP((INDEX('Rates 2y'!$B$2:$B$14,MATCH(IF($C50="GBp","GBP",$C50),'Rates 2y'!$A$2:$A$14,0))-'Dividend yield'!D50)*2))</f>
        <v>0.42673241741887913</v>
      </c>
      <c r="E50" s="9">
        <f>IF('Year-end close'!E50="","",'Year-end close'!E50*EXP((INDEX('Rates 2y'!$C$2:$C$14,MATCH(IF($C50="GBp","GBP",$C50),'Rates 2y'!$A$2:$A$14,0))-'Dividend yield'!E50)*2))</f>
        <v>0.2596828082196244</v>
      </c>
      <c r="F50" s="9">
        <f>IF('Year-end close'!F50="","",'Year-end close'!F50*EXP((INDEX('Rates 2y'!$D$2:$D$14,MATCH(IF($C50="GBp","GBP",$C50),'Rates 2y'!$A$2:$A$14,0))-'Dividend yield'!F50)*2))</f>
        <v>0.4378100798476113</v>
      </c>
      <c r="G50" s="9">
        <f>IF('Year-end close'!G50="","",'Year-end close'!G50*EXP((INDEX('Rates 2y'!$E$2:$E$14,MATCH(IF($C50="GBp","GBP",$C50),'Rates 2y'!$A$2:$A$14,0))-'Dividend yield'!G50)*2))</f>
        <v>1.0470920913940303</v>
      </c>
      <c r="H50" s="9">
        <f>IF('Year-end close'!H50="","",'Year-end close'!H50*EXP((INDEX('Rates 2y'!$F$2:$F$14,MATCH(IF($C50="GBp","GBP",$C50),'Rates 2y'!$A$2:$A$14,0))-'Dividend yield'!H50)*2))</f>
        <v>1.3359354213032228</v>
      </c>
      <c r="I50" s="9">
        <f>IF('Year-end close'!I50="","",'Year-end close'!I50*EXP((INDEX('Rates 2y'!$G$2:$G$14,MATCH(IF($C50="GBp","GBP",$C50),'Rates 2y'!$A$2:$A$14,0))-'Dividend yield'!I50)*2))</f>
        <v>1.2601971129737044</v>
      </c>
      <c r="J50" s="9">
        <f>IF('Year-end close'!J50="","",'Year-end close'!J50*EXP((INDEX('Rates 2y'!$H$2:$H$14,MATCH(IF($C50="GBp","GBP",$C50),'Rates 2y'!$A$2:$A$14,0))-'Dividend yield'!J50)*2))</f>
        <v>1.0175824311939277</v>
      </c>
      <c r="K50" s="9">
        <f>IF('Year-end close'!K50="","",'Year-end close'!K50*EXP((INDEX('Rates 2y'!$I$2:$I$14,MATCH(IF($C50="GBp","GBP",$C50),'Rates 2y'!$A$2:$A$14,0))-'Dividend yield'!K50)*2))</f>
        <v>1.5498603796233816</v>
      </c>
      <c r="L50" s="9">
        <f>IF('Year-end close'!L50="","",'Year-end close'!L50*EXP((INDEX('Rates 2y'!$J$2:$J$14,MATCH(IF($C50="GBp","GBP",$C50),'Rates 2y'!$A$2:$A$14,0))-'Dividend yield'!L50)*2))</f>
        <v>3.243367976010249</v>
      </c>
      <c r="M50" s="9">
        <f>IF('Year-end close'!M50="","",'Year-end close'!M50*EXP((INDEX('Rates 2y'!$K$2:$K$14,MATCH(IF($C50="GBp","GBP",$C50),'Rates 2y'!$A$2:$A$14,0))-'Dividend yield'!M50)*2))</f>
        <v>3.3967700323504486</v>
      </c>
    </row>
    <row r="51">
      <c r="A51" s="2" t="inlineStr">
        <is>
          <t>WDO.TO</t>
        </is>
      </c>
      <c r="B51" s="2" t="inlineStr">
        <is>
          <t>Wesdome Gold Mines Ltd</t>
        </is>
      </c>
      <c r="C51" s="2" t="inlineStr">
        <is>
          <t>CAD</t>
        </is>
      </c>
      <c r="D51" s="9">
        <f>IF('Year-end close'!D51="","",'Year-end close'!D51*EXP((INDEX('Rates 2y'!$B$2:$B$14,MATCH(IF($C51="GBp","GBP",$C51),'Rates 2y'!$A$2:$A$14,0))-'Dividend yield'!D51)*2))</f>
        <v>2.1825369691488494</v>
      </c>
      <c r="E51" s="9">
        <f>IF('Year-end close'!E51="","",'Year-end close'!E51*EXP((INDEX('Rates 2y'!$C$2:$C$14,MATCH(IF($C51="GBp","GBP",$C51),'Rates 2y'!$A$2:$A$14,0))-'Dividend yield'!E51)*2))</f>
        <v>4.597899570275229</v>
      </c>
      <c r="F51" s="9">
        <f>IF('Year-end close'!F51="","",'Year-end close'!F51*EXP((INDEX('Rates 2y'!$D$2:$D$14,MATCH(IF($C51="GBp","GBP",$C51),'Rates 2y'!$A$2:$A$14,0))-'Dividend yield'!F51)*2))</f>
        <v>10.52172545042496</v>
      </c>
      <c r="G51" s="9">
        <f>IF('Year-end close'!G51="","",'Year-end close'!G51*EXP((INDEX('Rates 2y'!$E$2:$E$14,MATCH(IF($C51="GBp","GBP",$C51),'Rates 2y'!$A$2:$A$14,0))-'Dividend yield'!G51)*2))</f>
        <v>10.66256507339337</v>
      </c>
      <c r="H51" s="9">
        <f>IF('Year-end close'!H51="","",'Year-end close'!H51*EXP((INDEX('Rates 2y'!$F$2:$F$14,MATCH(IF($C51="GBp","GBP",$C51),'Rates 2y'!$A$2:$A$14,0))-'Dividend yield'!H51)*2))</f>
        <v>11.730780775586368</v>
      </c>
      <c r="I51" s="9">
        <f>IF('Year-end close'!I51="","",'Year-end close'!I51*EXP((INDEX('Rates 2y'!$G$2:$G$14,MATCH(IF($C51="GBp","GBP",$C51),'Rates 2y'!$A$2:$A$14,0))-'Dividend yield'!I51)*2))</f>
        <v>8.11109430631937</v>
      </c>
      <c r="J51" s="9">
        <f>IF('Year-end close'!J51="","",'Year-end close'!J51*EXP((INDEX('Rates 2y'!$H$2:$H$14,MATCH(IF($C51="GBp","GBP",$C51),'Rates 2y'!$A$2:$A$14,0))-'Dividend yield'!J51)*2))</f>
        <v>8.332122182814556</v>
      </c>
      <c r="K51" s="9">
        <f>IF('Year-end close'!K51="","",'Year-end close'!K51*EXP((INDEX('Rates 2y'!$I$2:$I$14,MATCH(IF($C51="GBp","GBP",$C51),'Rates 2y'!$A$2:$A$14,0))-'Dividend yield'!K51)*2))</f>
        <v>13.689131610034877</v>
      </c>
      <c r="L51" s="9">
        <f>IF('Year-end close'!L51="","",'Year-end close'!L51*EXP((INDEX('Rates 2y'!$J$2:$J$14,MATCH(IF($C51="GBp","GBP",$C51),'Rates 2y'!$A$2:$A$14,0))-'Dividend yield'!L51)*2))</f>
        <v>23.953764384753914</v>
      </c>
      <c r="M51" s="9">
        <f>IF('Year-end close'!M51="","",'Year-end close'!M51*EXP((INDEX('Rates 2y'!$K$2:$K$14,MATCH(IF($C51="GBp","GBP",$C51),'Rates 2y'!$A$2:$A$14,0))-'Dividend yield'!M51)*2))</f>
        <v>38.49881367305657</v>
      </c>
    </row>
    <row r="52">
      <c r="A52" s="2" t="inlineStr">
        <is>
          <t>WGX.AX</t>
        </is>
      </c>
      <c r="B52" s="2" t="inlineStr">
        <is>
          <t>Westgold Resources Ltd</t>
        </is>
      </c>
      <c r="C52" s="2" t="inlineStr">
        <is>
          <t>AUD</t>
        </is>
      </c>
      <c r="D52" s="9">
        <f>IF('Year-end close'!D52="","",'Year-end close'!D52*EXP((INDEX('Rates 2y'!$B$2:$B$14,MATCH(IF($C52="GBp","GBP",$C52),'Rates 2y'!$A$2:$A$14,0))-'Dividend yield'!D52)*2))</f>
        <v>1.8422350703205272</v>
      </c>
      <c r="E52" s="9">
        <f>IF('Year-end close'!E52="","",'Year-end close'!E52*EXP((INDEX('Rates 2y'!$C$2:$C$14,MATCH(IF($C52="GBp","GBP",$C52),'Rates 2y'!$A$2:$A$14,0))-'Dividend yield'!E52)*2))</f>
        <v>0.914083484933078</v>
      </c>
      <c r="F52" s="9">
        <f>IF('Year-end close'!F52="","",'Year-end close'!F52*EXP((INDEX('Rates 2y'!$D$2:$D$14,MATCH(IF($C52="GBp","GBP",$C52),'Rates 2y'!$A$2:$A$14,0))-'Dividend yield'!F52)*2))</f>
        <v>2.3315932159326276</v>
      </c>
      <c r="G52" s="9">
        <f>IF('Year-end close'!G52="","",'Year-end close'!G52*EXP((INDEX('Rates 2y'!$E$2:$E$14,MATCH(IF($C52="GBp","GBP",$C52),'Rates 2y'!$A$2:$A$14,0))-'Dividend yield'!G52)*2))</f>
        <v>2.645285283521761</v>
      </c>
      <c r="H52" s="9">
        <f>IF('Year-end close'!H52="","",'Year-end close'!H52*EXP((INDEX('Rates 2y'!$F$2:$F$14,MATCH(IF($C52="GBp","GBP",$C52),'Rates 2y'!$A$2:$A$14,0))-'Dividend yield'!H52)*2))</f>
        <v>2.0245385698579637</v>
      </c>
      <c r="I52" s="9">
        <f>IF('Year-end close'!I52="","",'Year-end close'!I52*EXP((INDEX('Rates 2y'!$G$2:$G$14,MATCH(IF($C52="GBp","GBP",$C52),'Rates 2y'!$A$2:$A$14,0))-'Dividend yield'!I52)*2))</f>
        <v>0.9384446585974395</v>
      </c>
      <c r="J52" s="9">
        <f>IF('Year-end close'!J52="","",'Year-end close'!J52*EXP((INDEX('Rates 2y'!$H$2:$H$14,MATCH(IF($C52="GBp","GBP",$C52),'Rates 2y'!$A$2:$A$14,0))-'Dividend yield'!J52)*2))</f>
        <v>2.3474388359817593</v>
      </c>
      <c r="K52" s="9">
        <f>IF('Year-end close'!K52="","",'Year-end close'!K52*EXP((INDEX('Rates 2y'!$I$2:$I$14,MATCH(IF($C52="GBp","GBP",$C52),'Rates 2y'!$A$2:$A$14,0))-'Dividend yield'!K52)*2))</f>
        <v>3.0082987259795297</v>
      </c>
      <c r="L52" s="9">
        <f>IF('Year-end close'!L52="","",'Year-end close'!L52*EXP((INDEX('Rates 2y'!$J$2:$J$14,MATCH(IF($C52="GBp","GBP",$C52),'Rates 2y'!$A$2:$A$14,0))-'Dividend yield'!L52)*2))</f>
        <v>6.897869115841655</v>
      </c>
      <c r="M52" s="9">
        <f>IF('Year-end close'!M52="","",'Year-end close'!M52*EXP((INDEX('Rates 2y'!$K$2:$K$14,MATCH(IF($C52="GBp","GBP",$C52),'Rates 2y'!$A$2:$A$14,0))-'Dividend yield'!M52)*2))</f>
        <v>5.690617635328649</v>
      </c>
    </row>
    <row r="53">
      <c r="A53" s="2" t="inlineStr">
        <is>
          <t>WMC.AX</t>
        </is>
      </c>
      <c r="B53" s="2" t="inlineStr">
        <is>
          <t>Wiluna Mining Corp Ltd (formerly Blackham Resources)</t>
        </is>
      </c>
      <c r="C53" s="2" t="inlineStr">
        <is>
          <t>AUD</t>
        </is>
      </c>
      <c r="D53" s="9" t="str">
        <f>IF('Year-end close'!D53="","",'Year-end close'!D53*EXP((INDEX('Rates 2y'!$B$2:$B$14,MATCH(IF($C53="GBp","GBP",$C53),'Rates 2y'!$A$2:$A$14,0))-'Dividend yield'!D53)*2))</f>
        <v/>
      </c>
      <c r="E53" s="9" t="str">
        <f>IF('Year-end close'!E53="","",'Year-end close'!E53*EXP((INDEX('Rates 2y'!$C$2:$C$14,MATCH(IF($C53="GBp","GBP",$C53),'Rates 2y'!$A$2:$A$14,0))-'Dividend yield'!E53)*2))</f>
        <v/>
      </c>
      <c r="F53" s="9" t="str">
        <f>IF('Year-end close'!F53="","",'Year-end close'!F53*EXP((INDEX('Rates 2y'!$D$2:$D$14,MATCH(IF($C53="GBp","GBP",$C53),'Rates 2y'!$A$2:$A$14,0))-'Dividend yield'!F53)*2))</f>
        <v/>
      </c>
      <c r="G53" s="9" t="str">
        <f>IF('Year-end close'!G53="","",'Year-end close'!G53*EXP((INDEX('Rates 2y'!$E$2:$E$14,MATCH(IF($C53="GBp","GBP",$C53),'Rates 2y'!$A$2:$A$14,0))-'Dividend yield'!G53)*2))</f>
        <v/>
      </c>
      <c r="H53" s="9" t="str">
        <f>IF('Year-end close'!H53="","",'Year-end close'!H53*EXP((INDEX('Rates 2y'!$F$2:$F$14,MATCH(IF($C53="GBp","GBP",$C53),'Rates 2y'!$A$2:$A$14,0))-'Dividend yield'!H53)*2))</f>
        <v/>
      </c>
      <c r="I53" s="9" t="str">
        <f>IF('Year-end close'!I53="","",'Year-end close'!I53*EXP((INDEX('Rates 2y'!$G$2:$G$14,MATCH(IF($C53="GBp","GBP",$C53),'Rates 2y'!$A$2:$A$14,0))-'Dividend yield'!I53)*2))</f>
        <v/>
      </c>
      <c r="J53" s="9" t="str">
        <f>IF('Year-end close'!J53="","",'Year-end close'!J53*EXP((INDEX('Rates 2y'!$H$2:$H$14,MATCH(IF($C53="GBp","GBP",$C53),'Rates 2y'!$A$2:$A$14,0))-'Dividend yield'!J53)*2))</f>
        <v/>
      </c>
      <c r="K53" s="9" t="str">
        <f>IF('Year-end close'!K53="","",'Year-end close'!K53*EXP((INDEX('Rates 2y'!$I$2:$I$14,MATCH(IF($C53="GBp","GBP",$C53),'Rates 2y'!$A$2:$A$14,0))-'Dividend yield'!K53)*2))</f>
        <v/>
      </c>
      <c r="L53" s="9" t="str">
        <f>IF('Year-end close'!L53="","",'Year-end close'!L53*EXP((INDEX('Rates 2y'!$J$2:$J$14,MATCH(IF($C53="GBp","GBP",$C53),'Rates 2y'!$A$2:$A$14,0))-'Dividend yield'!L53)*2))</f>
        <v/>
      </c>
      <c r="M53" s="9" t="str">
        <f>IF('Year-end close'!M53="","",'Year-end close'!M53*EXP((INDEX('Rates 2y'!$K$2:$K$14,MATCH(IF($C53="GBp","GBP",$C53),'Rates 2y'!$A$2:$A$14,0))-'Dividend yield'!M53)*2))</f>
        <v/>
      </c>
    </row>
    <row r="54"/>
    <row r="55">
      <c r="A55" s="2" t="inlineStr">
        <is>
          <t>Price a 2-year future set at the end of (column year - 2) would have had: close x exp((2y rate - dividend yield) x 2). Carry only, not a forecast.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55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32" customWidth="1" min="2" max="2"/>
    <col width="9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</cols>
  <sheetData>
    <row r="1">
      <c r="A1" s="1" t="inlineStr">
        <is>
          <t>ticker</t>
        </is>
      </c>
      <c r="B1" s="1" t="inlineStr">
        <is>
          <t>company</t>
        </is>
      </c>
      <c r="C1" s="1" t="inlineStr">
        <is>
          <t>currency</t>
        </is>
      </c>
      <c r="D1" s="1" t="inlineStr">
        <is>
          <t>2019</t>
        </is>
      </c>
      <c r="E1" s="1" t="inlineStr">
        <is>
          <t>2020</t>
        </is>
      </c>
      <c r="F1" s="1" t="inlineStr">
        <is>
          <t>2021</t>
        </is>
      </c>
      <c r="G1" s="1" t="inlineStr">
        <is>
          <t>2022</t>
        </is>
      </c>
      <c r="H1" s="1" t="inlineStr">
        <is>
          <t>2023</t>
        </is>
      </c>
      <c r="I1" s="1" t="inlineStr">
        <is>
          <t>2024</t>
        </is>
      </c>
      <c r="J1" s="1" t="inlineStr">
        <is>
          <t>2025</t>
        </is>
      </c>
      <c r="K1" s="1" t="inlineStr">
        <is>
          <t>2026</t>
        </is>
      </c>
      <c r="L1" s="1" t="inlineStr">
        <is>
          <t>2027</t>
        </is>
      </c>
      <c r="M1" s="1" t="inlineStr">
        <is>
          <t>2028</t>
        </is>
      </c>
    </row>
    <row r="2">
      <c r="A2" s="2" t="inlineStr">
        <is>
          <t>2259.HK</t>
        </is>
      </c>
      <c r="B2" s="2" t="inlineStr">
        <is>
          <t>Zijin Gold International Co Ltd</t>
        </is>
      </c>
      <c r="C2" s="2" t="inlineStr">
        <is>
          <t>USD</t>
        </is>
      </c>
      <c r="D2" s="9" t="str">
        <f>IF('2y forward'!D2="","",'2y forward'!D2/IF('2y forward'!$C2="GBp",100,1)/INDEX('FX 2y forward'!$B$2:$B$14,MATCH(IF('2y forward'!$C2="GBp","GBP",'2y forward'!$C2),'FX 2y forward'!$A$2:$A$14,0)))</f>
        <v/>
      </c>
      <c r="E2" s="9" t="str">
        <f>IF('2y forward'!E2="","",'2y forward'!E2/IF('2y forward'!$C2="GBp",100,1)/INDEX('FX 2y forward'!$C$2:$C$14,MATCH(IF('2y forward'!$C2="GBp","GBP",'2y forward'!$C2),'FX 2y forward'!$A$2:$A$14,0)))</f>
        <v/>
      </c>
      <c r="F2" s="9" t="str">
        <f>IF('2y forward'!F2="","",'2y forward'!F2/IF('2y forward'!$C2="GBp",100,1)/INDEX('FX 2y forward'!$D$2:$D$14,MATCH(IF('2y forward'!$C2="GBp","GBP",'2y forward'!$C2),'FX 2y forward'!$A$2:$A$14,0)))</f>
        <v/>
      </c>
      <c r="G2" s="9" t="str">
        <f>IF('2y forward'!G2="","",'2y forward'!G2/IF('2y forward'!$C2="GBp",100,1)/INDEX('FX 2y forward'!$E$2:$E$14,MATCH(IF('2y forward'!$C2="GBp","GBP",'2y forward'!$C2),'FX 2y forward'!$A$2:$A$14,0)))</f>
        <v/>
      </c>
      <c r="H2" s="9" t="str">
        <f>IF('2y forward'!H2="","",'2y forward'!H2/IF('2y forward'!$C2="GBp",100,1)/INDEX('FX 2y forward'!$F$2:$F$14,MATCH(IF('2y forward'!$C2="GBp","GBP",'2y forward'!$C2),'FX 2y forward'!$A$2:$A$14,0)))</f>
        <v/>
      </c>
      <c r="I2" s="9" t="str">
        <f>IF('2y forward'!I2="","",'2y forward'!I2/IF('2y forward'!$C2="GBp",100,1)/INDEX('FX 2y forward'!$G$2:$G$14,MATCH(IF('2y forward'!$C2="GBp","GBP",'2y forward'!$C2),'FX 2y forward'!$A$2:$A$14,0)))</f>
        <v/>
      </c>
      <c r="J2" s="9" t="str">
        <f>IF('2y forward'!J2="","",'2y forward'!J2/IF('2y forward'!$C2="GBp",100,1)/INDEX('FX 2y forward'!$H$2:$H$14,MATCH(IF('2y forward'!$C2="GBp","GBP",'2y forward'!$C2),'FX 2y forward'!$A$2:$A$14,0)))</f>
        <v/>
      </c>
      <c r="K2" s="9" t="str">
        <f>IF('2y forward'!K2="","",'2y forward'!K2/IF('2y forward'!$C2="GBp",100,1)/INDEX('FX 2y forward'!$I$2:$I$14,MATCH(IF('2y forward'!$C2="GBp","GBP",'2y forward'!$C2),'FX 2y forward'!$A$2:$A$14,0)))</f>
        <v/>
      </c>
      <c r="L2" s="9">
        <f>IF('2y forward'!L2="","",'2y forward'!L2/IF('2y forward'!$C2="GBp",100,1)/INDEX('FX 2y forward'!$J$2:$J$14,MATCH(IF('2y forward'!$C2="GBp","GBP",'2y forward'!$C2),'FX 2y forward'!$A$2:$A$14,0)))</f>
        <v>20.144562076136214</v>
      </c>
      <c r="M2" s="9">
        <f>IF('2y forward'!M2="","",'2y forward'!M2/IF('2y forward'!$C2="GBp",100,1)/INDEX('FX 2y forward'!$K$2:$K$14,MATCH(IF('2y forward'!$C2="GBp","GBP",'2y forward'!$C2),'FX 2y forward'!$A$2:$A$14,0)))</f>
        <v>18.75578944091512</v>
      </c>
    </row>
    <row r="3">
      <c r="A3" s="2" t="inlineStr">
        <is>
          <t>600988.SS</t>
        </is>
      </c>
      <c r="B3" s="2" t="inlineStr">
        <is>
          <t>Chifeng Jilong Gold Mining Co Ltd</t>
        </is>
      </c>
      <c r="C3" s="2" t="inlineStr">
        <is>
          <t>USD</t>
        </is>
      </c>
      <c r="D3" s="9">
        <f>IF('2y forward'!D3="","",'2y forward'!D3/IF('2y forward'!$C3="GBp",100,1)/INDEX('FX 2y forward'!$B$2:$B$14,MATCH(IF('2y forward'!$C3="GBp","GBP",'2y forward'!$C3),'FX 2y forward'!$A$2:$A$14,0)))</f>
        <v>1.023959119923027</v>
      </c>
      <c r="E3" s="9">
        <f>IF('2y forward'!E3="","",'2y forward'!E3/IF('2y forward'!$C3="GBp",100,1)/INDEX('FX 2y forward'!$C$2:$C$14,MATCH(IF('2y forward'!$C3="GBp","GBP",'2y forward'!$C3),'FX 2y forward'!$A$2:$A$14,0)))</f>
        <v>0.6098023678373857</v>
      </c>
      <c r="F3" s="9">
        <f>IF('2y forward'!F3="","",'2y forward'!F3/IF('2y forward'!$C3="GBp",100,1)/INDEX('FX 2y forward'!$D$2:$D$14,MATCH(IF('2y forward'!$C3="GBp","GBP",'2y forward'!$C3),'FX 2y forward'!$A$2:$A$14,0)))</f>
        <v>0.7431590308621503</v>
      </c>
      <c r="G3" s="9">
        <f>IF('2y forward'!G3="","",'2y forward'!G3/IF('2y forward'!$C3="GBp",100,1)/INDEX('FX 2y forward'!$E$2:$E$14,MATCH(IF('2y forward'!$C3="GBp","GBP",'2y forward'!$C3),'FX 2y forward'!$A$2:$A$14,0)))</f>
        <v>2.7531548539294226</v>
      </c>
      <c r="H3" s="9">
        <f>IF('2y forward'!H3="","",'2y forward'!H3/IF('2y forward'!$C3="GBp",100,1)/INDEX('FX 2y forward'!$F$2:$F$14,MATCH(IF('2y forward'!$C3="GBp","GBP",'2y forward'!$C3),'FX 2y forward'!$A$2:$A$14,0)))</f>
        <v>2.372708494650517</v>
      </c>
      <c r="I3" s="9">
        <f>IF('2y forward'!I3="","",'2y forward'!I3/IF('2y forward'!$C3="GBp",100,1)/INDEX('FX 2y forward'!$G$2:$G$14,MATCH(IF('2y forward'!$C3="GBp","GBP",'2y forward'!$C3),'FX 2y forward'!$A$2:$A$14,0)))</f>
        <v>2.832390082369867</v>
      </c>
      <c r="J3" s="9">
        <f>IF('2y forward'!J3="","",'2y forward'!J3/IF('2y forward'!$C3="GBp",100,1)/INDEX('FX 2y forward'!$H$2:$H$14,MATCH(IF('2y forward'!$C3="GBp","GBP",'2y forward'!$C3),'FX 2y forward'!$A$2:$A$14,0)))</f>
        <v>2.1461834957710098</v>
      </c>
      <c r="K3" s="9">
        <f>IF('2y forward'!K3="","",'2y forward'!K3/IF('2y forward'!$C3="GBp",100,1)/INDEX('FX 2y forward'!$I$2:$I$14,MATCH(IF('2y forward'!$C3="GBp","GBP",'2y forward'!$C3),'FX 2y forward'!$A$2:$A$14,0)))</f>
        <v>2.3133384420398655</v>
      </c>
      <c r="L3" s="9">
        <f>IF('2y forward'!L3="","",'2y forward'!L3/IF('2y forward'!$C3="GBp",100,1)/INDEX('FX 2y forward'!$J$2:$J$14,MATCH(IF('2y forward'!$C3="GBp","GBP",'2y forward'!$C3),'FX 2y forward'!$A$2:$A$14,0)))</f>
        <v>4.738413969081793</v>
      </c>
      <c r="M3" s="9">
        <f>IF('2y forward'!M3="","",'2y forward'!M3/IF('2y forward'!$C3="GBp",100,1)/INDEX('FX 2y forward'!$K$2:$K$14,MATCH(IF('2y forward'!$C3="GBp","GBP",'2y forward'!$C3),'FX 2y forward'!$A$2:$A$14,0)))</f>
        <v>6.340181875817978</v>
      </c>
    </row>
    <row r="4">
      <c r="A4" s="2" t="inlineStr">
        <is>
          <t>AAUC.TO</t>
        </is>
      </c>
      <c r="B4" s="2" t="inlineStr">
        <is>
          <t>Allied Gold Corp</t>
        </is>
      </c>
      <c r="C4" s="2" t="inlineStr">
        <is>
          <t>USD</t>
        </is>
      </c>
      <c r="D4" s="9" t="str">
        <f>IF('2y forward'!D4="","",'2y forward'!D4/IF('2y forward'!$C4="GBp",100,1)/INDEX('FX 2y forward'!$B$2:$B$14,MATCH(IF('2y forward'!$C4="GBp","GBP",'2y forward'!$C4),'FX 2y forward'!$A$2:$A$14,0)))</f>
        <v/>
      </c>
      <c r="E4" s="9" t="str">
        <f>IF('2y forward'!E4="","",'2y forward'!E4/IF('2y forward'!$C4="GBp",100,1)/INDEX('FX 2y forward'!$C$2:$C$14,MATCH(IF('2y forward'!$C4="GBp","GBP",'2y forward'!$C4),'FX 2y forward'!$A$2:$A$14,0)))</f>
        <v/>
      </c>
      <c r="F4" s="9" t="str">
        <f>IF('2y forward'!F4="","",'2y forward'!F4/IF('2y forward'!$C4="GBp",100,1)/INDEX('FX 2y forward'!$D$2:$D$14,MATCH(IF('2y forward'!$C4="GBp","GBP",'2y forward'!$C4),'FX 2y forward'!$A$2:$A$14,0)))</f>
        <v/>
      </c>
      <c r="G4" s="9" t="str">
        <f>IF('2y forward'!G4="","",'2y forward'!G4/IF('2y forward'!$C4="GBp",100,1)/INDEX('FX 2y forward'!$E$2:$E$14,MATCH(IF('2y forward'!$C4="GBp","GBP",'2y forward'!$C4),'FX 2y forward'!$A$2:$A$14,0)))</f>
        <v/>
      </c>
      <c r="H4" s="9" t="str">
        <f>IF('2y forward'!H4="","",'2y forward'!H4/IF('2y forward'!$C4="GBp",100,1)/INDEX('FX 2y forward'!$F$2:$F$14,MATCH(IF('2y forward'!$C4="GBp","GBP",'2y forward'!$C4),'FX 2y forward'!$A$2:$A$14,0)))</f>
        <v/>
      </c>
      <c r="I4" s="9" t="str">
        <f>IF('2y forward'!I4="","",'2y forward'!I4/IF('2y forward'!$C4="GBp",100,1)/INDEX('FX 2y forward'!$G$2:$G$14,MATCH(IF('2y forward'!$C4="GBp","GBP",'2y forward'!$C4),'FX 2y forward'!$A$2:$A$14,0)))</f>
        <v/>
      </c>
      <c r="J4" s="9">
        <f>IF('2y forward'!J4="","",'2y forward'!J4/IF('2y forward'!$C4="GBp",100,1)/INDEX('FX 2y forward'!$H$2:$H$14,MATCH(IF('2y forward'!$C4="GBp","GBP",'2y forward'!$C4),'FX 2y forward'!$A$2:$A$14,0)))</f>
        <v>2.888520366535178</v>
      </c>
      <c r="K4" s="9">
        <f>IF('2y forward'!K4="","",'2y forward'!K4/IF('2y forward'!$C4="GBp",100,1)/INDEX('FX 2y forward'!$I$2:$I$14,MATCH(IF('2y forward'!$C4="GBp","GBP",'2y forward'!$C4),'FX 2y forward'!$A$2:$A$14,0)))</f>
        <v>2.5866442505453775</v>
      </c>
      <c r="L4" s="9">
        <f>IF('2y forward'!L4="","",'2y forward'!L4/IF('2y forward'!$C4="GBp",100,1)/INDEX('FX 2y forward'!$J$2:$J$14,MATCH(IF('2y forward'!$C4="GBp","GBP",'2y forward'!$C4),'FX 2y forward'!$A$2:$A$14,0)))</f>
        <v>24.620395368716185</v>
      </c>
      <c r="M4" s="9">
        <f>IF('2y forward'!M4="","",'2y forward'!M4/IF('2y forward'!$C4="GBp",100,1)/INDEX('FX 2y forward'!$K$2:$K$14,MATCH(IF('2y forward'!$C4="GBp","GBP",'2y forward'!$C4),'FX 2y forward'!$A$2:$A$14,0)))</f>
        <v>23.906492399881863</v>
      </c>
    </row>
    <row r="5">
      <c r="A5" s="2" t="inlineStr">
        <is>
          <t>AGI.TO</t>
        </is>
      </c>
      <c r="B5" s="2" t="inlineStr">
        <is>
          <t>Alamos Gold Inc</t>
        </is>
      </c>
      <c r="C5" s="2" t="inlineStr">
        <is>
          <t>USD</t>
        </is>
      </c>
      <c r="D5" s="9">
        <f>IF('2y forward'!D5="","",'2y forward'!D5/IF('2y forward'!$C5="GBp",100,1)/INDEX('FX 2y forward'!$B$2:$B$14,MATCH(IF('2y forward'!$C5="GBp","GBP",'2y forward'!$C5),'FX 2y forward'!$A$2:$A$14,0)))</f>
        <v>6.727731591178789</v>
      </c>
      <c r="E5" s="9">
        <f>IF('2y forward'!E5="","",'2y forward'!E5/IF('2y forward'!$C5="GBp",100,1)/INDEX('FX 2y forward'!$C$2:$C$14,MATCH(IF('2y forward'!$C5="GBp","GBP",'2y forward'!$C5),'FX 2y forward'!$A$2:$A$14,0)))</f>
        <v>3.7486017432441034</v>
      </c>
      <c r="F5" s="9">
        <f>IF('2y forward'!F5="","",'2y forward'!F5/IF('2y forward'!$C5="GBp",100,1)/INDEX('FX 2y forward'!$D$2:$D$14,MATCH(IF('2y forward'!$C5="GBp","GBP",'2y forward'!$C5),'FX 2y forward'!$A$2:$A$14,0)))</f>
        <v>6.105961190900448</v>
      </c>
      <c r="G5" s="9">
        <f>IF('2y forward'!G5="","",'2y forward'!G5/IF('2y forward'!$C5="GBp",100,1)/INDEX('FX 2y forward'!$E$2:$E$14,MATCH(IF('2y forward'!$C5="GBp","GBP",'2y forward'!$C5),'FX 2y forward'!$A$2:$A$14,0)))</f>
        <v>8.608036208241328</v>
      </c>
      <c r="H5" s="9">
        <f>IF('2y forward'!H5="","",'2y forward'!H5/IF('2y forward'!$C5="GBp",100,1)/INDEX('FX 2y forward'!$F$2:$F$14,MATCH(IF('2y forward'!$C5="GBp","GBP",'2y forward'!$C5),'FX 2y forward'!$A$2:$A$14,0)))</f>
        <v>7.550494288226754</v>
      </c>
      <c r="I5" s="9">
        <f>IF('2y forward'!I5="","",'2y forward'!I5/IF('2y forward'!$C5="GBp",100,1)/INDEX('FX 2y forward'!$G$2:$G$14,MATCH(IF('2y forward'!$C5="GBp","GBP",'2y forward'!$C5),'FX 2y forward'!$A$2:$A$14,0)))</f>
        <v>10.828468024780891</v>
      </c>
      <c r="J5" s="9">
        <f>IF('2y forward'!J5="","",'2y forward'!J5/IF('2y forward'!$C5="GBp",100,1)/INDEX('FX 2y forward'!$H$2:$H$14,MATCH(IF('2y forward'!$C5="GBp","GBP",'2y forward'!$C5),'FX 2y forward'!$A$2:$A$14,0)))</f>
        <v>14.44426964697482</v>
      </c>
      <c r="K5" s="9">
        <f>IF('2y forward'!K5="","",'2y forward'!K5/IF('2y forward'!$C5="GBp",100,1)/INDEX('FX 2y forward'!$I$2:$I$14,MATCH(IF('2y forward'!$C5="GBp","GBP",'2y forward'!$C5),'FX 2y forward'!$A$2:$A$14,0)))</f>
        <v>19.90988323634209</v>
      </c>
      <c r="L5" s="9">
        <f>IF('2y forward'!L5="","",'2y forward'!L5/IF('2y forward'!$C5="GBp",100,1)/INDEX('FX 2y forward'!$J$2:$J$14,MATCH(IF('2y forward'!$C5="GBp","GBP",'2y forward'!$C5),'FX 2y forward'!$A$2:$A$14,0)))</f>
        <v>41.271991990498556</v>
      </c>
      <c r="M5" s="9">
        <f>IF('2y forward'!M5="","",'2y forward'!M5/IF('2y forward'!$C5="GBp",100,1)/INDEX('FX 2y forward'!$K$2:$K$14,MATCH(IF('2y forward'!$C5="GBp","GBP",'2y forward'!$C5),'FX 2y forward'!$A$2:$A$14,0)))</f>
        <v>36.7509236863213</v>
      </c>
    </row>
    <row r="6">
      <c r="A6" s="2" t="inlineStr">
        <is>
          <t>ALK.AX</t>
        </is>
      </c>
      <c r="B6" s="2" t="inlineStr">
        <is>
          <t>Alkane Resources Ltd</t>
        </is>
      </c>
      <c r="C6" s="2" t="inlineStr">
        <is>
          <t>USD</t>
        </is>
      </c>
      <c r="D6" s="9">
        <f>IF('2y forward'!D6="","",'2y forward'!D6/IF('2y forward'!$C6="GBp",100,1)/INDEX('FX 2y forward'!$B$2:$B$14,MATCH(IF('2y forward'!$C6="GBp","GBP",'2y forward'!$C6),'FX 2y forward'!$A$2:$A$14,0)))</f>
        <v>0.26712036527463456</v>
      </c>
      <c r="E6" s="9">
        <f>IF('2y forward'!E6="","",'2y forward'!E6/IF('2y forward'!$C6="GBp",100,1)/INDEX('FX 2y forward'!$C$2:$C$14,MATCH(IF('2y forward'!$C6="GBp","GBP",'2y forward'!$C6),'FX 2y forward'!$A$2:$A$14,0)))</f>
        <v>0.14438666313508275</v>
      </c>
      <c r="F6" s="9">
        <f>IF('2y forward'!F6="","",'2y forward'!F6/IF('2y forward'!$C6="GBp",100,1)/INDEX('FX 2y forward'!$D$2:$D$14,MATCH(IF('2y forward'!$C6="GBp","GBP",'2y forward'!$C6),'FX 2y forward'!$A$2:$A$14,0)))</f>
        <v>0.4229480728627865</v>
      </c>
      <c r="G6" s="9">
        <f>IF('2y forward'!G6="","",'2y forward'!G6/IF('2y forward'!$C6="GBp",100,1)/INDEX('FX 2y forward'!$E$2:$E$14,MATCH(IF('2y forward'!$C6="GBp","GBP",'2y forward'!$C6),'FX 2y forward'!$A$2:$A$14,0)))</f>
        <v>0.7362390375309168</v>
      </c>
      <c r="H6" s="9">
        <f>IF('2y forward'!H6="","",'2y forward'!H6/IF('2y forward'!$C6="GBp",100,1)/INDEX('FX 2y forward'!$F$2:$F$14,MATCH(IF('2y forward'!$C6="GBp","GBP",'2y forward'!$C6),'FX 2y forward'!$A$2:$A$14,0)))</f>
        <v>0.6731129468691754</v>
      </c>
      <c r="I6" s="9">
        <f>IF('2y forward'!I6="","",'2y forward'!I6/IF('2y forward'!$C6="GBp",100,1)/INDEX('FX 2y forward'!$G$2:$G$14,MATCH(IF('2y forward'!$C6="GBp","GBP",'2y forward'!$C6),'FX 2y forward'!$A$2:$A$14,0)))</f>
        <v>0.39551622463375485</v>
      </c>
      <c r="J6" s="9">
        <f>IF('2y forward'!J6="","",'2y forward'!J6/IF('2y forward'!$C6="GBp",100,1)/INDEX('FX 2y forward'!$H$2:$H$14,MATCH(IF('2y forward'!$C6="GBp","GBP",'2y forward'!$C6),'FX 2y forward'!$A$2:$A$14,0)))</f>
        <v>0.4867902036336755</v>
      </c>
      <c r="K6" s="9">
        <f>IF('2y forward'!K6="","",'2y forward'!K6/IF('2y forward'!$C6="GBp",100,1)/INDEX('FX 2y forward'!$I$2:$I$14,MATCH(IF('2y forward'!$C6="GBp","GBP",'2y forward'!$C6),'FX 2y forward'!$A$2:$A$14,0)))</f>
        <v>0.3452937712169206</v>
      </c>
      <c r="L6" s="9">
        <f>IF('2y forward'!L6="","",'2y forward'!L6/IF('2y forward'!$C6="GBp",100,1)/INDEX('FX 2y forward'!$J$2:$J$14,MATCH(IF('2y forward'!$C6="GBp","GBP",'2y forward'!$C6),'FX 2y forward'!$A$2:$A$14,0)))</f>
        <v>0.9658158262832872</v>
      </c>
      <c r="M6" s="9">
        <f>IF('2y forward'!M6="","",'2y forward'!M6/IF('2y forward'!$C6="GBp",100,1)/INDEX('FX 2y forward'!$K$2:$K$14,MATCH(IF('2y forward'!$C6="GBp","GBP",'2y forward'!$C6),'FX 2y forward'!$A$2:$A$14,0)))</f>
        <v>1.396487514940559</v>
      </c>
    </row>
    <row r="7">
      <c r="A7" s="2" t="inlineStr">
        <is>
          <t>AMRQ.L</t>
        </is>
      </c>
      <c r="B7" s="2" t="inlineStr">
        <is>
          <t>Amaroq Minerals Ltd</t>
        </is>
      </c>
      <c r="C7" s="2" t="inlineStr">
        <is>
          <t>USD</t>
        </is>
      </c>
      <c r="D7" s="9" t="str">
        <f>IF('2y forward'!D7="","",'2y forward'!D7/IF('2y forward'!$C7="GBp",100,1)/INDEX('FX 2y forward'!$B$2:$B$14,MATCH(IF('2y forward'!$C7="GBp","GBP",'2y forward'!$C7),'FX 2y forward'!$A$2:$A$14,0)))</f>
        <v/>
      </c>
      <c r="E7" s="9" t="str">
        <f>IF('2y forward'!E7="","",'2y forward'!E7/IF('2y forward'!$C7="GBp",100,1)/INDEX('FX 2y forward'!$C$2:$C$14,MATCH(IF('2y forward'!$C7="GBp","GBP",'2y forward'!$C7),'FX 2y forward'!$A$2:$A$14,0)))</f>
        <v/>
      </c>
      <c r="F7" s="9" t="str">
        <f>IF('2y forward'!F7="","",'2y forward'!F7/IF('2y forward'!$C7="GBp",100,1)/INDEX('FX 2y forward'!$D$2:$D$14,MATCH(IF('2y forward'!$C7="GBp","GBP",'2y forward'!$C7),'FX 2y forward'!$A$2:$A$14,0)))</f>
        <v/>
      </c>
      <c r="G7" s="9">
        <f>IF('2y forward'!G7="","",'2y forward'!G7/IF('2y forward'!$C7="GBp",100,1)/INDEX('FX 2y forward'!$E$2:$E$14,MATCH(IF('2y forward'!$C7="GBp","GBP",'2y forward'!$C7),'FX 2y forward'!$A$2:$A$14,0)))</f>
        <v>0.6081436472989492</v>
      </c>
      <c r="H7" s="9">
        <f>IF('2y forward'!H7="","",'2y forward'!H7/IF('2y forward'!$C7="GBp",100,1)/INDEX('FX 2y forward'!$F$2:$F$14,MATCH(IF('2y forward'!$C7="GBp","GBP",'2y forward'!$C7),'FX 2y forward'!$A$2:$A$14,0)))</f>
        <v>0.4725428906805763</v>
      </c>
      <c r="I7" s="9">
        <f>IF('2y forward'!I7="","",'2y forward'!I7/IF('2y forward'!$C7="GBp",100,1)/INDEX('FX 2y forward'!$G$2:$G$14,MATCH(IF('2y forward'!$C7="GBp","GBP",'2y forward'!$C7),'FX 2y forward'!$A$2:$A$14,0)))</f>
        <v>0.5466906072433406</v>
      </c>
      <c r="J7" s="9">
        <f>IF('2y forward'!J7="","",'2y forward'!J7/IF('2y forward'!$C7="GBp",100,1)/INDEX('FX 2y forward'!$H$2:$H$14,MATCH(IF('2y forward'!$C7="GBp","GBP",'2y forward'!$C7),'FX 2y forward'!$A$2:$A$14,0)))</f>
        <v>0.8803455206334946</v>
      </c>
      <c r="K7" s="9">
        <f>IF('2y forward'!K7="","",'2y forward'!K7/IF('2y forward'!$C7="GBp",100,1)/INDEX('FX 2y forward'!$I$2:$I$14,MATCH(IF('2y forward'!$C7="GBp","GBP",'2y forward'!$C7),'FX 2y forward'!$A$2:$A$14,0)))</f>
        <v>1.393287903872787</v>
      </c>
      <c r="L7" s="9">
        <f>IF('2y forward'!L7="","",'2y forward'!L7/IF('2y forward'!$C7="GBp",100,1)/INDEX('FX 2y forward'!$J$2:$J$14,MATCH(IF('2y forward'!$C7="GBp","GBP",'2y forward'!$C7),'FX 2y forward'!$A$2:$A$14,0)))</f>
        <v>1.5737314203318504</v>
      </c>
      <c r="M7" s="9">
        <f>IF('2y forward'!M7="","",'2y forward'!M7/IF('2y forward'!$C7="GBp",100,1)/INDEX('FX 2y forward'!$K$2:$K$14,MATCH(IF('2y forward'!$C7="GBp","GBP",'2y forward'!$C7),'FX 2y forward'!$A$2:$A$14,0)))</f>
        <v>1.695429993391379</v>
      </c>
    </row>
    <row r="8">
      <c r="A8" s="2" t="inlineStr">
        <is>
          <t>AR.TO</t>
        </is>
      </c>
      <c r="B8" s="2" t="inlineStr">
        <is>
          <t>Argonaut Gold Inc</t>
        </is>
      </c>
      <c r="C8" s="2" t="inlineStr">
        <is>
          <t>USD</t>
        </is>
      </c>
      <c r="D8" s="9">
        <f>IF('2y forward'!D8="","",'2y forward'!D8/IF('2y forward'!$C8="GBp",100,1)/INDEX('FX 2y forward'!$B$2:$B$14,MATCH(IF('2y forward'!$C8="GBp","GBP",'2y forward'!$C8),'FX 2y forward'!$A$2:$A$14,0)))</f>
        <v>1.983571221019767</v>
      </c>
      <c r="E8" s="9">
        <f>IF('2y forward'!E8="","",'2y forward'!E8/IF('2y forward'!$C8="GBp",100,1)/INDEX('FX 2y forward'!$C$2:$C$14,MATCH(IF('2y forward'!$C8="GBp","GBP",'2y forward'!$C8),'FX 2y forward'!$A$2:$A$14,0)))</f>
        <v>1.2036815053310819</v>
      </c>
      <c r="F8" s="9">
        <f>IF('2y forward'!F8="","",'2y forward'!F8/IF('2y forward'!$C8="GBp",100,1)/INDEX('FX 2y forward'!$D$2:$D$14,MATCH(IF('2y forward'!$C8="GBp","GBP",'2y forward'!$C8),'FX 2y forward'!$A$2:$A$14,0)))</f>
        <v>1.5409735638041895</v>
      </c>
      <c r="G8" s="9">
        <f>IF('2y forward'!G8="","",'2y forward'!G8/IF('2y forward'!$C8="GBp",100,1)/INDEX('FX 2y forward'!$E$2:$E$14,MATCH(IF('2y forward'!$C8="GBp","GBP",'2y forward'!$C8),'FX 2y forward'!$A$2:$A$14,0)))</f>
        <v>2.154496042751844</v>
      </c>
      <c r="H8" s="9">
        <f>IF('2y forward'!H8="","",'2y forward'!H8/IF('2y forward'!$C8="GBp",100,1)/INDEX('FX 2y forward'!$F$2:$F$14,MATCH(IF('2y forward'!$C8="GBp","GBP",'2y forward'!$C8),'FX 2y forward'!$A$2:$A$14,0)))</f>
        <v>1.9108761820183129</v>
      </c>
      <c r="I8" s="9">
        <f>IF('2y forward'!I8="","",'2y forward'!I8/IF('2y forward'!$C8="GBp",100,1)/INDEX('FX 2y forward'!$G$2:$G$14,MATCH(IF('2y forward'!$C8="GBp","GBP",'2y forward'!$C8),'FX 2y forward'!$A$2:$A$14,0)))</f>
        <v>0.4192551844593188</v>
      </c>
      <c r="J8" s="9">
        <f>IF('2y forward'!J8="","",'2y forward'!J8/IF('2y forward'!$C8="GBp",100,1)/INDEX('FX 2y forward'!$H$2:$H$14,MATCH(IF('2y forward'!$C8="GBp","GBP",'2y forward'!$C8),'FX 2y forward'!$A$2:$A$14,0)))</f>
        <v>0.3867819294220894</v>
      </c>
      <c r="K8" s="9">
        <f>IF('2y forward'!K8="","",'2y forward'!K8/IF('2y forward'!$C8="GBp",100,1)/INDEX('FX 2y forward'!$I$2:$I$14,MATCH(IF('2y forward'!$C8="GBp","GBP",'2y forward'!$C8),'FX 2y forward'!$A$2:$A$14,0)))</f>
        <v>0.39444428454064406</v>
      </c>
      <c r="L8" s="9" t="str">
        <f>IF('2y forward'!L8="","",'2y forward'!L8/IF('2y forward'!$C8="GBp",100,1)/INDEX('FX 2y forward'!$J$2:$J$14,MATCH(IF('2y forward'!$C8="GBp","GBP",'2y forward'!$C8),'FX 2y forward'!$A$2:$A$14,0)))</f>
        <v/>
      </c>
      <c r="M8" s="9" t="str">
        <f>IF('2y forward'!M8="","",'2y forward'!M8/IF('2y forward'!$C8="GBp",100,1)/INDEX('FX 2y forward'!$K$2:$K$14,MATCH(IF('2y forward'!$C8="GBp","GBP",'2y forward'!$C8),'FX 2y forward'!$A$2:$A$14,0)))</f>
        <v/>
      </c>
    </row>
    <row r="9">
      <c r="A9" s="2" t="inlineStr">
        <is>
          <t>ASE.V</t>
        </is>
      </c>
      <c r="B9" s="2" t="inlineStr">
        <is>
          <t>Asante Gold Corp</t>
        </is>
      </c>
      <c r="C9" s="2" t="inlineStr">
        <is>
          <t>USD</t>
        </is>
      </c>
      <c r="D9" s="9">
        <f>IF('2y forward'!D9="","",'2y forward'!D9/IF('2y forward'!$C9="GBp",100,1)/INDEX('FX 2y forward'!$B$2:$B$14,MATCH(IF('2y forward'!$C9="GBp","GBP",'2y forward'!$C9),'FX 2y forward'!$A$2:$A$14,0)))</f>
        <v>0.061986600656867716</v>
      </c>
      <c r="E9" s="9">
        <f>IF('2y forward'!E9="","",'2y forward'!E9/IF('2y forward'!$C9="GBp",100,1)/INDEX('FX 2y forward'!$C$2:$C$14,MATCH(IF('2y forward'!$C9="GBp","GBP",'2y forward'!$C9),'FX 2y forward'!$A$2:$A$14,0)))</f>
        <v>0.023147721256366955</v>
      </c>
      <c r="F9" s="9">
        <f>IF('2y forward'!F9="","",'2y forward'!F9/IF('2y forward'!$C9="GBp",100,1)/INDEX('FX 2y forward'!$D$2:$D$14,MATCH(IF('2y forward'!$C9="GBp","GBP",'2y forward'!$C9),'FX 2y forward'!$A$2:$A$14,0)))</f>
        <v>0.03556092839548129</v>
      </c>
      <c r="G9" s="9">
        <f>IF('2y forward'!G9="","",'2y forward'!G9/IF('2y forward'!$C9="GBp",100,1)/INDEX('FX 2y forward'!$E$2:$E$14,MATCH(IF('2y forward'!$C9="GBp","GBP",'2y forward'!$C9),'FX 2y forward'!$A$2:$A$14,0)))</f>
        <v>0.08649436667981854</v>
      </c>
      <c r="H9" s="9">
        <f>IF('2y forward'!H9="","",'2y forward'!H9/IF('2y forward'!$C9="GBp",100,1)/INDEX('FX 2y forward'!$F$2:$F$14,MATCH(IF('2y forward'!$C9="GBp","GBP",'2y forward'!$C9),'FX 2y forward'!$A$2:$A$14,0)))</f>
        <v>0.9713620591926424</v>
      </c>
      <c r="I9" s="9">
        <f>IF('2y forward'!I9="","",'2y forward'!I9/IF('2y forward'!$C9="GBp",100,1)/INDEX('FX 2y forward'!$G$2:$G$14,MATCH(IF('2y forward'!$C9="GBp","GBP",'2y forward'!$C9),'FX 2y forward'!$A$2:$A$14,0)))</f>
        <v>1.1045761590562824</v>
      </c>
      <c r="J9" s="9">
        <f>IF('2y forward'!J9="","",'2y forward'!J9/IF('2y forward'!$C9="GBp",100,1)/INDEX('FX 2y forward'!$H$2:$H$14,MATCH(IF('2y forward'!$C9="GBp","GBP",'2y forward'!$C9),'FX 2y forward'!$A$2:$A$14,0)))</f>
        <v>1.1685751910199296</v>
      </c>
      <c r="K9" s="9">
        <f>IF('2y forward'!K9="","",'2y forward'!K9/IF('2y forward'!$C9="GBp",100,1)/INDEX('FX 2y forward'!$I$2:$I$14,MATCH(IF('2y forward'!$C9="GBp","GBP",'2y forward'!$C9),'FX 2y forward'!$A$2:$A$14,0)))</f>
        <v>0.7964740360916851</v>
      </c>
      <c r="L9" s="9">
        <f>IF('2y forward'!L9="","",'2y forward'!L9/IF('2y forward'!$C9="GBp",100,1)/INDEX('FX 2y forward'!$J$2:$J$14,MATCH(IF('2y forward'!$C9="GBp","GBP",'2y forward'!$C9),'FX 2y forward'!$A$2:$A$14,0)))</f>
        <v>1.2916900590900384</v>
      </c>
      <c r="M9" s="9">
        <f>IF('2y forward'!M9="","",'2y forward'!M9/IF('2y forward'!$C9="GBp",100,1)/INDEX('FX 2y forward'!$K$2:$K$14,MATCH(IF('2y forward'!$C9="GBp","GBP",'2y forward'!$C9),'FX 2y forward'!$A$2:$A$14,0)))</f>
        <v>0.6516508229444818</v>
      </c>
    </row>
    <row r="10">
      <c r="A10" s="2" t="inlineStr">
        <is>
          <t>AU</t>
        </is>
      </c>
      <c r="B10" s="2" t="inlineStr">
        <is>
          <t>AngloGold Ashanti plc</t>
        </is>
      </c>
      <c r="C10" s="2" t="inlineStr">
        <is>
          <t>USD</t>
        </is>
      </c>
      <c r="D10" s="9">
        <f>IF('2y forward'!D10="","",'2y forward'!D10/IF('2y forward'!$C10="GBp",100,1)/INDEX('FX 2y forward'!$B$2:$B$14,MATCH(IF('2y forward'!$C10="GBp","GBP",'2y forward'!$C10),'FX 2y forward'!$A$2:$A$14,0)))</f>
        <v>10.378920219543753</v>
      </c>
      <c r="E10" s="9">
        <f>IF('2y forward'!E10="","",'2y forward'!E10/IF('2y forward'!$C10="GBp",100,1)/INDEX('FX 2y forward'!$C$2:$C$14,MATCH(IF('2y forward'!$C10="GBp","GBP",'2y forward'!$C10),'FX 2y forward'!$A$2:$A$14,0)))</f>
        <v>13.065284383792187</v>
      </c>
      <c r="F10" s="9">
        <f>IF('2y forward'!F10="","",'2y forward'!F10/IF('2y forward'!$C10="GBp",100,1)/INDEX('FX 2y forward'!$D$2:$D$14,MATCH(IF('2y forward'!$C10="GBp","GBP",'2y forward'!$C10),'FX 2y forward'!$A$2:$A$14,0)))</f>
        <v>22.917270431676876</v>
      </c>
      <c r="G10" s="9">
        <f>IF('2y forward'!G10="","",'2y forward'!G10/IF('2y forward'!$C10="GBp",100,1)/INDEX('FX 2y forward'!$E$2:$E$14,MATCH(IF('2y forward'!$C10="GBp","GBP",'2y forward'!$C10),'FX 2y forward'!$A$2:$A$14,0)))</f>
        <v>22.459382838622044</v>
      </c>
      <c r="H10" s="9">
        <f>IF('2y forward'!H10="","",'2y forward'!H10/IF('2y forward'!$C10="GBp",100,1)/INDEX('FX 2y forward'!$F$2:$F$14,MATCH(IF('2y forward'!$C10="GBp","GBP",'2y forward'!$C10),'FX 2y forward'!$A$2:$A$14,0)))</f>
        <v>20.220392056980053</v>
      </c>
      <c r="I10" s="9">
        <f>IF('2y forward'!I10="","",'2y forward'!I10/IF('2y forward'!$C10="GBp",100,1)/INDEX('FX 2y forward'!$G$2:$G$14,MATCH(IF('2y forward'!$C10="GBp","GBP",'2y forward'!$C10),'FX 2y forward'!$A$2:$A$14,0)))</f>
        <v>20.28114147448634</v>
      </c>
      <c r="J10" s="9">
        <f>IF('2y forward'!J10="","",'2y forward'!J10/IF('2y forward'!$C10="GBp",100,1)/INDEX('FX 2y forward'!$H$2:$H$14,MATCH(IF('2y forward'!$C10="GBp","GBP",'2y forward'!$C10),'FX 2y forward'!$A$2:$A$14,0)))</f>
        <v>19.887444868019845</v>
      </c>
      <c r="K10" s="9">
        <f>IF('2y forward'!K10="","",'2y forward'!K10/IF('2y forward'!$C10="GBp",100,1)/INDEX('FX 2y forward'!$I$2:$I$14,MATCH(IF('2y forward'!$C10="GBp","GBP",'2y forward'!$C10),'FX 2y forward'!$A$2:$A$14,0)))</f>
        <v>23.849719151340928</v>
      </c>
      <c r="L10" s="9">
        <f>IF('2y forward'!L10="","",'2y forward'!L10/IF('2y forward'!$C10="GBp",100,1)/INDEX('FX 2y forward'!$J$2:$J$14,MATCH(IF('2y forward'!$C10="GBp","GBP",'2y forward'!$C10),'FX 2y forward'!$A$2:$A$14,0)))</f>
        <v>86.1701612385129</v>
      </c>
      <c r="M10" s="9">
        <f>IF('2y forward'!M10="","",'2y forward'!M10/IF('2y forward'!$C10="GBp",100,1)/INDEX('FX 2y forward'!$K$2:$K$14,MATCH(IF('2y forward'!$C10="GBp","GBP",'2y forward'!$C10),'FX 2y forward'!$A$2:$A$14,0)))</f>
        <v>98.70294999894034</v>
      </c>
    </row>
    <row r="11">
      <c r="A11" s="2" t="inlineStr">
        <is>
          <t>AUMB.V</t>
        </is>
      </c>
      <c r="B11" s="2" t="inlineStr">
        <is>
          <t>1911 Gold Corp</t>
        </is>
      </c>
      <c r="C11" s="2" t="inlineStr">
        <is>
          <t>USD</t>
        </is>
      </c>
      <c r="D11" s="9" t="str">
        <f>IF('2y forward'!D11="","",'2y forward'!D11/IF('2y forward'!$C11="GBp",100,1)/INDEX('FX 2y forward'!$B$2:$B$14,MATCH(IF('2y forward'!$C11="GBp","GBP",'2y forward'!$C11),'FX 2y forward'!$A$2:$A$14,0)))</f>
        <v/>
      </c>
      <c r="E11" s="9">
        <f>IF('2y forward'!E11="","",'2y forward'!E11/IF('2y forward'!$C11="GBp",100,1)/INDEX('FX 2y forward'!$C$2:$C$14,MATCH(IF('2y forward'!$C11="GBp","GBP",'2y forward'!$C11),'FX 2y forward'!$A$2:$A$14,0)))</f>
        <v>0.22376130547821388</v>
      </c>
      <c r="F11" s="9">
        <f>IF('2y forward'!F11="","",'2y forward'!F11/IF('2y forward'!$C11="GBp",100,1)/INDEX('FX 2y forward'!$D$2:$D$14,MATCH(IF('2y forward'!$C11="GBp","GBP",'2y forward'!$C11),'FX 2y forward'!$A$2:$A$14,0)))</f>
        <v>0.1975607133082294</v>
      </c>
      <c r="G11" s="9">
        <f>IF('2y forward'!G11="","",'2y forward'!G11/IF('2y forward'!$C11="GBp",100,1)/INDEX('FX 2y forward'!$E$2:$E$14,MATCH(IF('2y forward'!$C11="GBp","GBP",'2y forward'!$C11),'FX 2y forward'!$A$2:$A$14,0)))</f>
        <v>0.4010193364246132</v>
      </c>
      <c r="H11" s="9">
        <f>IF('2y forward'!H11="","",'2y forward'!H11/IF('2y forward'!$C11="GBp",100,1)/INDEX('FX 2y forward'!$F$2:$F$14,MATCH(IF('2y forward'!$C11="GBp","GBP",'2y forward'!$C11),'FX 2y forward'!$A$2:$A$14,0)))</f>
        <v>0.2428405147981606</v>
      </c>
      <c r="I11" s="9">
        <f>IF('2y forward'!I11="","",'2y forward'!I11/IF('2y forward'!$C11="GBp",100,1)/INDEX('FX 2y forward'!$G$2:$G$14,MATCH(IF('2y forward'!$C11="GBp","GBP",'2y forward'!$C11),'FX 2y forward'!$A$2:$A$14,0)))</f>
        <v>0.12900159521825194</v>
      </c>
      <c r="J11" s="9">
        <f>IF('2y forward'!J11="","",'2y forward'!J11/IF('2y forward'!$C11="GBp",100,1)/INDEX('FX 2y forward'!$H$2:$H$14,MATCH(IF('2y forward'!$C11="GBp","GBP",'2y forward'!$C11),'FX 2y forward'!$A$2:$A$14,0)))</f>
        <v>0.061720520652461065</v>
      </c>
      <c r="K11" s="9">
        <f>IF('2y forward'!K11="","",'2y forward'!K11/IF('2y forward'!$C11="GBp",100,1)/INDEX('FX 2y forward'!$I$2:$I$14,MATCH(IF('2y forward'!$C11="GBp","GBP",'2y forward'!$C11),'FX 2y forward'!$A$2:$A$14,0)))</f>
        <v>0.11757473866115352</v>
      </c>
      <c r="L11" s="9">
        <f>IF('2y forward'!L11="","",'2y forward'!L11/IF('2y forward'!$C11="GBp",100,1)/INDEX('FX 2y forward'!$J$2:$J$14,MATCH(IF('2y forward'!$C11="GBp","GBP",'2y forward'!$C11),'FX 2y forward'!$A$2:$A$14,0)))</f>
        <v>0.6889013648480206</v>
      </c>
      <c r="M11" s="9">
        <f>IF('2y forward'!M11="","",'2y forward'!M11/IF('2y forward'!$C11="GBp",100,1)/INDEX('FX 2y forward'!$K$2:$K$14,MATCH(IF('2y forward'!$C11="GBp","GBP",'2y forward'!$C11),'FX 2y forward'!$A$2:$A$14,0)))</f>
        <v>0.6289188174929301</v>
      </c>
    </row>
    <row r="12">
      <c r="A12" s="2" t="inlineStr">
        <is>
          <t>BGL.AX</t>
        </is>
      </c>
      <c r="B12" s="2" t="inlineStr">
        <is>
          <t>Bellevue Gold Ltd</t>
        </is>
      </c>
      <c r="C12" s="2" t="inlineStr">
        <is>
          <t>USD</t>
        </is>
      </c>
      <c r="D12" s="9">
        <f>IF('2y forward'!D12="","",'2y forward'!D12/IF('2y forward'!$C12="GBp",100,1)/INDEX('FX 2y forward'!$B$2:$B$14,MATCH(IF('2y forward'!$C12="GBp","GBP",'2y forward'!$C12),'FX 2y forward'!$A$2:$A$14,0)))</f>
        <v>0.214505747872055</v>
      </c>
      <c r="E12" s="9">
        <f>IF('2y forward'!E12="","",'2y forward'!E12/IF('2y forward'!$C12="GBp",100,1)/INDEX('FX 2y forward'!$C$2:$C$14,MATCH(IF('2y forward'!$C12="GBp","GBP",'2y forward'!$C12),'FX 2y forward'!$A$2:$A$14,0)))</f>
        <v>0.3035822147968406</v>
      </c>
      <c r="F12" s="9">
        <f>IF('2y forward'!F12="","",'2y forward'!F12/IF('2y forward'!$C12="GBp",100,1)/INDEX('FX 2y forward'!$D$2:$D$14,MATCH(IF('2y forward'!$C12="GBp","GBP",'2y forward'!$C12),'FX 2y forward'!$A$2:$A$14,0)))</f>
        <v>0.386600408306152</v>
      </c>
      <c r="G12" s="9">
        <f>IF('2y forward'!G12="","",'2y forward'!G12/IF('2y forward'!$C12="GBp",100,1)/INDEX('FX 2y forward'!$E$2:$E$14,MATCH(IF('2y forward'!$C12="GBp","GBP",'2y forward'!$C12),'FX 2y forward'!$A$2:$A$14,0)))</f>
        <v>0.863442640873955</v>
      </c>
      <c r="H12" s="9">
        <f>IF('2y forward'!H12="","",'2y forward'!H12/IF('2y forward'!$C12="GBp",100,1)/INDEX('FX 2y forward'!$F$2:$F$14,MATCH(IF('2y forward'!$C12="GBp","GBP",'2y forward'!$C12),'FX 2y forward'!$A$2:$A$14,0)))</f>
        <v>0.6216179673272713</v>
      </c>
      <c r="I12" s="9">
        <f>IF('2y forward'!I12="","",'2y forward'!I12/IF('2y forward'!$C12="GBp",100,1)/INDEX('FX 2y forward'!$G$2:$G$14,MATCH(IF('2y forward'!$C12="GBp","GBP",'2y forward'!$C12),'FX 2y forward'!$A$2:$A$14,0)))</f>
        <v>0.8353894090395195</v>
      </c>
      <c r="J12" s="9">
        <f>IF('2y forward'!J12="","",'2y forward'!J12/IF('2y forward'!$C12="GBp",100,1)/INDEX('FX 2y forward'!$H$2:$H$14,MATCH(IF('2y forward'!$C12="GBp","GBP",'2y forward'!$C12),'FX 2y forward'!$A$2:$A$14,0)))</f>
        <v>1.2448451772311548</v>
      </c>
      <c r="K12" s="9">
        <f>IF('2y forward'!K12="","",'2y forward'!K12/IF('2y forward'!$C12="GBp",100,1)/INDEX('FX 2y forward'!$I$2:$I$14,MATCH(IF('2y forward'!$C12="GBp","GBP",'2y forward'!$C12),'FX 2y forward'!$A$2:$A$14,0)))</f>
        <v>0.7616774365079131</v>
      </c>
      <c r="L12" s="9">
        <f>IF('2y forward'!L12="","",'2y forward'!L12/IF('2y forward'!$C12="GBp",100,1)/INDEX('FX 2y forward'!$J$2:$J$14,MATCH(IF('2y forward'!$C12="GBp","GBP",'2y forward'!$C12),'FX 2y forward'!$A$2:$A$14,0)))</f>
        <v>1.2243241515338326</v>
      </c>
      <c r="M12" s="9">
        <f>IF('2y forward'!M12="","",'2y forward'!M12/IF('2y forward'!$C12="GBp",100,1)/INDEX('FX 2y forward'!$K$2:$K$14,MATCH(IF('2y forward'!$C12="GBp","GBP",'2y forward'!$C12),'FX 2y forward'!$A$2:$A$14,0)))</f>
        <v>1.2004819051633204</v>
      </c>
    </row>
    <row r="13">
      <c r="A13" s="2" t="inlineStr">
        <is>
          <t>BTO.TO</t>
        </is>
      </c>
      <c r="B13" s="2" t="inlineStr">
        <is>
          <t>B2Gold Corp</t>
        </is>
      </c>
      <c r="C13" s="2" t="inlineStr">
        <is>
          <t>USD</t>
        </is>
      </c>
      <c r="D13" s="9">
        <f>IF('2y forward'!D13="","",'2y forward'!D13/IF('2y forward'!$C13="GBp",100,1)/INDEX('FX 2y forward'!$B$2:$B$14,MATCH(IF('2y forward'!$C13="GBp","GBP",'2y forward'!$C13),'FX 2y forward'!$A$2:$A$14,0)))</f>
        <v>3.206773473981956</v>
      </c>
      <c r="E13" s="9">
        <f>IF('2y forward'!E13="","",'2y forward'!E13/IF('2y forward'!$C13="GBp",100,1)/INDEX('FX 2y forward'!$C$2:$C$14,MATCH(IF('2y forward'!$C13="GBp","GBP",'2y forward'!$C13),'FX 2y forward'!$A$2:$A$14,0)))</f>
        <v>3.0786469270968055</v>
      </c>
      <c r="F13" s="9">
        <f>IF('2y forward'!F13="","",'2y forward'!F13/IF('2y forward'!$C13="GBp",100,1)/INDEX('FX 2y forward'!$D$2:$D$14,MATCH(IF('2y forward'!$C13="GBp","GBP",'2y forward'!$C13),'FX 2y forward'!$A$2:$A$14,0)))</f>
        <v>4.096671784428446</v>
      </c>
      <c r="G13" s="9">
        <f>IF('2y forward'!G13="","",'2y forward'!G13/IF('2y forward'!$C13="GBp",100,1)/INDEX('FX 2y forward'!$E$2:$E$14,MATCH(IF('2y forward'!$C13="GBp","GBP",'2y forward'!$C13),'FX 2y forward'!$A$2:$A$14,0)))</f>
        <v>5.384466075470017</v>
      </c>
      <c r="H13" s="9">
        <f>IF('2y forward'!H13="","",'2y forward'!H13/IF('2y forward'!$C13="GBp",100,1)/INDEX('FX 2y forward'!$F$2:$F$14,MATCH(IF('2y forward'!$C13="GBp","GBP",'2y forward'!$C13),'FX 2y forward'!$A$2:$A$14,0)))</f>
        <v>3.654637922181248</v>
      </c>
      <c r="I13" s="9">
        <f>IF('2y forward'!I13="","",'2y forward'!I13/IF('2y forward'!$C13="GBp",100,1)/INDEX('FX 2y forward'!$G$2:$G$14,MATCH(IF('2y forward'!$C13="GBp","GBP",'2y forward'!$C13),'FX 2y forward'!$A$2:$A$14,0)))</f>
        <v>3.5538447272468057</v>
      </c>
      <c r="J13" s="9">
        <f>IF('2y forward'!J13="","",'2y forward'!J13/IF('2y forward'!$C13="GBp",100,1)/INDEX('FX 2y forward'!$H$2:$H$14,MATCH(IF('2y forward'!$C13="GBp","GBP",'2y forward'!$C13),'FX 2y forward'!$A$2:$A$14,0)))</f>
        <v>3.111805435309621</v>
      </c>
      <c r="K13" s="9">
        <f>IF('2y forward'!K13="","",'2y forward'!K13/IF('2y forward'!$C13="GBp",100,1)/INDEX('FX 2y forward'!$I$2:$I$14,MATCH(IF('2y forward'!$C13="GBp","GBP",'2y forward'!$C13),'FX 2y forward'!$A$2:$A$14,0)))</f>
        <v>2.357679983729893</v>
      </c>
      <c r="L13" s="9">
        <f>IF('2y forward'!L13="","",'2y forward'!L13/IF('2y forward'!$C13="GBp",100,1)/INDEX('FX 2y forward'!$J$2:$J$14,MATCH(IF('2y forward'!$C13="GBp","GBP",'2y forward'!$C13),'FX 2y forward'!$A$2:$A$14,0)))</f>
        <v>4.66574941543977</v>
      </c>
      <c r="M13" s="9">
        <f>IF('2y forward'!M13="","",'2y forward'!M13/IF('2y forward'!$C13="GBp",100,1)/INDEX('FX 2y forward'!$K$2:$K$14,MATCH(IF('2y forward'!$C13="GBp","GBP",'2y forward'!$C13),'FX 2y forward'!$A$2:$A$14,0)))</f>
        <v>5.732841715569582</v>
      </c>
    </row>
    <row r="14">
      <c r="A14" s="2" t="inlineStr">
        <is>
          <t>CERT.V</t>
        </is>
      </c>
      <c r="B14" s="2" t="inlineStr">
        <is>
          <t>Cerrado Gold Inc</t>
        </is>
      </c>
      <c r="C14" s="2" t="inlineStr">
        <is>
          <t>USD</t>
        </is>
      </c>
      <c r="D14" s="9" t="str">
        <f>IF('2y forward'!D14="","",'2y forward'!D14/IF('2y forward'!$C14="GBp",100,1)/INDEX('FX 2y forward'!$B$2:$B$14,MATCH(IF('2y forward'!$C14="GBp","GBP",'2y forward'!$C14),'FX 2y forward'!$A$2:$A$14,0)))</f>
        <v/>
      </c>
      <c r="E14" s="9" t="str">
        <f>IF('2y forward'!E14="","",'2y forward'!E14/IF('2y forward'!$C14="GBp",100,1)/INDEX('FX 2y forward'!$C$2:$C$14,MATCH(IF('2y forward'!$C14="GBp","GBP",'2y forward'!$C14),'FX 2y forward'!$A$2:$A$14,0)))</f>
        <v/>
      </c>
      <c r="F14" s="9" t="str">
        <f>IF('2y forward'!F14="","",'2y forward'!F14/IF('2y forward'!$C14="GBp",100,1)/INDEX('FX 2y forward'!$D$2:$D$14,MATCH(IF('2y forward'!$C14="GBp","GBP",'2y forward'!$C14),'FX 2y forward'!$A$2:$A$14,0)))</f>
        <v/>
      </c>
      <c r="G14" s="9">
        <f>IF('2y forward'!G14="","",'2y forward'!G14/IF('2y forward'!$C14="GBp",100,1)/INDEX('FX 2y forward'!$E$2:$E$14,MATCH(IF('2y forward'!$C14="GBp","GBP",'2y forward'!$C14),'FX 2y forward'!$A$2:$A$14,0)))</f>
        <v>0.03931562121809934</v>
      </c>
      <c r="H14" s="9">
        <f>IF('2y forward'!H14="","",'2y forward'!H14/IF('2y forward'!$C14="GBp",100,1)/INDEX('FX 2y forward'!$F$2:$F$14,MATCH(IF('2y forward'!$C14="GBp","GBP",'2y forward'!$C14),'FX 2y forward'!$A$2:$A$14,0)))</f>
        <v>1.122639756935759</v>
      </c>
      <c r="I14" s="9">
        <f>IF('2y forward'!I14="","",'2y forward'!I14/IF('2y forward'!$C14="GBp",100,1)/INDEX('FX 2y forward'!$G$2:$G$14,MATCH(IF('2y forward'!$C14="GBp","GBP",'2y forward'!$C14),'FX 2y forward'!$A$2:$A$14,0)))</f>
        <v>0.7095087737003857</v>
      </c>
      <c r="J14" s="9">
        <f>IF('2y forward'!J14="","",'2y forward'!J14/IF('2y forward'!$C14="GBp",100,1)/INDEX('FX 2y forward'!$H$2:$H$14,MATCH(IF('2y forward'!$C14="GBp","GBP",'2y forward'!$C14),'FX 2y forward'!$A$2:$A$14,0)))</f>
        <v>0.4937641652196885</v>
      </c>
      <c r="K14" s="9">
        <f>IF('2y forward'!K14="","",'2y forward'!K14/IF('2y forward'!$C14="GBp",100,1)/INDEX('FX 2y forward'!$I$2:$I$14,MATCH(IF('2y forward'!$C14="GBp","GBP",'2y forward'!$C14),'FX 2y forward'!$A$2:$A$14,0)))</f>
        <v>0.29204047990028453</v>
      </c>
      <c r="L14" s="9">
        <f>IF('2y forward'!L14="","",'2y forward'!L14/IF('2y forward'!$C14="GBp",100,1)/INDEX('FX 2y forward'!$J$2:$J$14,MATCH(IF('2y forward'!$C14="GBp","GBP",'2y forward'!$C14),'FX 2y forward'!$A$2:$A$14,0)))</f>
        <v>1.2916900590900384</v>
      </c>
      <c r="M14" s="9">
        <f>IF('2y forward'!M14="","",'2y forward'!M14/IF('2y forward'!$C14="GBp",100,1)/INDEX('FX 2y forward'!$K$2:$K$14,MATCH(IF('2y forward'!$C14="GBp","GBP",'2y forward'!$C14),'FX 2y forward'!$A$2:$A$14,0)))</f>
        <v>1.8337151064251698</v>
      </c>
    </row>
    <row r="15">
      <c r="A15" s="2" t="inlineStr">
        <is>
          <t>CG.TO</t>
        </is>
      </c>
      <c r="B15" s="2" t="inlineStr">
        <is>
          <t>Centerra Gold Inc</t>
        </is>
      </c>
      <c r="C15" s="2" t="inlineStr">
        <is>
          <t>USD</t>
        </is>
      </c>
      <c r="D15" s="9">
        <f>IF('2y forward'!D15="","",'2y forward'!D15/IF('2y forward'!$C15="GBp",100,1)/INDEX('FX 2y forward'!$B$2:$B$14,MATCH(IF('2y forward'!$C15="GBp","GBP",'2y forward'!$C15),'FX 2y forward'!$A$2:$A$14,0)))</f>
        <v>5.322582776403041</v>
      </c>
      <c r="E15" s="9">
        <f>IF('2y forward'!E15="","",'2y forward'!E15/IF('2y forward'!$C15="GBp",100,1)/INDEX('FX 2y forward'!$C$2:$C$14,MATCH(IF('2y forward'!$C15="GBp","GBP",'2y forward'!$C15),'FX 2y forward'!$A$2:$A$14,0)))</f>
        <v>4.5215215520770125</v>
      </c>
      <c r="F15" s="9">
        <f>IF('2y forward'!F15="","",'2y forward'!F15/IF('2y forward'!$C15="GBp",100,1)/INDEX('FX 2y forward'!$D$2:$D$14,MATCH(IF('2y forward'!$C15="GBp","GBP",'2y forward'!$C15),'FX 2y forward'!$A$2:$A$14,0)))</f>
        <v>8.163208673896039</v>
      </c>
      <c r="G15" s="9">
        <f>IF('2y forward'!G15="","",'2y forward'!G15/IF('2y forward'!$C15="GBp",100,1)/INDEX('FX 2y forward'!$E$2:$E$14,MATCH(IF('2y forward'!$C15="GBp","GBP",'2y forward'!$C15),'FX 2y forward'!$A$2:$A$14,0)))</f>
        <v>11.310593989303202</v>
      </c>
      <c r="H15" s="9">
        <f>IF('2y forward'!H15="","",'2y forward'!H15/IF('2y forward'!$C15="GBp",100,1)/INDEX('FX 2y forward'!$F$2:$F$14,MATCH(IF('2y forward'!$C15="GBp","GBP",'2y forward'!$C15),'FX 2y forward'!$A$2:$A$14,0)))</f>
        <v>7.390019831897064</v>
      </c>
      <c r="I15" s="9">
        <f>IF('2y forward'!I15="","",'2y forward'!I15/IF('2y forward'!$C15="GBp",100,1)/INDEX('FX 2y forward'!$G$2:$G$14,MATCH(IF('2y forward'!$C15="GBp","GBP",'2y forward'!$C15),'FX 2y forward'!$A$2:$A$14,0)))</f>
        <v>5.217939833761178</v>
      </c>
      <c r="J15" s="9">
        <f>IF('2y forward'!J15="","",'2y forward'!J15/IF('2y forward'!$C15="GBp",100,1)/INDEX('FX 2y forward'!$H$2:$H$14,MATCH(IF('2y forward'!$C15="GBp","GBP",'2y forward'!$C15),'FX 2y forward'!$A$2:$A$14,0)))</f>
        <v>6.06454871421953</v>
      </c>
      <c r="K15" s="9">
        <f>IF('2y forward'!K15="","",'2y forward'!K15/IF('2y forward'!$C15="GBp",100,1)/INDEX('FX 2y forward'!$I$2:$I$14,MATCH(IF('2y forward'!$C15="GBp","GBP",'2y forward'!$C15),'FX 2y forward'!$A$2:$A$14,0)))</f>
        <v>5.794338028548041</v>
      </c>
      <c r="L15" s="9">
        <f>IF('2y forward'!L15="","",'2y forward'!L15/IF('2y forward'!$C15="GBp",100,1)/INDEX('FX 2y forward'!$J$2:$J$14,MATCH(IF('2y forward'!$C15="GBp","GBP",'2y forward'!$C15),'FX 2y forward'!$A$2:$A$14,0)))</f>
        <v>15.036730210122862</v>
      </c>
      <c r="M15" s="9">
        <f>IF('2y forward'!M15="","",'2y forward'!M15/IF('2y forward'!$C15="GBp",100,1)/INDEX('FX 2y forward'!$K$2:$K$14,MATCH(IF('2y forward'!$C15="GBp","GBP",'2y forward'!$C15),'FX 2y forward'!$A$2:$A$14,0)))</f>
        <v>23.847966761569797</v>
      </c>
    </row>
    <row r="16">
      <c r="A16" s="2" t="inlineStr">
        <is>
          <t>CXB.TO</t>
        </is>
      </c>
      <c r="B16" s="2" t="inlineStr">
        <is>
          <t>Calibre Mining Corp</t>
        </is>
      </c>
      <c r="C16" s="2" t="inlineStr">
        <is>
          <t>USD</t>
        </is>
      </c>
      <c r="D16" s="9">
        <f>IF('2y forward'!D16="","",'2y forward'!D16/IF('2y forward'!$C16="GBp",100,1)/INDEX('FX 2y forward'!$B$2:$B$14,MATCH(IF('2y forward'!$C16="GBp","GBP",'2y forward'!$C16),'FX 2y forward'!$A$2:$A$14,0)))</f>
        <v>1.0744344113857072</v>
      </c>
      <c r="E16" s="9">
        <f>IF('2y forward'!E16="","",'2y forward'!E16/IF('2y forward'!$C16="GBp",100,1)/INDEX('FX 2y forward'!$C$2:$C$14,MATCH(IF('2y forward'!$C16="GBp","GBP",'2y forward'!$C16),'FX 2y forward'!$A$2:$A$14,0)))</f>
        <v>0.2816306086191313</v>
      </c>
      <c r="F16" s="9">
        <f>IF('2y forward'!F16="","",'2y forward'!F16/IF('2y forward'!$C16="GBp",100,1)/INDEX('FX 2y forward'!$D$2:$D$14,MATCH(IF('2y forward'!$C16="GBp","GBP",'2y forward'!$C16),'FX 2y forward'!$A$2:$A$14,0)))</f>
        <v>0.7428282820389425</v>
      </c>
      <c r="G16" s="9">
        <f>IF('2y forward'!G16="","",'2y forward'!G16/IF('2y forward'!$C16="GBp",100,1)/INDEX('FX 2y forward'!$E$2:$E$14,MATCH(IF('2y forward'!$C16="GBp","GBP",'2y forward'!$C16),'FX 2y forward'!$A$2:$A$14,0)))</f>
        <v>1.902876066956008</v>
      </c>
      <c r="H16" s="9">
        <f>IF('2y forward'!H16="","",'2y forward'!H16/IF('2y forward'!$C16="GBp",100,1)/INDEX('FX 2y forward'!$F$2:$F$14,MATCH(IF('2y forward'!$C16="GBp","GBP",'2y forward'!$C16),'FX 2y forward'!$A$2:$A$14,0)))</f>
        <v>1.0669058682935582</v>
      </c>
      <c r="I16" s="9">
        <f>IF('2y forward'!I16="","",'2y forward'!I16/IF('2y forward'!$C16="GBp",100,1)/INDEX('FX 2y forward'!$G$2:$G$14,MATCH(IF('2y forward'!$C16="GBp","GBP",'2y forward'!$C16),'FX 2y forward'!$A$2:$A$14,0)))</f>
        <v>0.7256339731026672</v>
      </c>
      <c r="J16" s="9">
        <f>IF('2y forward'!J16="","",'2y forward'!J16/IF('2y forward'!$C16="GBp",100,1)/INDEX('FX 2y forward'!$H$2:$H$14,MATCH(IF('2y forward'!$C16="GBp","GBP",'2y forward'!$C16),'FX 2y forward'!$A$2:$A$14,0)))</f>
        <v>1.1191987744979608</v>
      </c>
      <c r="K16" s="9">
        <f>IF('2y forward'!K16="","",'2y forward'!K16/IF('2y forward'!$C16="GBp",100,1)/INDEX('FX 2y forward'!$I$2:$I$14,MATCH(IF('2y forward'!$C16="GBp","GBP",'2y forward'!$C16),'FX 2y forward'!$A$2:$A$14,0)))</f>
        <v>1.6308754072353553</v>
      </c>
      <c r="L16" s="9">
        <f>IF('2y forward'!L16="","",'2y forward'!L16/IF('2y forward'!$C16="GBp",100,1)/INDEX('FX 2y forward'!$J$2:$J$14,MATCH(IF('2y forward'!$C16="GBp","GBP",'2y forward'!$C16),'FX 2y forward'!$A$2:$A$14,0)))</f>
        <v>2.3406989555631608</v>
      </c>
      <c r="M16" s="9" t="str">
        <f>IF('2y forward'!M16="","",'2y forward'!M16/IF('2y forward'!$C16="GBp",100,1)/INDEX('FX 2y forward'!$K$2:$K$14,MATCH(IF('2y forward'!$C16="GBp","GBP",'2y forward'!$C16),'FX 2y forward'!$A$2:$A$14,0)))</f>
        <v/>
      </c>
    </row>
    <row r="17">
      <c r="A17" s="2" t="inlineStr">
        <is>
          <t>CYL.AX</t>
        </is>
      </c>
      <c r="B17" s="2" t="inlineStr">
        <is>
          <t>Catalyst Metals Ltd</t>
        </is>
      </c>
      <c r="C17" s="2" t="inlineStr">
        <is>
          <t>USD</t>
        </is>
      </c>
      <c r="D17" s="9">
        <f>IF('2y forward'!D17="","",'2y forward'!D17/IF('2y forward'!$C17="GBp",100,1)/INDEX('FX 2y forward'!$B$2:$B$14,MATCH(IF('2y forward'!$C17="GBp","GBP",'2y forward'!$C17),'FX 2y forward'!$A$2:$A$14,0)))</f>
        <v>0.9956304523872742</v>
      </c>
      <c r="E17" s="9">
        <f>IF('2y forward'!E17="","",'2y forward'!E17/IF('2y forward'!$C17="GBp",100,1)/INDEX('FX 2y forward'!$C$2:$C$14,MATCH(IF('2y forward'!$C17="GBp","GBP",'2y forward'!$C17),'FX 2y forward'!$A$2:$A$14,0)))</f>
        <v>1.295777746084076</v>
      </c>
      <c r="F17" s="9">
        <f>IF('2y forward'!F17="","",'2y forward'!F17/IF('2y forward'!$C17="GBp",100,1)/INDEX('FX 2y forward'!$D$2:$D$14,MATCH(IF('2y forward'!$C17="GBp","GBP",'2y forward'!$C17),'FX 2y forward'!$A$2:$A$14,0)))</f>
        <v>2.0377815914455115</v>
      </c>
      <c r="G17" s="9">
        <f>IF('2y forward'!G17="","",'2y forward'!G17/IF('2y forward'!$C17="GBp",100,1)/INDEX('FX 2y forward'!$E$2:$E$14,MATCH(IF('2y forward'!$C17="GBp","GBP",'2y forward'!$C17),'FX 2y forward'!$A$2:$A$14,0)))</f>
        <v>1.6343735702257003</v>
      </c>
      <c r="H17" s="9">
        <f>IF('2y forward'!H17="","",'2y forward'!H17/IF('2y forward'!$C17="GBp",100,1)/INDEX('FX 2y forward'!$F$2:$F$14,MATCH(IF('2y forward'!$C17="GBp","GBP",'2y forward'!$C17),'FX 2y forward'!$A$2:$A$14,0)))</f>
        <v>1.4455376399977375</v>
      </c>
      <c r="I17" s="9">
        <f>IF('2y forward'!I17="","",'2y forward'!I17/IF('2y forward'!$C17="GBp",100,1)/INDEX('FX 2y forward'!$G$2:$G$14,MATCH(IF('2y forward'!$C17="GBp","GBP",'2y forward'!$C17),'FX 2y forward'!$A$2:$A$14,0)))</f>
        <v>0.8723535421828611</v>
      </c>
      <c r="J17" s="9">
        <f>IF('2y forward'!J17="","",'2y forward'!J17/IF('2y forward'!$C17="GBp",100,1)/INDEX('FX 2y forward'!$H$2:$H$14,MATCH(IF('2y forward'!$C17="GBp","GBP",'2y forward'!$C17),'FX 2y forward'!$A$2:$A$14,0)))</f>
        <v>0.5982688762215401</v>
      </c>
      <c r="K17" s="9">
        <f>IF('2y forward'!K17="","",'2y forward'!K17/IF('2y forward'!$C17="GBp",100,1)/INDEX('FX 2y forward'!$I$2:$I$14,MATCH(IF('2y forward'!$C17="GBp","GBP",'2y forward'!$C17),'FX 2y forward'!$A$2:$A$14,0)))</f>
        <v>1.7467802543914805</v>
      </c>
      <c r="L17" s="9">
        <f>IF('2y forward'!L17="","",'2y forward'!L17/IF('2y forward'!$C17="GBp",100,1)/INDEX('FX 2y forward'!$J$2:$J$14,MATCH(IF('2y forward'!$C17="GBp","GBP",'2y forward'!$C17),'FX 2y forward'!$A$2:$A$14,0)))</f>
        <v>5.285059094011149</v>
      </c>
      <c r="M17" s="9">
        <f>IF('2y forward'!M17="","",'2y forward'!M17/IF('2y forward'!$C17="GBp",100,1)/INDEX('FX 2y forward'!$K$2:$K$14,MATCH(IF('2y forward'!$C17="GBp","GBP",'2y forward'!$C17),'FX 2y forward'!$A$2:$A$14,0)))</f>
        <v>4.4331275369353955</v>
      </c>
    </row>
    <row r="18">
      <c r="A18" s="2" t="inlineStr">
        <is>
          <t>ELD.TO</t>
        </is>
      </c>
      <c r="B18" s="2" t="inlineStr">
        <is>
          <t>Eldorado Gold Corp</t>
        </is>
      </c>
      <c r="C18" s="2" t="inlineStr">
        <is>
          <t>USD</t>
        </is>
      </c>
      <c r="D18" s="9">
        <f>IF('2y forward'!D18="","",'2y forward'!D18/IF('2y forward'!$C18="GBp",100,1)/INDEX('FX 2y forward'!$B$2:$B$14,MATCH(IF('2y forward'!$C18="GBp","GBP",'2y forward'!$C18),'FX 2y forward'!$A$2:$A$14,0)))</f>
        <v>7.357546662233493</v>
      </c>
      <c r="E18" s="9">
        <f>IF('2y forward'!E18="","",'2y forward'!E18/IF('2y forward'!$C18="GBp",100,1)/INDEX('FX 2y forward'!$C$2:$C$14,MATCH(IF('2y forward'!$C18="GBp","GBP",'2y forward'!$C18),'FX 2y forward'!$A$2:$A$14,0)))</f>
        <v>3.086362834182261</v>
      </c>
      <c r="F18" s="9">
        <f>IF('2y forward'!F18="","",'2y forward'!F18/IF('2y forward'!$C18="GBp",100,1)/INDEX('FX 2y forward'!$D$2:$D$14,MATCH(IF('2y forward'!$C18="GBp","GBP",'2y forward'!$C18),'FX 2y forward'!$A$2:$A$14,0)))</f>
        <v>8.242232959219331</v>
      </c>
      <c r="G18" s="9">
        <f>IF('2y forward'!G18="","",'2y forward'!G18/IF('2y forward'!$C18="GBp",100,1)/INDEX('FX 2y forward'!$E$2:$E$14,MATCH(IF('2y forward'!$C18="GBp","GBP",'2y forward'!$C18),'FX 2y forward'!$A$2:$A$14,0)))</f>
        <v>13.265090598986717</v>
      </c>
      <c r="H18" s="9">
        <f>IF('2y forward'!H18="","",'2y forward'!H18/IF('2y forward'!$C18="GBp",100,1)/INDEX('FX 2y forward'!$F$2:$F$14,MATCH(IF('2y forward'!$C18="GBp","GBP",'2y forward'!$C18),'FX 2y forward'!$A$2:$A$14,0)))</f>
        <v>9.442913132807163</v>
      </c>
      <c r="I18" s="9">
        <f>IF('2y forward'!I18="","",'2y forward'!I18/IF('2y forward'!$C18="GBp",100,1)/INDEX('FX 2y forward'!$G$2:$G$14,MATCH(IF('2y forward'!$C18="GBp","GBP",'2y forward'!$C18),'FX 2y forward'!$A$2:$A$14,0)))</f>
        <v>9.102675062587902</v>
      </c>
      <c r="J18" s="9">
        <f>IF('2y forward'!J18="","",'2y forward'!J18/IF('2y forward'!$C18="GBp",100,1)/INDEX('FX 2y forward'!$H$2:$H$14,MATCH(IF('2y forward'!$C18="GBp","GBP",'2y forward'!$C18),'FX 2y forward'!$A$2:$A$14,0)))</f>
        <v>14.15457273629774</v>
      </c>
      <c r="K18" s="9">
        <f>IF('2y forward'!K18="","",'2y forward'!K18/IF('2y forward'!$C18="GBp",100,1)/INDEX('FX 2y forward'!$I$2:$I$14,MATCH(IF('2y forward'!$C18="GBp","GBP",'2y forward'!$C18),'FX 2y forward'!$A$2:$A$14,0)))</f>
        <v>16.21772846822879</v>
      </c>
      <c r="L18" s="9">
        <f>IF('2y forward'!L18="","",'2y forward'!L18/IF('2y forward'!$C18="GBp",100,1)/INDEX('FX 2y forward'!$J$2:$J$14,MATCH(IF('2y forward'!$C18="GBp","GBP",'2y forward'!$C18),'FX 2y forward'!$A$2:$A$14,0)))</f>
        <v>38.61761855449188</v>
      </c>
      <c r="M18" s="9">
        <f>IF('2y forward'!M18="","",'2y forward'!M18/IF('2y forward'!$C18="GBp",100,1)/INDEX('FX 2y forward'!$K$2:$K$14,MATCH(IF('2y forward'!$C18="GBp","GBP",'2y forward'!$C18),'FX 2y forward'!$A$2:$A$14,0)))</f>
        <v>44.49505664861987</v>
      </c>
    </row>
    <row r="19">
      <c r="A19" s="2" t="inlineStr">
        <is>
          <t>EQX.TO</t>
        </is>
      </c>
      <c r="B19" s="2" t="inlineStr">
        <is>
          <t>Equinox Gold Corp</t>
        </is>
      </c>
      <c r="C19" s="2" t="inlineStr">
        <is>
          <t>USD</t>
        </is>
      </c>
      <c r="D19" s="9">
        <f>IF('2y forward'!D19="","",'2y forward'!D19/IF('2y forward'!$C19="GBp",100,1)/INDEX('FX 2y forward'!$B$2:$B$14,MATCH(IF('2y forward'!$C19="GBp","GBP",'2y forward'!$C19),'FX 2y forward'!$A$2:$A$14,0)))</f>
        <v>0.9256665698092247</v>
      </c>
      <c r="E19" s="9">
        <f>IF('2y forward'!E19="","",'2y forward'!E19/IF('2y forward'!$C19="GBp",100,1)/INDEX('FX 2y forward'!$C$2:$C$14,MATCH(IF('2y forward'!$C19="GBp","GBP",'2y forward'!$C19),'FX 2y forward'!$A$2:$A$14,0)))</f>
        <v>0.7870225227164765</v>
      </c>
      <c r="F19" s="9">
        <f>IF('2y forward'!F19="","",'2y forward'!F19/IF('2y forward'!$C19="GBp",100,1)/INDEX('FX 2y forward'!$D$2:$D$14,MATCH(IF('2y forward'!$C19="GBp","GBP",'2y forward'!$C19),'FX 2y forward'!$A$2:$A$14,0)))</f>
        <v>7.8945261037968475</v>
      </c>
      <c r="G19" s="9">
        <f>IF('2y forward'!G19="","",'2y forward'!G19/IF('2y forward'!$C19="GBp",100,1)/INDEX('FX 2y forward'!$E$2:$E$14,MATCH(IF('2y forward'!$C19="GBp","GBP",'2y forward'!$C19),'FX 2y forward'!$A$2:$A$14,0)))</f>
        <v>10.355734628847365</v>
      </c>
      <c r="H19" s="9">
        <f>IF('2y forward'!H19="","",'2y forward'!H19/IF('2y forward'!$C19="GBp",100,1)/INDEX('FX 2y forward'!$F$2:$F$14,MATCH(IF('2y forward'!$C19="GBp","GBP",'2y forward'!$C19),'FX 2y forward'!$A$2:$A$14,0)))</f>
        <v>6.815458382531983</v>
      </c>
      <c r="I19" s="9">
        <f>IF('2y forward'!I19="","",'2y forward'!I19/IF('2y forward'!$C19="GBp",100,1)/INDEX('FX 2y forward'!$G$2:$G$14,MATCH(IF('2y forward'!$C19="GBp","GBP",'2y forward'!$C19),'FX 2y forward'!$A$2:$A$14,0)))</f>
        <v>3.5717316676053503</v>
      </c>
      <c r="J19" s="9">
        <f>IF('2y forward'!J19="","",'2y forward'!J19/IF('2y forward'!$C19="GBp",100,1)/INDEX('FX 2y forward'!$H$2:$H$14,MATCH(IF('2y forward'!$C19="GBp","GBP",'2y forward'!$C19),'FX 2y forward'!$A$2:$A$14,0)))</f>
        <v>5.299735373357991</v>
      </c>
      <c r="K19" s="9">
        <f>IF('2y forward'!K19="","",'2y forward'!K19/IF('2y forward'!$C19="GBp",100,1)/INDEX('FX 2y forward'!$I$2:$I$14,MATCH(IF('2y forward'!$C19="GBp","GBP",'2y forward'!$C19),'FX 2y forward'!$A$2:$A$14,0)))</f>
        <v>5.491878115527429</v>
      </c>
      <c r="L19" s="9">
        <f>IF('2y forward'!L19="","",'2y forward'!L19/IF('2y forward'!$C19="GBp",100,1)/INDEX('FX 2y forward'!$J$2:$J$14,MATCH(IF('2y forward'!$C19="GBp","GBP",'2y forward'!$C19),'FX 2y forward'!$A$2:$A$14,0)))</f>
        <v>15.10103105445263</v>
      </c>
      <c r="M19" s="9">
        <f>IF('2y forward'!M19="","",'2y forward'!M19/IF('2y forward'!$C19="GBp",100,1)/INDEX('FX 2y forward'!$K$2:$K$14,MATCH(IF('2y forward'!$C19="GBp","GBP",'2y forward'!$C19),'FX 2y forward'!$A$2:$A$14,0)))</f>
        <v>12.674313397011232</v>
      </c>
    </row>
    <row r="20">
      <c r="A20" s="2" t="inlineStr">
        <is>
          <t>FVI.TO</t>
        </is>
      </c>
      <c r="B20" s="2" t="inlineStr">
        <is>
          <t>Fortuna Mining Corp</t>
        </is>
      </c>
      <c r="C20" s="2" t="inlineStr">
        <is>
          <t>USD</t>
        </is>
      </c>
      <c r="D20" s="9">
        <f>IF('2y forward'!D20="","",'2y forward'!D20/IF('2y forward'!$C20="GBp",100,1)/INDEX('FX 2y forward'!$B$2:$B$14,MATCH(IF('2y forward'!$C20="GBp","GBP",'2y forward'!$C20),'FX 2y forward'!$A$2:$A$14,0)))</f>
        <v>5.421761337454029</v>
      </c>
      <c r="E20" s="9">
        <f>IF('2y forward'!E20="","",'2y forward'!E20/IF('2y forward'!$C20="GBp",100,1)/INDEX('FX 2y forward'!$C$2:$C$14,MATCH(IF('2y forward'!$C20="GBp","GBP",'2y forward'!$C20),'FX 2y forward'!$A$2:$A$14,0)))</f>
        <v>3.857953542727826</v>
      </c>
      <c r="F20" s="9">
        <f>IF('2y forward'!F20="","",'2y forward'!F20/IF('2y forward'!$C20="GBp",100,1)/INDEX('FX 2y forward'!$D$2:$D$14,MATCH(IF('2y forward'!$C20="GBp","GBP",'2y forward'!$C20),'FX 2y forward'!$A$2:$A$14,0)))</f>
        <v>4.180384693602134</v>
      </c>
      <c r="G20" s="9">
        <f>IF('2y forward'!G20="","",'2y forward'!G20/IF('2y forward'!$C20="GBp",100,1)/INDEX('FX 2y forward'!$E$2:$E$14,MATCH(IF('2y forward'!$C20="GBp","GBP",'2y forward'!$C20),'FX 2y forward'!$A$2:$A$14,0)))</f>
        <v>8.224827958826383</v>
      </c>
      <c r="H20" s="9">
        <f>IF('2y forward'!H20="","",'2y forward'!H20/IF('2y forward'!$C20="GBp",100,1)/INDEX('FX 2y forward'!$F$2:$F$14,MATCH(IF('2y forward'!$C20="GBp","GBP",'2y forward'!$C20),'FX 2y forward'!$A$2:$A$14,0)))</f>
        <v>3.9332201413210277</v>
      </c>
      <c r="I20" s="9">
        <f>IF('2y forward'!I20="","",'2y forward'!I20/IF('2y forward'!$C20="GBp",100,1)/INDEX('FX 2y forward'!$G$2:$G$14,MATCH(IF('2y forward'!$C20="GBp","GBP",'2y forward'!$C20),'FX 2y forward'!$A$2:$A$14,0)))</f>
        <v>4.10386324788064</v>
      </c>
      <c r="J20" s="9">
        <f>IF('2y forward'!J20="","",'2y forward'!J20/IF('2y forward'!$C20="GBp",100,1)/INDEX('FX 2y forward'!$H$2:$H$14,MATCH(IF('2y forward'!$C20="GBp","GBP",'2y forward'!$C20),'FX 2y forward'!$A$2:$A$14,0)))</f>
        <v>4.196995404367352</v>
      </c>
      <c r="K20" s="9">
        <f>IF('2y forward'!K20="","",'2y forward'!K20/IF('2y forward'!$C20="GBp",100,1)/INDEX('FX 2y forward'!$I$2:$I$14,MATCH(IF('2y forward'!$C20="GBp","GBP",'2y forward'!$C20),'FX 2y forward'!$A$2:$A$14,0)))</f>
        <v>4.68023314541495</v>
      </c>
      <c r="L20" s="9">
        <f>IF('2y forward'!L20="","",'2y forward'!L20/IF('2y forward'!$C20="GBp",100,1)/INDEX('FX 2y forward'!$J$2:$J$14,MATCH(IF('2y forward'!$C20="GBp","GBP",'2y forward'!$C20),'FX 2y forward'!$A$2:$A$14,0)))</f>
        <v>10.52923108773395</v>
      </c>
      <c r="M20" s="9">
        <f>IF('2y forward'!M20="","",'2y forward'!M20/IF('2y forward'!$C20="GBp",100,1)/INDEX('FX 2y forward'!$K$2:$K$14,MATCH(IF('2y forward'!$C20="GBp","GBP",'2y forward'!$C20),'FX 2y forward'!$A$2:$A$14,0)))</f>
        <v>12.548067009256531</v>
      </c>
    </row>
    <row r="21">
      <c r="A21" s="2" t="inlineStr">
        <is>
          <t>GFI</t>
        </is>
      </c>
      <c r="B21" s="2" t="inlineStr">
        <is>
          <t>Gold Fields Ltd</t>
        </is>
      </c>
      <c r="C21" s="2" t="inlineStr">
        <is>
          <t>USD</t>
        </is>
      </c>
      <c r="D21" s="9">
        <f>IF('2y forward'!D21="","",'2y forward'!D21/IF('2y forward'!$C21="GBp",100,1)/INDEX('FX 2y forward'!$B$2:$B$14,MATCH(IF('2y forward'!$C21="GBp","GBP",'2y forward'!$C21),'FX 2y forward'!$A$2:$A$14,0)))</f>
        <v>4.310556537025301</v>
      </c>
      <c r="E21" s="9">
        <f>IF('2y forward'!E21="","",'2y forward'!E21/IF('2y forward'!$C21="GBp",100,1)/INDEX('FX 2y forward'!$C$2:$C$14,MATCH(IF('2y forward'!$C21="GBp","GBP",'2y forward'!$C21),'FX 2y forward'!$A$2:$A$14,0)))</f>
        <v>3.581834106991478</v>
      </c>
      <c r="F21" s="9">
        <f>IF('2y forward'!F21="","",'2y forward'!F21/IF('2y forward'!$C21="GBp",100,1)/INDEX('FX 2y forward'!$D$2:$D$14,MATCH(IF('2y forward'!$C21="GBp","GBP",'2y forward'!$C21),'FX 2y forward'!$A$2:$A$14,0)))</f>
        <v>6.703365066424887</v>
      </c>
      <c r="G21" s="9">
        <f>IF('2y forward'!G21="","",'2y forward'!G21/IF('2y forward'!$C21="GBp",100,1)/INDEX('FX 2y forward'!$E$2:$E$14,MATCH(IF('2y forward'!$C21="GBp","GBP",'2y forward'!$C21),'FX 2y forward'!$A$2:$A$14,0)))</f>
        <v>8.978774289085976</v>
      </c>
      <c r="H21" s="9">
        <f>IF('2y forward'!H21="","",'2y forward'!H21/IF('2y forward'!$C21="GBp",100,1)/INDEX('FX 2y forward'!$F$2:$F$14,MATCH(IF('2y forward'!$C21="GBp","GBP",'2y forward'!$C21),'FX 2y forward'!$A$2:$A$14,0)))</f>
        <v>10.452067109969326</v>
      </c>
      <c r="I21" s="9">
        <f>IF('2y forward'!I21="","",'2y forward'!I21/IF('2y forward'!$C21="GBp",100,1)/INDEX('FX 2y forward'!$G$2:$G$14,MATCH(IF('2y forward'!$C21="GBp","GBP",'2y forward'!$C21),'FX 2y forward'!$A$2:$A$14,0)))</f>
        <v>10.565209914302427</v>
      </c>
      <c r="J21" s="9">
        <f>IF('2y forward'!J21="","",'2y forward'!J21/IF('2y forward'!$C21="GBp",100,1)/INDEX('FX 2y forward'!$H$2:$H$14,MATCH(IF('2y forward'!$C21="GBp","GBP",'2y forward'!$C21),'FX 2y forward'!$A$2:$A$14,0)))</f>
        <v>14.86670600945968</v>
      </c>
      <c r="K21" s="9">
        <f>IF('2y forward'!K21="","",'2y forward'!K21/IF('2y forward'!$C21="GBp",100,1)/INDEX('FX 2y forward'!$I$2:$I$14,MATCH(IF('2y forward'!$C21="GBp","GBP",'2y forward'!$C21),'FX 2y forward'!$A$2:$A$14,0)))</f>
        <v>13.547863093231111</v>
      </c>
      <c r="L21" s="9">
        <f>IF('2y forward'!L21="","",'2y forward'!L21/IF('2y forward'!$C21="GBp",100,1)/INDEX('FX 2y forward'!$J$2:$J$14,MATCH(IF('2y forward'!$C21="GBp","GBP",'2y forward'!$C21),'FX 2y forward'!$A$2:$A$14,0)))</f>
        <v>46.00979695622091</v>
      </c>
      <c r="M21" s="9">
        <f>IF('2y forward'!M21="","",'2y forward'!M21/IF('2y forward'!$C21="GBp",100,1)/INDEX('FX 2y forward'!$K$2:$K$14,MATCH(IF('2y forward'!$C21="GBp","GBP",'2y forward'!$C21),'FX 2y forward'!$A$2:$A$14,0)))</f>
        <v>38.332212988638254</v>
      </c>
    </row>
    <row r="22">
      <c r="A22" s="2" t="inlineStr">
        <is>
          <t>GMD.AX</t>
        </is>
      </c>
      <c r="B22" s="2" t="inlineStr">
        <is>
          <t>Genesis Minerals Ltd</t>
        </is>
      </c>
      <c r="C22" s="2" t="inlineStr">
        <is>
          <t>USD</t>
        </is>
      </c>
      <c r="D22" s="9">
        <f>IF('2y forward'!D22="","",'2y forward'!D22/IF('2y forward'!$C22="GBp",100,1)/INDEX('FX 2y forward'!$B$2:$B$14,MATCH(IF('2y forward'!$C22="GBp","GBP",'2y forward'!$C22),'FX 2y forward'!$A$2:$A$14,0)))</f>
        <v>0.026712036527463456</v>
      </c>
      <c r="E22" s="9">
        <f>IF('2y forward'!E22="","",'2y forward'!E22/IF('2y forward'!$C22="GBp",100,1)/INDEX('FX 2y forward'!$C$2:$C$14,MATCH(IF('2y forward'!$C22="GBp","GBP",'2y forward'!$C22),'FX 2y forward'!$A$2:$A$14,0)))</f>
        <v>0.024434666069014004</v>
      </c>
      <c r="F22" s="9">
        <f>IF('2y forward'!F22="","",'2y forward'!F22/IF('2y forward'!$C22="GBp",100,1)/INDEX('FX 2y forward'!$D$2:$D$14,MATCH(IF('2y forward'!$C22="GBp","GBP",'2y forward'!$C22),'FX 2y forward'!$A$2:$A$14,0)))</f>
        <v>0.02312376273980722</v>
      </c>
      <c r="G22" s="9">
        <f>IF('2y forward'!G22="","",'2y forward'!G22/IF('2y forward'!$C22="GBp",100,1)/INDEX('FX 2y forward'!$E$2:$E$14,MATCH(IF('2y forward'!$C22="GBp","GBP",'2y forward'!$C22),'FX 2y forward'!$A$2:$A$14,0)))</f>
        <v>0.057048888772029155</v>
      </c>
      <c r="H22" s="9">
        <f>IF('2y forward'!H22="","",'2y forward'!H22/IF('2y forward'!$C22="GBp",100,1)/INDEX('FX 2y forward'!$F$2:$F$14,MATCH(IF('2y forward'!$C22="GBp","GBP",'2y forward'!$C22),'FX 2y forward'!$A$2:$A$14,0)))</f>
        <v>0.1213810232059169</v>
      </c>
      <c r="I22" s="9">
        <f>IF('2y forward'!I22="","",'2y forward'!I22/IF('2y forward'!$C22="GBp",100,1)/INDEX('FX 2y forward'!$G$2:$G$14,MATCH(IF('2y forward'!$C22="GBp","GBP",'2y forward'!$C22),'FX 2y forward'!$A$2:$A$14,0)))</f>
        <v>0.9241033285835393</v>
      </c>
      <c r="J22" s="9">
        <f>IF('2y forward'!J22="","",'2y forward'!J22/IF('2y forward'!$C22="GBp",100,1)/INDEX('FX 2y forward'!$H$2:$H$14,MATCH(IF('2y forward'!$C22="GBp","GBP",'2y forward'!$C22),'FX 2y forward'!$A$2:$A$14,0)))</f>
        <v>1.3303121595485177</v>
      </c>
      <c r="K22" s="9">
        <f>IF('2y forward'!K22="","",'2y forward'!K22/IF('2y forward'!$C22="GBp",100,1)/INDEX('FX 2y forward'!$I$2:$I$14,MATCH(IF('2y forward'!$C22="GBp","GBP",'2y forward'!$C22),'FX 2y forward'!$A$2:$A$14,0)))</f>
        <v>1.6723051272662626</v>
      </c>
      <c r="L22" s="9">
        <f>IF('2y forward'!L22="","",'2y forward'!L22/IF('2y forward'!$C22="GBp",100,1)/INDEX('FX 2y forward'!$J$2:$J$14,MATCH(IF('2y forward'!$C22="GBp","GBP",'2y forward'!$C22),'FX 2y forward'!$A$2:$A$14,0)))</f>
        <v>5.206070439073482</v>
      </c>
      <c r="M22" s="9">
        <f>IF('2y forward'!M22="","",'2y forward'!M22/IF('2y forward'!$C22="GBp",100,1)/INDEX('FX 2y forward'!$K$2:$K$14,MATCH(IF('2y forward'!$C22="GBp","GBP",'2y forward'!$C22),'FX 2y forward'!$A$2:$A$14,0)))</f>
        <v>5.683021101597696</v>
      </c>
    </row>
    <row r="23">
      <c r="A23" s="2" t="inlineStr">
        <is>
          <t>GOR.AX</t>
        </is>
      </c>
      <c r="B23" s="2" t="inlineStr">
        <is>
          <t>Gold Road Resources Ltd</t>
        </is>
      </c>
      <c r="C23" s="2" t="inlineStr">
        <is>
          <t>USD</t>
        </is>
      </c>
      <c r="D23" s="9" t="str">
        <f>IF('2y forward'!D23="","",'2y forward'!D23/IF('2y forward'!$C23="GBp",100,1)/INDEX('FX 2y forward'!$B$2:$B$14,MATCH(IF('2y forward'!$C23="GBp","GBP",'2y forward'!$C23),'FX 2y forward'!$A$2:$A$14,0)))</f>
        <v/>
      </c>
      <c r="E23" s="9" t="str">
        <f>IF('2y forward'!E23="","",'2y forward'!E23/IF('2y forward'!$C23="GBp",100,1)/INDEX('FX 2y forward'!$C$2:$C$14,MATCH(IF('2y forward'!$C23="GBp","GBP",'2y forward'!$C23),'FX 2y forward'!$A$2:$A$14,0)))</f>
        <v/>
      </c>
      <c r="F23" s="9" t="str">
        <f>IF('2y forward'!F23="","",'2y forward'!F23/IF('2y forward'!$C23="GBp",100,1)/INDEX('FX 2y forward'!$D$2:$D$14,MATCH(IF('2y forward'!$C23="GBp","GBP",'2y forward'!$C23),'FX 2y forward'!$A$2:$A$14,0)))</f>
        <v/>
      </c>
      <c r="G23" s="9" t="str">
        <f>IF('2y forward'!G23="","",'2y forward'!G23/IF('2y forward'!$C23="GBp",100,1)/INDEX('FX 2y forward'!$E$2:$E$14,MATCH(IF('2y forward'!$C23="GBp","GBP",'2y forward'!$C23),'FX 2y forward'!$A$2:$A$14,0)))</f>
        <v/>
      </c>
      <c r="H23" s="9" t="str">
        <f>IF('2y forward'!H23="","",'2y forward'!H23/IF('2y forward'!$C23="GBp",100,1)/INDEX('FX 2y forward'!$F$2:$F$14,MATCH(IF('2y forward'!$C23="GBp","GBP",'2y forward'!$C23),'FX 2y forward'!$A$2:$A$14,0)))</f>
        <v/>
      </c>
      <c r="I23" s="9" t="str">
        <f>IF('2y forward'!I23="","",'2y forward'!I23/IF('2y forward'!$C23="GBp",100,1)/INDEX('FX 2y forward'!$G$2:$G$14,MATCH(IF('2y forward'!$C23="GBp","GBP",'2y forward'!$C23),'FX 2y forward'!$A$2:$A$14,0)))</f>
        <v/>
      </c>
      <c r="J23" s="9" t="str">
        <f>IF('2y forward'!J23="","",'2y forward'!J23/IF('2y forward'!$C23="GBp",100,1)/INDEX('FX 2y forward'!$H$2:$H$14,MATCH(IF('2y forward'!$C23="GBp","GBP",'2y forward'!$C23),'FX 2y forward'!$A$2:$A$14,0)))</f>
        <v/>
      </c>
      <c r="K23" s="9" t="str">
        <f>IF('2y forward'!K23="","",'2y forward'!K23/IF('2y forward'!$C23="GBp",100,1)/INDEX('FX 2y forward'!$I$2:$I$14,MATCH(IF('2y forward'!$C23="GBp","GBP",'2y forward'!$C23),'FX 2y forward'!$A$2:$A$14,0)))</f>
        <v/>
      </c>
      <c r="L23" s="9" t="str">
        <f>IF('2y forward'!L23="","",'2y forward'!L23/IF('2y forward'!$C23="GBp",100,1)/INDEX('FX 2y forward'!$J$2:$J$14,MATCH(IF('2y forward'!$C23="GBp","GBP",'2y forward'!$C23),'FX 2y forward'!$A$2:$A$14,0)))</f>
        <v/>
      </c>
      <c r="M23" s="9" t="str">
        <f>IF('2y forward'!M23="","",'2y forward'!M23/IF('2y forward'!$C23="GBp",100,1)/INDEX('FX 2y forward'!$K$2:$K$14,MATCH(IF('2y forward'!$C23="GBp","GBP",'2y forward'!$C23),'FX 2y forward'!$A$2:$A$14,0)))</f>
        <v/>
      </c>
    </row>
    <row r="24">
      <c r="A24" s="2" t="inlineStr">
        <is>
          <t>HMY</t>
        </is>
      </c>
      <c r="B24" s="2" t="inlineStr">
        <is>
          <t>Harmony Gold Mining Co Ltd</t>
        </is>
      </c>
      <c r="C24" s="2" t="inlineStr">
        <is>
          <t>USD</t>
        </is>
      </c>
      <c r="D24" s="9">
        <f>IF('2y forward'!D24="","",'2y forward'!D24/IF('2y forward'!$C24="GBp",100,1)/INDEX('FX 2y forward'!$B$2:$B$14,MATCH(IF('2y forward'!$C24="GBp","GBP",'2y forward'!$C24),'FX 2y forward'!$A$2:$A$14,0)))</f>
        <v>1.8116181127691118</v>
      </c>
      <c r="E24" s="9">
        <f>IF('2y forward'!E24="","",'2y forward'!E24/IF('2y forward'!$C24="GBp",100,1)/INDEX('FX 2y forward'!$C$2:$C$14,MATCH(IF('2y forward'!$C24="GBp","GBP",'2y forward'!$C24),'FX 2y forward'!$A$2:$A$14,0)))</f>
        <v>1.8813989450935769</v>
      </c>
      <c r="F24" s="9">
        <f>IF('2y forward'!F24="","",'2y forward'!F24/IF('2y forward'!$C24="GBp",100,1)/INDEX('FX 2y forward'!$D$2:$D$14,MATCH(IF('2y forward'!$C24="GBp","GBP",'2y forward'!$C24),'FX 2y forward'!$A$2:$A$14,0)))</f>
        <v>3.7465396286429855</v>
      </c>
      <c r="G24" s="9">
        <f>IF('2y forward'!G24="","",'2y forward'!G24/IF('2y forward'!$C24="GBp",100,1)/INDEX('FX 2y forward'!$E$2:$E$14,MATCH(IF('2y forward'!$C24="GBp","GBP",'2y forward'!$C24),'FX 2y forward'!$A$2:$A$14,0)))</f>
        <v>4.692183832118196</v>
      </c>
      <c r="H24" s="9">
        <f>IF('2y forward'!H24="","",'2y forward'!H24/IF('2y forward'!$C24="GBp",100,1)/INDEX('FX 2y forward'!$F$2:$F$14,MATCH(IF('2y forward'!$C24="GBp","GBP",'2y forward'!$C24),'FX 2y forward'!$A$2:$A$14,0)))</f>
        <v>3.987861125935364</v>
      </c>
      <c r="I24" s="9">
        <f>IF('2y forward'!I24="","",'2y forward'!I24/IF('2y forward'!$C24="GBp",100,1)/INDEX('FX 2y forward'!$G$2:$G$14,MATCH(IF('2y forward'!$C24="GBp","GBP",'2y forward'!$C24),'FX 2y forward'!$A$2:$A$14,0)))</f>
        <v>3.630728916718363</v>
      </c>
      <c r="J24" s="9">
        <f>IF('2y forward'!J24="","",'2y forward'!J24/IF('2y forward'!$C24="GBp",100,1)/INDEX('FX 2y forward'!$H$2:$H$14,MATCH(IF('2y forward'!$C24="GBp","GBP",'2y forward'!$C24),'FX 2y forward'!$A$2:$A$14,0)))</f>
        <v>6.609077493161017</v>
      </c>
      <c r="K24" s="9">
        <f>IF('2y forward'!K24="","",'2y forward'!K24/IF('2y forward'!$C24="GBp",100,1)/INDEX('FX 2y forward'!$I$2:$I$14,MATCH(IF('2y forward'!$C24="GBp","GBP",'2y forward'!$C24),'FX 2y forward'!$A$2:$A$14,0)))</f>
        <v>8.65801016834687</v>
      </c>
      <c r="L24" s="9">
        <f>IF('2y forward'!L24="","",'2y forward'!L24/IF('2y forward'!$C24="GBp",100,1)/INDEX('FX 2y forward'!$J$2:$J$14,MATCH(IF('2y forward'!$C24="GBp","GBP",'2y forward'!$C24),'FX 2y forward'!$A$2:$A$14,0)))</f>
        <v>21.078630014367064</v>
      </c>
      <c r="M24" s="9">
        <f>IF('2y forward'!M24="","",'2y forward'!M24/IF('2y forward'!$C24="GBp",100,1)/INDEX('FX 2y forward'!$K$2:$K$14,MATCH(IF('2y forward'!$C24="GBp","GBP",'2y forward'!$C24),'FX 2y forward'!$A$2:$A$14,0)))</f>
        <v>19.679250055202427</v>
      </c>
    </row>
    <row r="25">
      <c r="A25" s="2" t="inlineStr">
        <is>
          <t>HUM.L</t>
        </is>
      </c>
      <c r="B25" s="2" t="inlineStr">
        <is>
          <t>Hummingbird Resources plc</t>
        </is>
      </c>
      <c r="C25" s="2" t="inlineStr">
        <is>
          <t>USD</t>
        </is>
      </c>
      <c r="D25" s="9" t="str">
        <f>IF('2y forward'!D25="","",'2y forward'!D25/IF('2y forward'!$C25="GBp",100,1)/INDEX('FX 2y forward'!$B$2:$B$14,MATCH(IF('2y forward'!$C25="GBp","GBP",'2y forward'!$C25),'FX 2y forward'!$A$2:$A$14,0)))</f>
        <v/>
      </c>
      <c r="E25" s="9" t="str">
        <f>IF('2y forward'!E25="","",'2y forward'!E25/IF('2y forward'!$C25="GBp",100,1)/INDEX('FX 2y forward'!$C$2:$C$14,MATCH(IF('2y forward'!$C25="GBp","GBP",'2y forward'!$C25),'FX 2y forward'!$A$2:$A$14,0)))</f>
        <v/>
      </c>
      <c r="F25" s="9" t="str">
        <f>IF('2y forward'!F25="","",'2y forward'!F25/IF('2y forward'!$C25="GBp",100,1)/INDEX('FX 2y forward'!$D$2:$D$14,MATCH(IF('2y forward'!$C25="GBp","GBP",'2y forward'!$C25),'FX 2y forward'!$A$2:$A$14,0)))</f>
        <v/>
      </c>
      <c r="G25" s="9" t="str">
        <f>IF('2y forward'!G25="","",'2y forward'!G25/IF('2y forward'!$C25="GBp",100,1)/INDEX('FX 2y forward'!$E$2:$E$14,MATCH(IF('2y forward'!$C25="GBp","GBP",'2y forward'!$C25),'FX 2y forward'!$A$2:$A$14,0)))</f>
        <v/>
      </c>
      <c r="H25" s="9" t="str">
        <f>IF('2y forward'!H25="","",'2y forward'!H25/IF('2y forward'!$C25="GBp",100,1)/INDEX('FX 2y forward'!$F$2:$F$14,MATCH(IF('2y forward'!$C25="GBp","GBP",'2y forward'!$C25),'FX 2y forward'!$A$2:$A$14,0)))</f>
        <v/>
      </c>
      <c r="I25" s="9" t="str">
        <f>IF('2y forward'!I25="","",'2y forward'!I25/IF('2y forward'!$C25="GBp",100,1)/INDEX('FX 2y forward'!$G$2:$G$14,MATCH(IF('2y forward'!$C25="GBp","GBP",'2y forward'!$C25),'FX 2y forward'!$A$2:$A$14,0)))</f>
        <v/>
      </c>
      <c r="J25" s="9" t="str">
        <f>IF('2y forward'!J25="","",'2y forward'!J25/IF('2y forward'!$C25="GBp",100,1)/INDEX('FX 2y forward'!$H$2:$H$14,MATCH(IF('2y forward'!$C25="GBp","GBP",'2y forward'!$C25),'FX 2y forward'!$A$2:$A$14,0)))</f>
        <v/>
      </c>
      <c r="K25" s="9" t="str">
        <f>IF('2y forward'!K25="","",'2y forward'!K25/IF('2y forward'!$C25="GBp",100,1)/INDEX('FX 2y forward'!$I$2:$I$14,MATCH(IF('2y forward'!$C25="GBp","GBP",'2y forward'!$C25),'FX 2y forward'!$A$2:$A$14,0)))</f>
        <v/>
      </c>
      <c r="L25" s="9" t="str">
        <f>IF('2y forward'!L25="","",'2y forward'!L25/IF('2y forward'!$C25="GBp",100,1)/INDEX('FX 2y forward'!$J$2:$J$14,MATCH(IF('2y forward'!$C25="GBp","GBP",'2y forward'!$C25),'FX 2y forward'!$A$2:$A$14,0)))</f>
        <v/>
      </c>
      <c r="M25" s="9" t="str">
        <f>IF('2y forward'!M25="","",'2y forward'!M25/IF('2y forward'!$C25="GBp",100,1)/INDEX('FX 2y forward'!$K$2:$K$14,MATCH(IF('2y forward'!$C25="GBp","GBP",'2y forward'!$C25),'FX 2y forward'!$A$2:$A$14,0)))</f>
        <v/>
      </c>
    </row>
    <row r="26">
      <c r="A26" s="2" t="inlineStr">
        <is>
          <t>IAU.TO</t>
        </is>
      </c>
      <c r="B26" s="2" t="inlineStr">
        <is>
          <t>i-80 Gold Corp</t>
        </is>
      </c>
      <c r="C26" s="2" t="inlineStr">
        <is>
          <t>USD</t>
        </is>
      </c>
      <c r="D26" s="9" t="str">
        <f>IF('2y forward'!D26="","",'2y forward'!D26/IF('2y forward'!$C26="GBp",100,1)/INDEX('FX 2y forward'!$B$2:$B$14,MATCH(IF('2y forward'!$C26="GBp","GBP",'2y forward'!$C26),'FX 2y forward'!$A$2:$A$14,0)))</f>
        <v/>
      </c>
      <c r="E26" s="9" t="str">
        <f>IF('2y forward'!E26="","",'2y forward'!E26/IF('2y forward'!$C26="GBp",100,1)/INDEX('FX 2y forward'!$C$2:$C$14,MATCH(IF('2y forward'!$C26="GBp","GBP",'2y forward'!$C26),'FX 2y forward'!$A$2:$A$14,0)))</f>
        <v/>
      </c>
      <c r="F26" s="9" t="str">
        <f>IF('2y forward'!F26="","",'2y forward'!F26/IF('2y forward'!$C26="GBp",100,1)/INDEX('FX 2y forward'!$D$2:$D$14,MATCH(IF('2y forward'!$C26="GBp","GBP",'2y forward'!$C26),'FX 2y forward'!$A$2:$A$14,0)))</f>
        <v/>
      </c>
      <c r="G26" s="9" t="str">
        <f>IF('2y forward'!G26="","",'2y forward'!G26/IF('2y forward'!$C26="GBp",100,1)/INDEX('FX 2y forward'!$E$2:$E$14,MATCH(IF('2y forward'!$C26="GBp","GBP",'2y forward'!$C26),'FX 2y forward'!$A$2:$A$14,0)))</f>
        <v/>
      </c>
      <c r="H26" s="9">
        <f>IF('2y forward'!H26="","",'2y forward'!H26/IF('2y forward'!$C26="GBp",100,1)/INDEX('FX 2y forward'!$F$2:$F$14,MATCH(IF('2y forward'!$C26="GBp","GBP",'2y forward'!$C26),'FX 2y forward'!$A$2:$A$14,0)))</f>
        <v>2.4602530843485777</v>
      </c>
      <c r="I26" s="9">
        <f>IF('2y forward'!I26="","",'2y forward'!I26/IF('2y forward'!$C26="GBp",100,1)/INDEX('FX 2y forward'!$G$2:$G$14,MATCH(IF('2y forward'!$C26="GBp","GBP",'2y forward'!$C26),'FX 2y forward'!$A$2:$A$14,0)))</f>
        <v>3.047662687031202</v>
      </c>
      <c r="J26" s="9">
        <f>IF('2y forward'!J26="","",'2y forward'!J26/IF('2y forward'!$C26="GBp",100,1)/INDEX('FX 2y forward'!$H$2:$H$14,MATCH(IF('2y forward'!$C26="GBp","GBP",'2y forward'!$C26),'FX 2y forward'!$A$2:$A$14,0)))</f>
        <v>1.917450841603124</v>
      </c>
      <c r="K26" s="9">
        <f>IF('2y forward'!K26="","",'2y forward'!K26/IF('2y forward'!$C26="GBp",100,1)/INDEX('FX 2y forward'!$I$2:$I$14,MATCH(IF('2y forward'!$C26="GBp","GBP",'2y forward'!$C26),'FX 2y forward'!$A$2:$A$14,0)))</f>
        <v>0.5233972237173931</v>
      </c>
      <c r="L26" s="9">
        <f>IF('2y forward'!L26="","",'2y forward'!L26/IF('2y forward'!$C26="GBp",100,1)/INDEX('FX 2y forward'!$J$2:$J$14,MATCH(IF('2y forward'!$C26="GBp","GBP",'2y forward'!$C26),'FX 2y forward'!$A$2:$A$14,0)))</f>
        <v>1.581341769310229</v>
      </c>
      <c r="M26" s="9">
        <f>IF('2y forward'!M26="","",'2y forward'!M26/IF('2y forward'!$C26="GBp",100,1)/INDEX('FX 2y forward'!$K$2:$K$14,MATCH(IF('2y forward'!$C26="GBp","GBP",'2y forward'!$C26),'FX 2y forward'!$A$2:$A$14,0)))</f>
        <v>1.879179117328273</v>
      </c>
    </row>
    <row r="27">
      <c r="A27" s="2" t="inlineStr">
        <is>
          <t>IMG.TO</t>
        </is>
      </c>
      <c r="B27" s="2" t="inlineStr">
        <is>
          <t>IAMGOLD Corp</t>
        </is>
      </c>
      <c r="C27" s="2" t="inlineStr">
        <is>
          <t>USD</t>
        </is>
      </c>
      <c r="D27" s="9">
        <f>IF('2y forward'!D27="","",'2y forward'!D27/IF('2y forward'!$C27="GBp",100,1)/INDEX('FX 2y forward'!$B$2:$B$14,MATCH(IF('2y forward'!$C27="GBp","GBP",'2y forward'!$C27),'FX 2y forward'!$A$2:$A$14,0)))</f>
        <v>6.058157104197871</v>
      </c>
      <c r="E27" s="9">
        <f>IF('2y forward'!E27="","",'2y forward'!E27/IF('2y forward'!$C27="GBp",100,1)/INDEX('FX 2y forward'!$C$2:$C$14,MATCH(IF('2y forward'!$C27="GBp","GBP",'2y forward'!$C27),'FX 2y forward'!$A$2:$A$14,0)))</f>
        <v>3.8656694498132813</v>
      </c>
      <c r="F27" s="9">
        <f>IF('2y forward'!F27="","",'2y forward'!F27/IF('2y forward'!$C27="GBp",100,1)/INDEX('FX 2y forward'!$D$2:$D$14,MATCH(IF('2y forward'!$C27="GBp","GBP",'2y forward'!$C27),'FX 2y forward'!$A$2:$A$14,0)))</f>
        <v>3.83267783817965</v>
      </c>
      <c r="G27" s="9">
        <f>IF('2y forward'!G27="","",'2y forward'!G27/IF('2y forward'!$C27="GBp",100,1)/INDEX('FX 2y forward'!$E$2:$E$14,MATCH(IF('2y forward'!$C27="GBp","GBP",'2y forward'!$C27),'FX 2y forward'!$A$2:$A$14,0)))</f>
        <v>3.672079021770478</v>
      </c>
      <c r="H27" s="9">
        <f>IF('2y forward'!H27="","",'2y forward'!H27/IF('2y forward'!$C27="GBp",100,1)/INDEX('FX 2y forward'!$F$2:$F$14,MATCH(IF('2y forward'!$C27="GBp","GBP",'2y forward'!$C27),'FX 2y forward'!$A$2:$A$14,0)))</f>
        <v>3.1370217321467306</v>
      </c>
      <c r="I27" s="9">
        <f>IF('2y forward'!I27="","",'2y forward'!I27/IF('2y forward'!$C27="GBp",100,1)/INDEX('FX 2y forward'!$G$2:$G$14,MATCH(IF('2y forward'!$C27="GBp","GBP",'2y forward'!$C27),'FX 2y forward'!$A$2:$A$14,0)))</f>
        <v>2.797722096295839</v>
      </c>
      <c r="J27" s="9">
        <f>IF('2y forward'!J27="","",'2y forward'!J27/IF('2y forward'!$C27="GBp",100,1)/INDEX('FX 2y forward'!$H$2:$H$14,MATCH(IF('2y forward'!$C27="GBp","GBP",'2y forward'!$C27),'FX 2y forward'!$A$2:$A$14,0)))</f>
        <v>2.748620519722933</v>
      </c>
      <c r="K27" s="9">
        <f>IF('2y forward'!K27="","",'2y forward'!K27/IF('2y forward'!$C27="GBp",100,1)/INDEX('FX 2y forward'!$I$2:$I$14,MATCH(IF('2y forward'!$C27="GBp","GBP",'2y forward'!$C27),'FX 2y forward'!$A$2:$A$14,0)))</f>
        <v>5.6360019887249715</v>
      </c>
      <c r="L27" s="9">
        <f>IF('2y forward'!L27="","",'2y forward'!L27/IF('2y forward'!$C27="GBp",100,1)/INDEX('FX 2y forward'!$J$2:$J$14,MATCH(IF('2y forward'!$C27="GBp","GBP",'2y forward'!$C27),'FX 2y forward'!$A$2:$A$14,0)))</f>
        <v>17.73138172023598</v>
      </c>
      <c r="M27" s="9">
        <f>IF('2y forward'!M27="","",'2y forward'!M27/IF('2y forward'!$C27="GBp",100,1)/INDEX('FX 2y forward'!$K$2:$K$14,MATCH(IF('2y forward'!$C27="GBp","GBP",'2y forward'!$C27),'FX 2y forward'!$A$2:$A$14,0)))</f>
        <v>21.102878394190487</v>
      </c>
    </row>
    <row r="28">
      <c r="A28" s="2" t="inlineStr">
        <is>
          <t>K.TO</t>
        </is>
      </c>
      <c r="B28" s="2" t="inlineStr">
        <is>
          <t>Kinross Gold Corp</t>
        </is>
      </c>
      <c r="C28" s="2" t="inlineStr">
        <is>
          <t>USD</t>
        </is>
      </c>
      <c r="D28" s="9">
        <f>IF('2y forward'!D28="","",'2y forward'!D28/IF('2y forward'!$C28="GBp",100,1)/INDEX('FX 2y forward'!$B$2:$B$14,MATCH(IF('2y forward'!$C28="GBp","GBP",'2y forward'!$C28),'FX 2y forward'!$A$2:$A$14,0)))</f>
        <v>4.47956500746964</v>
      </c>
      <c r="E28" s="9">
        <f>IF('2y forward'!E28="","",'2y forward'!E28/IF('2y forward'!$C28="GBp",100,1)/INDEX('FX 2y forward'!$C$2:$C$14,MATCH(IF('2y forward'!$C28="GBp","GBP",'2y forward'!$C28),'FX 2y forward'!$A$2:$A$14,0)))</f>
        <v>3.3949991176004874</v>
      </c>
      <c r="F28" s="9">
        <f>IF('2y forward'!F28="","",'2y forward'!F28/IF('2y forward'!$C28="GBp",100,1)/INDEX('FX 2y forward'!$D$2:$D$14,MATCH(IF('2y forward'!$C28="GBp","GBP",'2y forward'!$C28),'FX 2y forward'!$A$2:$A$14,0)))</f>
        <v>4.867895975914773</v>
      </c>
      <c r="G28" s="9">
        <f>IF('2y forward'!G28="","",'2y forward'!G28/IF('2y forward'!$C28="GBp",100,1)/INDEX('FX 2y forward'!$E$2:$E$14,MATCH(IF('2y forward'!$C28="GBp","GBP",'2y forward'!$C28),'FX 2y forward'!$A$2:$A$14,0)))</f>
        <v>7.220969135400472</v>
      </c>
      <c r="H28" s="9">
        <f>IF('2y forward'!H28="","",'2y forward'!H28/IF('2y forward'!$C28="GBp",100,1)/INDEX('FX 2y forward'!$F$2:$F$14,MATCH(IF('2y forward'!$C28="GBp","GBP",'2y forward'!$C28),'FX 2y forward'!$A$2:$A$14,0)))</f>
        <v>5.610051930053391</v>
      </c>
      <c r="I28" s="9">
        <f>IF('2y forward'!I28="","",'2y forward'!I28/IF('2y forward'!$C28="GBp",100,1)/INDEX('FX 2y forward'!$G$2:$G$14,MATCH(IF('2y forward'!$C28="GBp","GBP",'2y forward'!$C28),'FX 2y forward'!$A$2:$A$14,0)))</f>
        <v>4.205977868476724</v>
      </c>
      <c r="J28" s="9">
        <f>IF('2y forward'!J28="","",'2y forward'!J28/IF('2y forward'!$C28="GBp",100,1)/INDEX('FX 2y forward'!$H$2:$H$14,MATCH(IF('2y forward'!$C28="GBp","GBP",'2y forward'!$C28),'FX 2y forward'!$A$2:$A$14,0)))</f>
        <v>6.3355002170655945</v>
      </c>
      <c r="K28" s="9">
        <f>IF('2y forward'!K28="","",'2y forward'!K28/IF('2y forward'!$C28="GBp",100,1)/INDEX('FX 2y forward'!$I$2:$I$14,MATCH(IF('2y forward'!$C28="GBp","GBP",'2y forward'!$C28),'FX 2y forward'!$A$2:$A$14,0)))</f>
        <v>9.879337679392835</v>
      </c>
      <c r="L28" s="9">
        <f>IF('2y forward'!L28="","",'2y forward'!L28/IF('2y forward'!$C28="GBp",100,1)/INDEX('FX 2y forward'!$J$2:$J$14,MATCH(IF('2y forward'!$C28="GBp","GBP",'2y forward'!$C28),'FX 2y forward'!$A$2:$A$14,0)))</f>
        <v>29.990350205568657</v>
      </c>
      <c r="M28" s="9">
        <f>IF('2y forward'!M28="","",'2y forward'!M28/IF('2y forward'!$C28="GBp",100,1)/INDEX('FX 2y forward'!$K$2:$K$14,MATCH(IF('2y forward'!$C28="GBp","GBP",'2y forward'!$C28),'FX 2y forward'!$A$2:$A$14,0)))</f>
        <v>26.62183602528611</v>
      </c>
    </row>
    <row r="29">
      <c r="A29" s="2" t="inlineStr">
        <is>
          <t>KNT.TO</t>
        </is>
      </c>
      <c r="B29" s="2" t="inlineStr">
        <is>
          <t>K92 Mining Inc</t>
        </is>
      </c>
      <c r="C29" s="2" t="inlineStr">
        <is>
          <t>USD</t>
        </is>
      </c>
      <c r="D29" s="9">
        <f>IF('2y forward'!D29="","",'2y forward'!D29/IF('2y forward'!$C29="GBp",100,1)/INDEX('FX 2y forward'!$B$2:$B$14,MATCH(IF('2y forward'!$C29="GBp","GBP",'2y forward'!$C29),'FX 2y forward'!$A$2:$A$14,0)))</f>
        <v>0.44630352472944756</v>
      </c>
      <c r="E29" s="9">
        <f>IF('2y forward'!E29="","",'2y forward'!E29/IF('2y forward'!$C29="GBp",100,1)/INDEX('FX 2y forward'!$C$2:$C$14,MATCH(IF('2y forward'!$C29="GBp","GBP",'2y forward'!$C29),'FX 2y forward'!$A$2:$A$14,0)))</f>
        <v>0.6481361951782747</v>
      </c>
      <c r="F29" s="9">
        <f>IF('2y forward'!F29="","",'2y forward'!F29/IF('2y forward'!$C29="GBp",100,1)/INDEX('FX 2y forward'!$D$2:$D$14,MATCH(IF('2y forward'!$C29="GBp","GBP",'2y forward'!$C29),'FX 2y forward'!$A$2:$A$14,0)))</f>
        <v>2.2758994173108027</v>
      </c>
      <c r="G29" s="9">
        <f>IF('2y forward'!G29="","",'2y forward'!G29/IF('2y forward'!$C29="GBp",100,1)/INDEX('FX 2y forward'!$E$2:$E$14,MATCH(IF('2y forward'!$C29="GBp","GBP",'2y forward'!$C29),'FX 2y forward'!$A$2:$A$14,0)))</f>
        <v>5.983837549394719</v>
      </c>
      <c r="H29" s="9">
        <f>IF('2y forward'!H29="","",'2y forward'!H29/IF('2y forward'!$C29="GBp",100,1)/INDEX('FX 2y forward'!$F$2:$F$14,MATCH(IF('2y forward'!$C29="GBp","GBP",'2y forward'!$C29),'FX 2y forward'!$A$2:$A$14,0)))</f>
        <v>5.724666561963197</v>
      </c>
      <c r="I29" s="9">
        <f>IF('2y forward'!I29="","",'2y forward'!I29/IF('2y forward'!$C29="GBp",100,1)/INDEX('FX 2y forward'!$G$2:$G$14,MATCH(IF('2y forward'!$C29="GBp","GBP",'2y forward'!$C29),'FX 2y forward'!$A$2:$A$14,0)))</f>
        <v>6.184013970774952</v>
      </c>
      <c r="J29" s="9">
        <f>IF('2y forward'!J29="","",'2y forward'!J29/IF('2y forward'!$C29="GBp",100,1)/INDEX('FX 2y forward'!$H$2:$H$14,MATCH(IF('2y forward'!$C29="GBp","GBP",'2y forward'!$C29),'FX 2y forward'!$A$2:$A$14,0)))</f>
        <v>5.357341192633621</v>
      </c>
      <c r="K29" s="9">
        <f>IF('2y forward'!K29="","",'2y forward'!K29/IF('2y forward'!$C29="GBp",100,1)/INDEX('FX 2y forward'!$I$2:$I$14,MATCH(IF('2y forward'!$C29="GBp","GBP",'2y forward'!$C29),'FX 2y forward'!$A$2:$A$14,0)))</f>
        <v>6.584185365024596</v>
      </c>
      <c r="L29" s="9">
        <f>IF('2y forward'!L29="","",'2y forward'!L29/IF('2y forward'!$C29="GBp",100,1)/INDEX('FX 2y forward'!$J$2:$J$14,MATCH(IF('2y forward'!$C29="GBp","GBP",'2y forward'!$C29),'FX 2y forward'!$A$2:$A$14,0)))</f>
        <v>17.762695418638167</v>
      </c>
      <c r="M29" s="9">
        <f>IF('2y forward'!M29="","",'2y forward'!M29/IF('2y forward'!$C29="GBp",100,1)/INDEX('FX 2y forward'!$K$2:$K$14,MATCH(IF('2y forward'!$C29="GBp","GBP",'2y forward'!$C29),'FX 2y forward'!$A$2:$A$14,0)))</f>
        <v>22.315252018273245</v>
      </c>
    </row>
    <row r="30">
      <c r="A30" s="2" t="inlineStr">
        <is>
          <t>LYC.AX</t>
        </is>
      </c>
      <c r="B30" s="2" t="inlineStr">
        <is>
          <t>Lynas Rare Earths Ltd</t>
        </is>
      </c>
      <c r="C30" s="2" t="inlineStr">
        <is>
          <t>USD</t>
        </is>
      </c>
      <c r="D30" s="9">
        <f>IF('2y forward'!D30="","",'2y forward'!D30/IF('2y forward'!$C30="GBp",100,1)/INDEX('FX 2y forward'!$B$2:$B$14,MATCH(IF('2y forward'!$C30="GBp","GBP",'2y forward'!$C30),'FX 2y forward'!$A$2:$A$14,0)))</f>
        <v>1.764613322117283</v>
      </c>
      <c r="E30" s="9">
        <f>IF('2y forward'!E30="","",'2y forward'!E30/IF('2y forward'!$C30="GBp",100,1)/INDEX('FX 2y forward'!$C$2:$C$14,MATCH(IF('2y forward'!$C30="GBp","GBP",'2y forward'!$C30),'FX 2y forward'!$A$2:$A$14,0)))</f>
        <v>1.173604415739006</v>
      </c>
      <c r="F30" s="9">
        <f>IF('2y forward'!F30="","",'2y forward'!F30/IF('2y forward'!$C30="GBp",100,1)/INDEX('FX 2y forward'!$D$2:$D$14,MATCH(IF('2y forward'!$C30="GBp","GBP",'2y forward'!$C30),'FX 2y forward'!$A$2:$A$14,0)))</f>
        <v>1.6836989744922133</v>
      </c>
      <c r="G30" s="9">
        <f>IF('2y forward'!G30="","",'2y forward'!G30/IF('2y forward'!$C30="GBp",100,1)/INDEX('FX 2y forward'!$E$2:$E$14,MATCH(IF('2y forward'!$C30="GBp","GBP",'2y forward'!$C30),'FX 2y forward'!$A$2:$A$14,0)))</f>
        <v>3.0683050988199465</v>
      </c>
      <c r="H30" s="9">
        <f>IF('2y forward'!H30="","",'2y forward'!H30/IF('2y forward'!$C30="GBp",100,1)/INDEX('FX 2y forward'!$F$2:$F$14,MATCH(IF('2y forward'!$C30="GBp","GBP",'2y forward'!$C30),'FX 2y forward'!$A$2:$A$14,0)))</f>
        <v>7.481484884873786</v>
      </c>
      <c r="I30" s="9">
        <f>IF('2y forward'!I30="","",'2y forward'!I30/IF('2y forward'!$C30="GBp",100,1)/INDEX('FX 2y forward'!$G$2:$G$14,MATCH(IF('2y forward'!$C30="GBp","GBP",'2y forward'!$C30),'FX 2y forward'!$A$2:$A$14,0)))</f>
        <v>5.8033689035046265</v>
      </c>
      <c r="J30" s="9">
        <f>IF('2y forward'!J30="","",'2y forward'!J30/IF('2y forward'!$C30="GBp",100,1)/INDEX('FX 2y forward'!$H$2:$H$14,MATCH(IF('2y forward'!$C30="GBp","GBP",'2y forward'!$C30),'FX 2y forward'!$A$2:$A$14,0)))</f>
        <v>5.321248638194071</v>
      </c>
      <c r="K30" s="9">
        <f>IF('2y forward'!K30="","",'2y forward'!K30/IF('2y forward'!$C30="GBp",100,1)/INDEX('FX 2y forward'!$I$2:$I$14,MATCH(IF('2y forward'!$C30="GBp","GBP",'2y forward'!$C30),'FX 2y forward'!$A$2:$A$14,0)))</f>
        <v>4.353409703774116</v>
      </c>
      <c r="L30" s="9">
        <f>IF('2y forward'!L30="","",'2y forward'!L30/IF('2y forward'!$C30="GBp",100,1)/INDEX('FX 2y forward'!$J$2:$J$14,MATCH(IF('2y forward'!$C30="GBp","GBP",'2y forward'!$C30),'FX 2y forward'!$A$2:$A$14,0)))</f>
        <v>8.932898794768843</v>
      </c>
      <c r="M30" s="9">
        <f>IF('2y forward'!M30="","",'2y forward'!M30/IF('2y forward'!$C30="GBp",100,1)/INDEX('FX 2y forward'!$K$2:$K$14,MATCH(IF('2y forward'!$C30="GBp","GBP",'2y forward'!$C30),'FX 2y forward'!$A$2:$A$14,0)))</f>
        <v>10.702728960139446</v>
      </c>
    </row>
    <row r="31">
      <c r="A31" s="2" t="inlineStr">
        <is>
          <t>MSA.TO</t>
        </is>
      </c>
      <c r="B31" s="2" t="inlineStr">
        <is>
          <t>Mineros SA</t>
        </is>
      </c>
      <c r="C31" s="2" t="inlineStr">
        <is>
          <t>USD</t>
        </is>
      </c>
      <c r="D31" s="9" t="str">
        <f>IF('2y forward'!D31="","",'2y forward'!D31/IF('2y forward'!$C31="GBp",100,1)/INDEX('FX 2y forward'!$B$2:$B$14,MATCH(IF('2y forward'!$C31="GBp","GBP",'2y forward'!$C31),'FX 2y forward'!$A$2:$A$14,0)))</f>
        <v/>
      </c>
      <c r="E31" s="9" t="str">
        <f>IF('2y forward'!E31="","",'2y forward'!E31/IF('2y forward'!$C31="GBp",100,1)/INDEX('FX 2y forward'!$C$2:$C$14,MATCH(IF('2y forward'!$C31="GBp","GBP",'2y forward'!$C31),'FX 2y forward'!$A$2:$A$14,0)))</f>
        <v/>
      </c>
      <c r="F31" s="9" t="str">
        <f>IF('2y forward'!F31="","",'2y forward'!F31/IF('2y forward'!$C31="GBp",100,1)/INDEX('FX 2y forward'!$D$2:$D$14,MATCH(IF('2y forward'!$C31="GBp","GBP",'2y forward'!$C31),'FX 2y forward'!$A$2:$A$14,0)))</f>
        <v/>
      </c>
      <c r="G31" s="9" t="str">
        <f>IF('2y forward'!G31="","",'2y forward'!G31/IF('2y forward'!$C31="GBp",100,1)/INDEX('FX 2y forward'!$E$2:$E$14,MATCH(IF('2y forward'!$C31="GBp","GBP",'2y forward'!$C31),'FX 2y forward'!$A$2:$A$14,0)))</f>
        <v/>
      </c>
      <c r="H31" s="9">
        <f>IF('2y forward'!H31="","",'2y forward'!H31/IF('2y forward'!$C31="GBp",100,1)/INDEX('FX 2y forward'!$F$2:$F$14,MATCH(IF('2y forward'!$C31="GBp","GBP",'2y forward'!$C31),'FX 2y forward'!$A$2:$A$14,0)))</f>
        <v>0.8997042023669556</v>
      </c>
      <c r="I31" s="9">
        <f>IF('2y forward'!I31="","",'2y forward'!I31/IF('2y forward'!$C31="GBp",100,1)/INDEX('FX 2y forward'!$G$2:$G$14,MATCH(IF('2y forward'!$C31="GBp","GBP",'2y forward'!$C31),'FX 2y forward'!$A$2:$A$14,0)))</f>
        <v>0.4302228327370302</v>
      </c>
      <c r="J31" s="9">
        <f>IF('2y forward'!J31="","",'2y forward'!J31/IF('2y forward'!$C31="GBp",100,1)/INDEX('FX 2y forward'!$H$2:$H$14,MATCH(IF('2y forward'!$C31="GBp","GBP",'2y forward'!$C31),'FX 2y forward'!$A$2:$A$14,0)))</f>
        <v>0.40179689013992115</v>
      </c>
      <c r="K31" s="9">
        <f>IF('2y forward'!K31="","",'2y forward'!K31/IF('2y forward'!$C31="GBp",100,1)/INDEX('FX 2y forward'!$I$2:$I$14,MATCH(IF('2y forward'!$C31="GBp","GBP",'2y forward'!$C31),'FX 2y forward'!$A$2:$A$14,0)))</f>
        <v>0.9543710022597454</v>
      </c>
      <c r="L31" s="9">
        <f>IF('2y forward'!L31="","",'2y forward'!L31/IF('2y forward'!$C31="GBp",100,1)/INDEX('FX 2y forward'!$J$2:$J$14,MATCH(IF('2y forward'!$C31="GBp","GBP",'2y forward'!$C31),'FX 2y forward'!$A$2:$A$14,0)))</f>
        <v>4.1857498362327945</v>
      </c>
      <c r="M31" s="9">
        <f>IF('2y forward'!M31="","",'2y forward'!M31/IF('2y forward'!$C31="GBp",100,1)/INDEX('FX 2y forward'!$K$2:$K$14,MATCH(IF('2y forward'!$C31="GBp","GBP",'2y forward'!$C31),'FX 2y forward'!$A$2:$A$14,0)))</f>
        <v>7.384956552535118</v>
      </c>
    </row>
    <row r="32">
      <c r="A32" s="2" t="inlineStr">
        <is>
          <t>MUX</t>
        </is>
      </c>
      <c r="B32" s="2" t="inlineStr">
        <is>
          <t>McEwen Mining Inc</t>
        </is>
      </c>
      <c r="C32" s="2" t="inlineStr">
        <is>
          <t>USD</t>
        </is>
      </c>
      <c r="D32" s="9">
        <f>IF('2y forward'!D32="","",'2y forward'!D32/IF('2y forward'!$C32="GBp",100,1)/INDEX('FX 2y forward'!$B$2:$B$14,MATCH(IF('2y forward'!$C32="GBp","GBP",'2y forward'!$C32),'FX 2y forward'!$A$2:$A$14,0)))</f>
        <v>2.3471537947894765</v>
      </c>
      <c r="E32" s="9">
        <f>IF('2y forward'!E32="","",'2y forward'!E32/IF('2y forward'!$C32="GBp",100,1)/INDEX('FX 2y forward'!$C$2:$C$14,MATCH(IF('2y forward'!$C32="GBp","GBP",'2y forward'!$C32),'FX 2y forward'!$A$2:$A$14,0)))</f>
        <v>1.8920227617653782</v>
      </c>
      <c r="F32" s="9">
        <f>IF('2y forward'!F32="","",'2y forward'!F32/IF('2y forward'!$C32="GBp",100,1)/INDEX('FX 2y forward'!$D$2:$D$14,MATCH(IF('2y forward'!$C32="GBp","GBP",'2y forward'!$C32),'FX 2y forward'!$A$2:$A$14,0)))</f>
        <v>1.3004923200030687</v>
      </c>
      <c r="G32" s="9">
        <f>IF('2y forward'!G32="","",'2y forward'!G32/IF('2y forward'!$C32="GBp",100,1)/INDEX('FX 2y forward'!$E$2:$E$14,MATCH(IF('2y forward'!$C32="GBp","GBP",'2y forward'!$C32),'FX 2y forward'!$A$2:$A$14,0)))</f>
        <v>0.9875643321872698</v>
      </c>
      <c r="H32" s="9">
        <f>IF('2y forward'!H32="","",'2y forward'!H32/IF('2y forward'!$C32="GBp",100,1)/INDEX('FX 2y forward'!$F$2:$F$14,MATCH(IF('2y forward'!$C32="GBp","GBP",'2y forward'!$C32),'FX 2y forward'!$A$2:$A$14,0)))</f>
        <v>0.9000451982216368</v>
      </c>
      <c r="I32" s="9">
        <f>IF('2y forward'!I32="","",'2y forward'!I32/IF('2y forward'!$C32="GBp",100,1)/INDEX('FX 2y forward'!$G$2:$G$14,MATCH(IF('2y forward'!$C32="GBp","GBP",'2y forward'!$C32),'FX 2y forward'!$A$2:$A$14,0)))</f>
        <v>6.40289097738176</v>
      </c>
      <c r="J32" s="9">
        <f>IF('2y forward'!J32="","",'2y forward'!J32/IF('2y forward'!$C32="GBp",100,1)/INDEX('FX 2y forward'!$H$2:$H$14,MATCH(IF('2y forward'!$C32="GBp","GBP",'2y forward'!$C32),'FX 2y forward'!$A$2:$A$14,0)))</f>
        <v>7.8496500508954545</v>
      </c>
      <c r="K32" s="9">
        <f>IF('2y forward'!K32="","",'2y forward'!K32/IF('2y forward'!$C32="GBp",100,1)/INDEX('FX 2y forward'!$I$2:$I$14,MATCH(IF('2y forward'!$C32="GBp","GBP",'2y forward'!$C32),'FX 2y forward'!$A$2:$A$14,0)))</f>
        <v>8.468524904550842</v>
      </c>
      <c r="L32" s="9">
        <f>IF('2y forward'!L32="","",'2y forward'!L32/IF('2y forward'!$C32="GBp",100,1)/INDEX('FX 2y forward'!$J$2:$J$14,MATCH(IF('2y forward'!$C32="GBp","GBP",'2y forward'!$C32),'FX 2y forward'!$A$2:$A$14,0)))</f>
        <v>19.844187172399923</v>
      </c>
      <c r="M32" s="9">
        <f>IF('2y forward'!M32="","",'2y forward'!M32/IF('2y forward'!$C32="GBp",100,1)/INDEX('FX 2y forward'!$K$2:$K$14,MATCH(IF('2y forward'!$C32="GBp","GBP",'2y forward'!$C32),'FX 2y forward'!$A$2:$A$14,0)))</f>
        <v>20.390947596923095</v>
      </c>
    </row>
    <row r="33">
      <c r="A33" s="2" t="inlineStr">
        <is>
          <t>NFGC.TO</t>
        </is>
      </c>
      <c r="B33" s="2" t="inlineStr">
        <is>
          <t>New Found Gold Corp</t>
        </is>
      </c>
      <c r="C33" s="2" t="inlineStr">
        <is>
          <t>USD</t>
        </is>
      </c>
      <c r="D33" s="9" t="str">
        <f>IF('2y forward'!D33="","",'2y forward'!D33/IF('2y forward'!$C33="GBp",100,1)/INDEX('FX 2y forward'!$B$2:$B$14,MATCH(IF('2y forward'!$C33="GBp","GBP",'2y forward'!$C33),'FX 2y forward'!$A$2:$A$14,0)))</f>
        <v/>
      </c>
      <c r="E33" s="9" t="str">
        <f>IF('2y forward'!E33="","",'2y forward'!E33/IF('2y forward'!$C33="GBp",100,1)/INDEX('FX 2y forward'!$C$2:$C$14,MATCH(IF('2y forward'!$C33="GBp","GBP",'2y forward'!$C33),'FX 2y forward'!$A$2:$A$14,0)))</f>
        <v/>
      </c>
      <c r="F33" s="9" t="str">
        <f>IF('2y forward'!F33="","",'2y forward'!F33/IF('2y forward'!$C33="GBp",100,1)/INDEX('FX 2y forward'!$D$2:$D$14,MATCH(IF('2y forward'!$C33="GBp","GBP",'2y forward'!$C33),'FX 2y forward'!$A$2:$A$14,0)))</f>
        <v/>
      </c>
      <c r="G33" s="9">
        <f>IF('2y forward'!G33="","",'2y forward'!G33/IF('2y forward'!$C33="GBp",100,1)/INDEX('FX 2y forward'!$E$2:$E$14,MATCH(IF('2y forward'!$C33="GBp","GBP",'2y forward'!$C33),'FX 2y forward'!$A$2:$A$14,0)))</f>
        <v>3.200291567153286</v>
      </c>
      <c r="H33" s="9">
        <f>IF('2y forward'!H33="","",'2y forward'!H33/IF('2y forward'!$C33="GBp",100,1)/INDEX('FX 2y forward'!$F$2:$F$14,MATCH(IF('2y forward'!$C33="GBp","GBP",'2y forward'!$C33),'FX 2y forward'!$A$2:$A$14,0)))</f>
        <v>7.149861714385189</v>
      </c>
      <c r="I33" s="9">
        <f>IF('2y forward'!I33="","",'2y forward'!I33/IF('2y forward'!$C33="GBp",100,1)/INDEX('FX 2y forward'!$G$2:$G$14,MATCH(IF('2y forward'!$C33="GBp","GBP",'2y forward'!$C33),'FX 2y forward'!$A$2:$A$14,0)))</f>
        <v>4.3941168371217065</v>
      </c>
      <c r="J33" s="9">
        <f>IF('2y forward'!J33="","",'2y forward'!J33/IF('2y forward'!$C33="GBp",100,1)/INDEX('FX 2y forward'!$H$2:$H$14,MATCH(IF('2y forward'!$C33="GBp","GBP",'2y forward'!$C33),'FX 2y forward'!$A$2:$A$14,0)))</f>
        <v>3.8431310859599095</v>
      </c>
      <c r="K33" s="9">
        <f>IF('2y forward'!K33="","",'2y forward'!K33/IF('2y forward'!$C33="GBp",100,1)/INDEX('FX 2y forward'!$I$2:$I$14,MATCH(IF('2y forward'!$C33="GBp","GBP",'2y forward'!$C33),'FX 2y forward'!$A$2:$A$14,0)))</f>
        <v>1.9646359556928232</v>
      </c>
      <c r="L33" s="9">
        <f>IF('2y forward'!L33="","",'2y forward'!L33/IF('2y forward'!$C33="GBp",100,1)/INDEX('FX 2y forward'!$J$2:$J$14,MATCH(IF('2y forward'!$C33="GBp","GBP",'2y forward'!$C33),'FX 2y forward'!$A$2:$A$14,0)))</f>
        <v>3.1783403878215486</v>
      </c>
      <c r="M33" s="9">
        <f>IF('2y forward'!M33="","",'2y forward'!M33/IF('2y forward'!$C33="GBp",100,1)/INDEX('FX 2y forward'!$K$2:$K$14,MATCH(IF('2y forward'!$C33="GBp","GBP",'2y forward'!$C33),'FX 2y forward'!$A$2:$A$14,0)))</f>
        <v>1.8867564524787905</v>
      </c>
    </row>
    <row r="34">
      <c r="A34" s="2" t="inlineStr">
        <is>
          <t>OBM.AX</t>
        </is>
      </c>
      <c r="B34" s="2" t="inlineStr">
        <is>
          <t>Ora Banda Mining Ltd</t>
        </is>
      </c>
      <c r="C34" s="2" t="inlineStr">
        <is>
          <t>USD</t>
        </is>
      </c>
      <c r="D34" s="9">
        <f>IF('2y forward'!D34="","",'2y forward'!D34/IF('2y forward'!$C34="GBp",100,1)/INDEX('FX 2y forward'!$B$2:$B$14,MATCH(IF('2y forward'!$C34="GBp","GBP",'2y forward'!$C34),'FX 2y forward'!$A$2:$A$14,0)))</f>
        <v>0.19022207830163368</v>
      </c>
      <c r="E34" s="9">
        <f>IF('2y forward'!E34="","",'2y forward'!E34/IF('2y forward'!$C34="GBp",100,1)/INDEX('FX 2y forward'!$C$2:$C$14,MATCH(IF('2y forward'!$C34="GBp","GBP",'2y forward'!$C34),'FX 2y forward'!$A$2:$A$14,0)))</f>
        <v>0.08515110902838215</v>
      </c>
      <c r="F34" s="9">
        <f>IF('2y forward'!F34="","",'2y forward'!F34/IF('2y forward'!$C34="GBp",100,1)/INDEX('FX 2y forward'!$D$2:$D$14,MATCH(IF('2y forward'!$C34="GBp","GBP",'2y forward'!$C34),'FX 2y forward'!$A$2:$A$14,0)))</f>
        <v>0.1336842533395105</v>
      </c>
      <c r="G34" s="9">
        <f>IF('2y forward'!G34="","",'2y forward'!G34/IF('2y forward'!$C34="GBp",100,1)/INDEX('FX 2y forward'!$E$2:$E$14,MATCH(IF('2y forward'!$C34="GBp","GBP",'2y forward'!$C34),'FX 2y forward'!$A$2:$A$14,0)))</f>
        <v>0.23513393345228234</v>
      </c>
      <c r="H34" s="9">
        <f>IF('2y forward'!H34="","",'2y forward'!H34/IF('2y forward'!$C34="GBp",100,1)/INDEX('FX 2y forward'!$F$2:$F$14,MATCH(IF('2y forward'!$C34="GBp","GBP",'2y forward'!$C34),'FX 2y forward'!$A$2:$A$14,0)))</f>
        <v>0.04855240928236676</v>
      </c>
      <c r="I34" s="9">
        <f>IF('2y forward'!I34="","",'2y forward'!I34/IF('2y forward'!$C34="GBp",100,1)/INDEX('FX 2y forward'!$G$2:$G$14,MATCH(IF('2y forward'!$C34="GBp","GBP",'2y forward'!$C34),'FX 2y forward'!$A$2:$A$14,0)))</f>
        <v>0.06209974368081385</v>
      </c>
      <c r="J34" s="9">
        <f>IF('2y forward'!J34="","",'2y forward'!J34/IF('2y forward'!$C34="GBp",100,1)/INDEX('FX 2y forward'!$H$2:$H$14,MATCH(IF('2y forward'!$C34="GBp","GBP",'2y forward'!$C34),'FX 2y forward'!$A$2:$A$14,0)))</f>
        <v>0.17836587614058336</v>
      </c>
      <c r="K34" s="9">
        <f>IF('2y forward'!K34="","",'2y forward'!K34/IF('2y forward'!$C34="GBp",100,1)/INDEX('FX 2y forward'!$I$2:$I$14,MATCH(IF('2y forward'!$C34="GBp","GBP",'2y forward'!$C34),'FX 2y forward'!$A$2:$A$14,0)))</f>
        <v>0.44008029664901643</v>
      </c>
      <c r="L34" s="9">
        <f>IF('2y forward'!L34="","",'2y forward'!L34/IF('2y forward'!$C34="GBp",100,1)/INDEX('FX 2y forward'!$J$2:$J$14,MATCH(IF('2y forward'!$C34="GBp","GBP",'2y forward'!$C34),'FX 2y forward'!$A$2:$A$14,0)))</f>
        <v>1.0986603823148176</v>
      </c>
      <c r="M34" s="9">
        <f>IF('2y forward'!M34="","",'2y forward'!M34/IF('2y forward'!$C34="GBp",100,1)/INDEX('FX 2y forward'!$K$2:$K$14,MATCH(IF('2y forward'!$C34="GBp","GBP",'2y forward'!$C34),'FX 2y forward'!$A$2:$A$14,0)))</f>
        <v>1.1628492435594544</v>
      </c>
    </row>
    <row r="35">
      <c r="A35" s="2" t="inlineStr">
        <is>
          <t>OGC.TO</t>
        </is>
      </c>
      <c r="B35" s="2" t="inlineStr">
        <is>
          <t>OceanaGold Corp</t>
        </is>
      </c>
      <c r="C35" s="2" t="inlineStr">
        <is>
          <t>USD</t>
        </is>
      </c>
      <c r="D35" s="9">
        <f>IF('2y forward'!D35="","",'2y forward'!D35/IF('2y forward'!$C35="GBp",100,1)/INDEX('FX 2y forward'!$B$2:$B$14,MATCH(IF('2y forward'!$C35="GBp","GBP",'2y forward'!$C35),'FX 2y forward'!$A$2:$A$14,0)))</f>
        <v>2.6269205508580162</v>
      </c>
      <c r="E35" s="9">
        <f>IF('2y forward'!E35="","",'2y forward'!E35/IF('2y forward'!$C35="GBp",100,1)/INDEX('FX 2y forward'!$C$2:$C$14,MATCH(IF('2y forward'!$C35="GBp","GBP",'2y forward'!$C35),'FX 2y forward'!$A$2:$A$14,0)))</f>
        <v>3.7828089843583603</v>
      </c>
      <c r="F35" s="9">
        <f>IF('2y forward'!F35="","",'2y forward'!F35/IF('2y forward'!$C35="GBp",100,1)/INDEX('FX 2y forward'!$D$2:$D$14,MATCH(IF('2y forward'!$C35="GBp","GBP",'2y forward'!$C35),'FX 2y forward'!$A$2:$A$14,0)))</f>
        <v>1.9946775088270325</v>
      </c>
      <c r="G35" s="9">
        <f>IF('2y forward'!G35="","",'2y forward'!G35/IF('2y forward'!$C35="GBp",100,1)/INDEX('FX 2y forward'!$E$2:$E$14,MATCH(IF('2y forward'!$C35="GBp","GBP",'2y forward'!$C35),'FX 2y forward'!$A$2:$A$14,0)))</f>
        <v>1.9343285639304872</v>
      </c>
      <c r="H35" s="9">
        <f>IF('2y forward'!H35="","",'2y forward'!H35/IF('2y forward'!$C35="GBp",100,1)/INDEX('FX 2y forward'!$F$2:$F$14,MATCH(IF('2y forward'!$C35="GBp","GBP",'2y forward'!$C35),'FX 2y forward'!$A$2:$A$14,0)))</f>
        <v>1.7516365001834537</v>
      </c>
      <c r="I35" s="9">
        <f>IF('2y forward'!I35="","",'2y forward'!I35/IF('2y forward'!$C35="GBp",100,1)/INDEX('FX 2y forward'!$G$2:$G$14,MATCH(IF('2y forward'!$C35="GBp","GBP",'2y forward'!$C35),'FX 2y forward'!$A$2:$A$14,0)))</f>
        <v>2.0801507228943126</v>
      </c>
      <c r="J35" s="9">
        <f>IF('2y forward'!J35="","",'2y forward'!J35/IF('2y forward'!$C35="GBp",100,1)/INDEX('FX 2y forward'!$H$2:$H$14,MATCH(IF('2y forward'!$C35="GBp","GBP",'2y forward'!$C35),'FX 2y forward'!$A$2:$A$14,0)))</f>
        <v>2.044686405251542</v>
      </c>
      <c r="K35" s="9">
        <f>IF('2y forward'!K35="","",'2y forward'!K35/IF('2y forward'!$C35="GBp",100,1)/INDEX('FX 2y forward'!$I$2:$I$14,MATCH(IF('2y forward'!$C35="GBp","GBP",'2y forward'!$C35),'FX 2y forward'!$A$2:$A$14,0)))</f>
        <v>2.9783304965342383</v>
      </c>
      <c r="L35" s="9">
        <f>IF('2y forward'!L35="","",'2y forward'!L35/IF('2y forward'!$C35="GBp",100,1)/INDEX('FX 2y forward'!$J$2:$J$14,MATCH(IF('2y forward'!$C35="GBp","GBP",'2y forward'!$C35),'FX 2y forward'!$A$2:$A$14,0)))</f>
        <v>30.190655227612815</v>
      </c>
      <c r="M35" s="9">
        <f>IF('2y forward'!M35="","",'2y forward'!M35/IF('2y forward'!$C35="GBp",100,1)/INDEX('FX 2y forward'!$K$2:$K$14,MATCH(IF('2y forward'!$C35="GBp","GBP",'2y forward'!$C35),'FX 2y forward'!$A$2:$A$14,0)))</f>
        <v>29.659884028883287</v>
      </c>
    </row>
    <row r="36">
      <c r="A36" s="2" t="inlineStr">
        <is>
          <t>OGG.V</t>
        </is>
      </c>
      <c r="B36" s="2" t="inlineStr">
        <is>
          <t>Osisko Gold Group Inc (formerly Osisko Development)</t>
        </is>
      </c>
      <c r="C36" s="2" t="inlineStr">
        <is>
          <t>USD</t>
        </is>
      </c>
      <c r="D36" s="9" t="str">
        <f>IF('2y forward'!D36="","",'2y forward'!D36/IF('2y forward'!$C36="GBp",100,1)/INDEX('FX 2y forward'!$B$2:$B$14,MATCH(IF('2y forward'!$C36="GBp","GBP",'2y forward'!$C36),'FX 2y forward'!$A$2:$A$14,0)))</f>
        <v/>
      </c>
      <c r="E36" s="9" t="str">
        <f>IF('2y forward'!E36="","",'2y forward'!E36/IF('2y forward'!$C36="GBp",100,1)/INDEX('FX 2y forward'!$C$2:$C$14,MATCH(IF('2y forward'!$C36="GBp","GBP",'2y forward'!$C36),'FX 2y forward'!$A$2:$A$14,0)))</f>
        <v/>
      </c>
      <c r="F36" s="9" t="str">
        <f>IF('2y forward'!F36="","",'2y forward'!F36/IF('2y forward'!$C36="GBp",100,1)/INDEX('FX 2y forward'!$D$2:$D$14,MATCH(IF('2y forward'!$C36="GBp","GBP",'2y forward'!$C36),'FX 2y forward'!$A$2:$A$14,0)))</f>
        <v/>
      </c>
      <c r="G36" s="9">
        <f>IF('2y forward'!G36="","",'2y forward'!G36/IF('2y forward'!$C36="GBp",100,1)/INDEX('FX 2y forward'!$E$2:$E$14,MATCH(IF('2y forward'!$C36="GBp","GBP",'2y forward'!$C36),'FX 2y forward'!$A$2:$A$14,0)))</f>
        <v>5.968111300907479</v>
      </c>
      <c r="H36" s="9">
        <f>IF('2y forward'!H36="","",'2y forward'!H36/IF('2y forward'!$C36="GBp",100,1)/INDEX('FX 2y forward'!$F$2:$F$14,MATCH(IF('2y forward'!$C36="GBp","GBP",'2y forward'!$C36),'FX 2y forward'!$A$2:$A$14,0)))</f>
        <v>3.232565541247646</v>
      </c>
      <c r="I36" s="9">
        <f>IF('2y forward'!I36="","",'2y forward'!I36/IF('2y forward'!$C36="GBp",100,1)/INDEX('FX 2y forward'!$G$2:$G$14,MATCH(IF('2y forward'!$C36="GBp","GBP",'2y forward'!$C36),'FX 2y forward'!$A$2:$A$14,0)))</f>
        <v>4.65212002755821</v>
      </c>
      <c r="J36" s="9">
        <f>IF('2y forward'!J36="","",'2y forward'!J36/IF('2y forward'!$C36="GBp",100,1)/INDEX('FX 2y forward'!$H$2:$H$14,MATCH(IF('2y forward'!$C36="GBp","GBP",'2y forward'!$C36),'FX 2y forward'!$A$2:$A$14,0)))</f>
        <v>3.1683200601596684</v>
      </c>
      <c r="K36" s="9">
        <f>IF('2y forward'!K36="","",'2y forward'!K36/IF('2y forward'!$C36="GBp",100,1)/INDEX('FX 2y forward'!$I$2:$I$14,MATCH(IF('2y forward'!$C36="GBp","GBP",'2y forward'!$C36),'FX 2y forward'!$A$2:$A$14,0)))</f>
        <v>1.7749992804328982</v>
      </c>
      <c r="L36" s="9">
        <f>IF('2y forward'!L36="","",'2y forward'!L36/IF('2y forward'!$C36="GBp",100,1)/INDEX('FX 2y forward'!$J$2:$J$14,MATCH(IF('2y forward'!$C36="GBp","GBP",'2y forward'!$C36),'FX 2y forward'!$A$2:$A$14,0)))</f>
        <v>3.640217439253745</v>
      </c>
      <c r="M36" s="9">
        <f>IF('2y forward'!M36="","",'2y forward'!M36/IF('2y forward'!$C36="GBp",100,1)/INDEX('FX 2y forward'!$K$2:$K$14,MATCH(IF('2y forward'!$C36="GBp","GBP",'2y forward'!$C36),'FX 2y forward'!$A$2:$A$14,0)))</f>
        <v>3.0157793899058576</v>
      </c>
    </row>
    <row r="37">
      <c r="A37" s="2" t="inlineStr">
        <is>
          <t>OLA.TO</t>
        </is>
      </c>
      <c r="B37" s="2" t="inlineStr">
        <is>
          <t>Orla Mining Ltd</t>
        </is>
      </c>
      <c r="C37" s="2" t="inlineStr">
        <is>
          <t>USD</t>
        </is>
      </c>
      <c r="D37" s="9">
        <f>IF('2y forward'!D37="","",'2y forward'!D37/IF('2y forward'!$C37="GBp",100,1)/INDEX('FX 2y forward'!$B$2:$B$14,MATCH(IF('2y forward'!$C37="GBp","GBP",'2y forward'!$C37),'FX 2y forward'!$A$2:$A$14,0)))</f>
        <v>1.4711486555896605</v>
      </c>
      <c r="E37" s="9">
        <f>IF('2y forward'!E37="","",'2y forward'!E37/IF('2y forward'!$C37="GBp",100,1)/INDEX('FX 2y forward'!$C$2:$C$14,MATCH(IF('2y forward'!$C37="GBp","GBP",'2y forward'!$C37),'FX 2y forward'!$A$2:$A$14,0)))</f>
        <v>0.8101702439728435</v>
      </c>
      <c r="F37" s="9">
        <f>IF('2y forward'!F37="","",'2y forward'!F37/IF('2y forward'!$C37="GBp",100,1)/INDEX('FX 2y forward'!$D$2:$D$14,MATCH(IF('2y forward'!$C37="GBp","GBP",'2y forward'!$C37),'FX 2y forward'!$A$2:$A$14,0)))</f>
        <v>1.5804857064658353</v>
      </c>
      <c r="G37" s="9">
        <f>IF('2y forward'!G37="","",'2y forward'!G37/IF('2y forward'!$C37="GBp",100,1)/INDEX('FX 2y forward'!$E$2:$E$14,MATCH(IF('2y forward'!$C37="GBp","GBP",'2y forward'!$C37),'FX 2y forward'!$A$2:$A$14,0)))</f>
        <v>5.394103231123229</v>
      </c>
      <c r="H37" s="9">
        <f>IF('2y forward'!H37="","",'2y forward'!H37/IF('2y forward'!$C37="GBp",100,1)/INDEX('FX 2y forward'!$F$2:$F$14,MATCH(IF('2y forward'!$C37="GBp","GBP",'2y forward'!$C37),'FX 2y forward'!$A$2:$A$14,0)))</f>
        <v>3.845638316311855</v>
      </c>
      <c r="I37" s="9">
        <f>IF('2y forward'!I37="","",'2y forward'!I37/IF('2y forward'!$C37="GBp",100,1)/INDEX('FX 2y forward'!$G$2:$G$14,MATCH(IF('2y forward'!$C37="GBp","GBP",'2y forward'!$C37),'FX 2y forward'!$A$2:$A$14,0)))</f>
        <v>4.4183046362251295</v>
      </c>
      <c r="J37" s="9">
        <f>IF('2y forward'!J37="","",'2y forward'!J37/IF('2y forward'!$C37="GBp",100,1)/INDEX('FX 2y forward'!$H$2:$H$14,MATCH(IF('2y forward'!$C37="GBp","GBP",'2y forward'!$C37),'FX 2y forward'!$A$2:$A$14,0)))</f>
        <v>3.5551019895817584</v>
      </c>
      <c r="K37" s="9">
        <f>IF('2y forward'!K37="","",'2y forward'!K37/IF('2y forward'!$C37="GBp",100,1)/INDEX('FX 2y forward'!$I$2:$I$14,MATCH(IF('2y forward'!$C37="GBp","GBP",'2y forward'!$C37),'FX 2y forward'!$A$2:$A$14,0)))</f>
        <v>6.038031740276013</v>
      </c>
      <c r="L37" s="9">
        <f>IF('2y forward'!L37="","",'2y forward'!L37/IF('2y forward'!$C37="GBp",100,1)/INDEX('FX 2y forward'!$J$2:$J$14,MATCH(IF('2y forward'!$C37="GBp","GBP",'2y forward'!$C37),'FX 2y forward'!$A$2:$A$14,0)))</f>
        <v>14.45127181260734</v>
      </c>
      <c r="M37" s="9">
        <f>IF('2y forward'!M37="","",'2y forward'!M37/IF('2y forward'!$C37="GBp",100,1)/INDEX('FX 2y forward'!$K$2:$K$14,MATCH(IF('2y forward'!$C37="GBp","GBP",'2y forward'!$C37),'FX 2y forward'!$A$2:$A$14,0)))</f>
        <v>10.199093112596193</v>
      </c>
    </row>
    <row r="38">
      <c r="A38" s="2" t="inlineStr">
        <is>
          <t>PGM.V</t>
        </is>
      </c>
      <c r="B38" s="2" t="inlineStr">
        <is>
          <t>Pure Gold Mining Inc</t>
        </is>
      </c>
      <c r="C38" s="2" t="inlineStr">
        <is>
          <t>USD</t>
        </is>
      </c>
      <c r="D38" s="9">
        <f>IF('2y forward'!D38="","",'2y forward'!D38/IF('2y forward'!$C38="GBp",100,1)/INDEX('FX 2y forward'!$B$2:$B$14,MATCH(IF('2y forward'!$C38="GBp","GBP",'2y forward'!$C38),'FX 2y forward'!$A$2:$A$14,0)))</f>
        <v>0.46283328490461234</v>
      </c>
      <c r="E38" s="9">
        <f>IF('2y forward'!E38="","",'2y forward'!E38/IF('2y forward'!$C38="GBp",100,1)/INDEX('FX 2y forward'!$C$2:$C$14,MATCH(IF('2y forward'!$C38="GBp","GBP",'2y forward'!$C38),'FX 2y forward'!$A$2:$A$14,0)))</f>
        <v>0.5015339605546174</v>
      </c>
      <c r="F38" s="9">
        <f>IF('2y forward'!F38="","",'2y forward'!F38/IF('2y forward'!$C38="GBp",100,1)/INDEX('FX 2y forward'!$D$2:$D$14,MATCH(IF('2y forward'!$C38="GBp","GBP",'2y forward'!$C38),'FX 2y forward'!$A$2:$A$14,0)))</f>
        <v>0.6400967111186633</v>
      </c>
      <c r="G38" s="9">
        <f>IF('2y forward'!G38="","",'2y forward'!G38/IF('2y forward'!$C38="GBp",100,1)/INDEX('FX 2y forward'!$E$2:$E$14,MATCH(IF('2y forward'!$C38="GBp","GBP",'2y forward'!$C38),'FX 2y forward'!$A$2:$A$14,0)))</f>
        <v>2.028686054853926</v>
      </c>
      <c r="H38" s="9">
        <f>IF('2y forward'!H38="","",'2y forward'!H38/IF('2y forward'!$C38="GBp",100,1)/INDEX('FX 2y forward'!$F$2:$F$14,MATCH(IF('2y forward'!$C38="GBp","GBP",'2y forward'!$C38),'FX 2y forward'!$A$2:$A$14,0)))</f>
        <v>0.5414149182385221</v>
      </c>
      <c r="I38" s="9">
        <f>IF('2y forward'!I38="","",'2y forward'!I38/IF('2y forward'!$C38="GBp",100,1)/INDEX('FX 2y forward'!$G$2:$G$14,MATCH(IF('2y forward'!$C38="GBp","GBP",'2y forward'!$C38),'FX 2y forward'!$A$2:$A$14,0)))</f>
        <v>0.01209389955171112</v>
      </c>
      <c r="J38" s="9" t="str">
        <f>IF('2y forward'!J38="","",'2y forward'!J38/IF('2y forward'!$C38="GBp",100,1)/INDEX('FX 2y forward'!$H$2:$H$14,MATCH(IF('2y forward'!$C38="GBp","GBP",'2y forward'!$C38),'FX 2y forward'!$A$2:$A$14,0)))</f>
        <v/>
      </c>
      <c r="K38" s="9" t="str">
        <f>IF('2y forward'!K38="","",'2y forward'!K38/IF('2y forward'!$C38="GBp",100,1)/INDEX('FX 2y forward'!$I$2:$I$14,MATCH(IF('2y forward'!$C38="GBp","GBP",'2y forward'!$C38),'FX 2y forward'!$A$2:$A$14,0)))</f>
        <v/>
      </c>
      <c r="L38" s="9" t="str">
        <f>IF('2y forward'!L38="","",'2y forward'!L38/IF('2y forward'!$C38="GBp",100,1)/INDEX('FX 2y forward'!$J$2:$J$14,MATCH(IF('2y forward'!$C38="GBp","GBP",'2y forward'!$C38),'FX 2y forward'!$A$2:$A$14,0)))</f>
        <v/>
      </c>
      <c r="M38" s="9" t="str">
        <f>IF('2y forward'!M38="","",'2y forward'!M38/IF('2y forward'!$C38="GBp",100,1)/INDEX('FX 2y forward'!$K$2:$K$14,MATCH(IF('2y forward'!$C38="GBp","GBP",'2y forward'!$C38),'FX 2y forward'!$A$2:$A$14,0)))</f>
        <v/>
      </c>
    </row>
    <row r="39">
      <c r="A39" s="2" t="inlineStr">
        <is>
          <t>PNR.AX</t>
        </is>
      </c>
      <c r="B39" s="2" t="inlineStr">
        <is>
          <t>Pantoro Gold Ltd</t>
        </is>
      </c>
      <c r="C39" s="2" t="inlineStr">
        <is>
          <t>USD</t>
        </is>
      </c>
      <c r="D39" s="9">
        <f>IF('2y forward'!D39="","",'2y forward'!D39/IF('2y forward'!$C39="GBp",100,1)/INDEX('FX 2y forward'!$B$2:$B$14,MATCH(IF('2y forward'!$C39="GBp","GBP",'2y forward'!$C39),'FX 2y forward'!$A$2:$A$14,0)))</f>
        <v>0.17403296525468614</v>
      </c>
      <c r="E39" s="9">
        <f>IF('2y forward'!E39="","",'2y forward'!E39/IF('2y forward'!$C39="GBp",100,1)/INDEX('FX 2y forward'!$C$2:$C$14,MATCH(IF('2y forward'!$C39="GBp","GBP",'2y forward'!$C39),'FX 2y forward'!$A$2:$A$14,0)))</f>
        <v>0.14808888526675154</v>
      </c>
      <c r="F39" s="9">
        <f>IF('2y forward'!F39="","",'2y forward'!F39/IF('2y forward'!$C39="GBp",100,1)/INDEX('FX 2y forward'!$D$2:$D$14,MATCH(IF('2y forward'!$C39="GBp","GBP",'2y forward'!$C39),'FX 2y forward'!$A$2:$A$14,0)))</f>
        <v>0.11200572577094123</v>
      </c>
      <c r="G39" s="9">
        <f>IF('2y forward'!G39="","",'2y forward'!G39/IF('2y forward'!$C39="GBp",100,1)/INDEX('FX 2y forward'!$E$2:$E$14,MATCH(IF('2y forward'!$C39="GBp","GBP",'2y forward'!$C39),'FX 2y forward'!$A$2:$A$14,0)))</f>
        <v>0.16960480445738396</v>
      </c>
      <c r="H39" s="9">
        <f>IF('2y forward'!H39="","",'2y forward'!H39/IF('2y forward'!$C39="GBp",100,1)/INDEX('FX 2y forward'!$F$2:$F$14,MATCH(IF('2y forward'!$C39="GBp","GBP",'2y forward'!$C39),'FX 2y forward'!$A$2:$A$14,0)))</f>
        <v>0.2464402592362555</v>
      </c>
      <c r="I39" s="9">
        <f>IF('2y forward'!I39="","",'2y forward'!I39/IF('2y forward'!$C39="GBp",100,1)/INDEX('FX 2y forward'!$G$2:$G$14,MATCH(IF('2y forward'!$C39="GBp","GBP",'2y forward'!$C39),'FX 2y forward'!$A$2:$A$14,0)))</f>
        <v>0.07097113563521583</v>
      </c>
      <c r="J39" s="9">
        <f>IF('2y forward'!J39="","",'2y forward'!J39/IF('2y forward'!$C39="GBp",100,1)/INDEX('FX 2y forward'!$H$2:$H$14,MATCH(IF('2y forward'!$C39="GBp","GBP",'2y forward'!$C39),'FX 2y forward'!$A$2:$A$14,0)))</f>
        <v>0.04236189558338855</v>
      </c>
      <c r="K39" s="9">
        <f>IF('2y forward'!K39="","",'2y forward'!K39/IF('2y forward'!$C39="GBp",100,1)/INDEX('FX 2y forward'!$I$2:$I$14,MATCH(IF('2y forward'!$C39="GBp","GBP",'2y forward'!$C39),'FX 2y forward'!$A$2:$A$14,0)))</f>
        <v>0.06093419492063304</v>
      </c>
      <c r="L39" s="9">
        <f>IF('2y forward'!L39="","",'2y forward'!L39/IF('2y forward'!$C39="GBp",100,1)/INDEX('FX 2y forward'!$J$2:$J$14,MATCH(IF('2y forward'!$C39="GBp","GBP",'2y forward'!$C39),'FX 2y forward'!$A$2:$A$14,0)))</f>
        <v>3.5114047513199065</v>
      </c>
      <c r="M39" s="9">
        <f>IF('2y forward'!M39="","",'2y forward'!M39/IF('2y forward'!$C39="GBp",100,1)/INDEX('FX 2y forward'!$K$2:$K$14,MATCH(IF('2y forward'!$C39="GBp","GBP",'2y forward'!$C39),'FX 2y forward'!$A$2:$A$14,0)))</f>
        <v>2.2128005023073114</v>
      </c>
    </row>
    <row r="40">
      <c r="A40" s="2" t="inlineStr">
        <is>
          <t>PSAB.JK</t>
        </is>
      </c>
      <c r="B40" s="2" t="inlineStr">
        <is>
          <t>PT J Resources Asia Pasifik Tbk</t>
        </is>
      </c>
      <c r="C40" s="2" t="inlineStr">
        <is>
          <t>USD</t>
        </is>
      </c>
      <c r="D40" s="9">
        <f>IF('2y forward'!D40="","",'2y forward'!D40/IF('2y forward'!$C40="GBp",100,1)/INDEX('FX 2y forward'!$B$2:$B$14,MATCH(IF('2y forward'!$C40="GBp","GBP",'2y forward'!$C40),'FX 2y forward'!$A$2:$A$14,0)))</f>
        <v>0.01371114528879805</v>
      </c>
      <c r="E40" s="9">
        <f>IF('2y forward'!E40="","",'2y forward'!E40/IF('2y forward'!$C40="GBp",100,1)/INDEX('FX 2y forward'!$C$2:$C$14,MATCH(IF('2y forward'!$C40="GBp","GBP",'2y forward'!$C40),'FX 2y forward'!$A$2:$A$14,0)))</f>
        <v>0.014589039673092516</v>
      </c>
      <c r="F40" s="9">
        <f>IF('2y forward'!F40="","",'2y forward'!F40/IF('2y forward'!$C40="GBp",100,1)/INDEX('FX 2y forward'!$D$2:$D$14,MATCH(IF('2y forward'!$C40="GBp","GBP",'2y forward'!$C40),'FX 2y forward'!$A$2:$A$14,0)))</f>
        <v>0.019279200447753424</v>
      </c>
      <c r="G40" s="9">
        <f>IF('2y forward'!G40="","",'2y forward'!G40/IF('2y forward'!$C40="GBp",100,1)/INDEX('FX 2y forward'!$E$2:$E$14,MATCH(IF('2y forward'!$C40="GBp","GBP",'2y forward'!$C40),'FX 2y forward'!$A$2:$A$14,0)))</f>
        <v>0.019135091503086652</v>
      </c>
      <c r="H40" s="9">
        <f>IF('2y forward'!H40="","",'2y forward'!H40/IF('2y forward'!$C40="GBp",100,1)/INDEX('FX 2y forward'!$F$2:$F$14,MATCH(IF('2y forward'!$C40="GBp","GBP",'2y forward'!$C40),'FX 2y forward'!$A$2:$A$14,0)))</f>
        <v>0.009873455398343799</v>
      </c>
      <c r="I40" s="9">
        <f>IF('2y forward'!I40="","",'2y forward'!I40/IF('2y forward'!$C40="GBp",100,1)/INDEX('FX 2y forward'!$G$2:$G$14,MATCH(IF('2y forward'!$C40="GBp","GBP",'2y forward'!$C40),'FX 2y forward'!$A$2:$A$14,0)))</f>
        <v>0.007484817908473083</v>
      </c>
      <c r="J40" s="9">
        <f>IF('2y forward'!J40="","",'2y forward'!J40/IF('2y forward'!$C40="GBp",100,1)/INDEX('FX 2y forward'!$H$2:$H$14,MATCH(IF('2y forward'!$C40="GBp","GBP",'2y forward'!$C40),'FX 2y forward'!$A$2:$A$14,0)))</f>
        <v>0.006211157333514365</v>
      </c>
      <c r="K40" s="9">
        <f>IF('2y forward'!K40="","",'2y forward'!K40/IF('2y forward'!$C40="GBp",100,1)/INDEX('FX 2y forward'!$I$2:$I$14,MATCH(IF('2y forward'!$C40="GBp","GBP",'2y forward'!$C40),'FX 2y forward'!$A$2:$A$14,0)))</f>
        <v>0.015834588261232657</v>
      </c>
      <c r="L40" s="9">
        <f>IF('2y forward'!L40="","",'2y forward'!L40/IF('2y forward'!$C40="GBp",100,1)/INDEX('FX 2y forward'!$J$2:$J$14,MATCH(IF('2y forward'!$C40="GBp","GBP",'2y forward'!$C40),'FX 2y forward'!$A$2:$A$14,0)))</f>
        <v>0.0352889816909457</v>
      </c>
      <c r="M40" s="9">
        <f>IF('2y forward'!M40="","",'2y forward'!M40/IF('2y forward'!$C40="GBp",100,1)/INDEX('FX 2y forward'!$K$2:$K$14,MATCH(IF('2y forward'!$C40="GBp","GBP",'2y forward'!$C40),'FX 2y forward'!$A$2:$A$14,0)))</f>
        <v>0.019331267594312525</v>
      </c>
    </row>
    <row r="41">
      <c r="A41" s="2" t="inlineStr">
        <is>
          <t>RMS.AX</t>
        </is>
      </c>
      <c r="B41" s="2" t="inlineStr">
        <is>
          <t>Ramelius Resources Ltd</t>
        </is>
      </c>
      <c r="C41" s="2" t="inlineStr">
        <is>
          <t>USD</t>
        </is>
      </c>
      <c r="D41" s="9">
        <f>IF('2y forward'!D41="","",'2y forward'!D41/IF('2y forward'!$C41="GBp",100,1)/INDEX('FX 2y forward'!$B$2:$B$14,MATCH(IF('2y forward'!$C41="GBp","GBP",'2y forward'!$C41),'FX 2y forward'!$A$2:$A$14,0)))</f>
        <v>0.3116404261537403</v>
      </c>
      <c r="E41" s="9">
        <f>IF('2y forward'!E41="","",'2y forward'!E41/IF('2y forward'!$C41="GBp",100,1)/INDEX('FX 2y forward'!$C$2:$C$14,MATCH(IF('2y forward'!$C41="GBp","GBP",'2y forward'!$C41),'FX 2y forward'!$A$2:$A$14,0)))</f>
        <v>0.3480088803768661</v>
      </c>
      <c r="F41" s="9">
        <f>IF('2y forward'!F41="","",'2y forward'!F41/IF('2y forward'!$C41="GBp",100,1)/INDEX('FX 2y forward'!$D$2:$D$14,MATCH(IF('2y forward'!$C41="GBp","GBP",'2y forward'!$C41),'FX 2y forward'!$A$2:$A$14,0)))</f>
        <v>0.878097051977446</v>
      </c>
      <c r="G41" s="9">
        <f>IF('2y forward'!G41="","",'2y forward'!G41/IF('2y forward'!$C41="GBp",100,1)/INDEX('FX 2y forward'!$E$2:$E$14,MATCH(IF('2y forward'!$C41="GBp","GBP",'2y forward'!$C41),'FX 2y forward'!$A$2:$A$14,0)))</f>
        <v>1.268545626888015</v>
      </c>
      <c r="H41" s="9">
        <f>IF('2y forward'!H41="","",'2y forward'!H41/IF('2y forward'!$C41="GBp",100,1)/INDEX('FX 2y forward'!$F$2:$F$14,MATCH(IF('2y forward'!$C41="GBp","GBP",'2y forward'!$C41),'FX 2y forward'!$A$2:$A$14,0)))</f>
        <v>1.1187552637294151</v>
      </c>
      <c r="I41" s="9">
        <f>IF('2y forward'!I41="","",'2y forward'!I41/IF('2y forward'!$C41="GBp",100,1)/INDEX('FX 2y forward'!$G$2:$G$14,MATCH(IF('2y forward'!$C41="GBp","GBP",'2y forward'!$C41),'FX 2y forward'!$A$2:$A$14,0)))</f>
        <v>0.6729046554865329</v>
      </c>
      <c r="J41" s="9">
        <f>IF('2y forward'!J41="","",'2y forward'!J41/IF('2y forward'!$C41="GBp",100,1)/INDEX('FX 2y forward'!$H$2:$H$14,MATCH(IF('2y forward'!$C41="GBp","GBP",'2y forward'!$C41),'FX 2y forward'!$A$2:$A$14,0)))</f>
        <v>1.2229005843755605</v>
      </c>
      <c r="K41" s="9">
        <f>IF('2y forward'!K41="","",'2y forward'!K41/IF('2y forward'!$C41="GBp",100,1)/INDEX('FX 2y forward'!$I$2:$I$14,MATCH(IF('2y forward'!$C41="GBp","GBP",'2y forward'!$C41),'FX 2y forward'!$A$2:$A$14,0)))</f>
        <v>1.3353900841478914</v>
      </c>
      <c r="L41" s="9">
        <f>IF('2y forward'!L41="","",'2y forward'!L41/IF('2y forward'!$C41="GBp",100,1)/INDEX('FX 2y forward'!$J$2:$J$14,MATCH(IF('2y forward'!$C41="GBp","GBP",'2y forward'!$C41),'FX 2y forward'!$A$2:$A$14,0)))</f>
        <v>2.8744948148951415</v>
      </c>
      <c r="M41" s="9">
        <f>IF('2y forward'!M41="","",'2y forward'!M41/IF('2y forward'!$C41="GBp",100,1)/INDEX('FX 2y forward'!$K$2:$K$14,MATCH(IF('2y forward'!$C41="GBp","GBP",'2y forward'!$C41),'FX 2y forward'!$A$2:$A$14,0)))</f>
        <v>2.823834843159173</v>
      </c>
    </row>
    <row r="42">
      <c r="A42" s="2" t="inlineStr">
        <is>
          <t>RRL.AX</t>
        </is>
      </c>
      <c r="B42" s="2" t="inlineStr">
        <is>
          <t>Regis Resources Ltd</t>
        </is>
      </c>
      <c r="C42" s="2" t="inlineStr">
        <is>
          <t>USD</t>
        </is>
      </c>
      <c r="D42" s="9">
        <f>IF('2y forward'!D42="","",'2y forward'!D42/IF('2y forward'!$C42="GBp",100,1)/INDEX('FX 2y forward'!$B$2:$B$14,MATCH(IF('2y forward'!$C42="GBp","GBP",'2y forward'!$C42),'FX 2y forward'!$A$2:$A$14,0)))</f>
        <v>3.2460982327052665</v>
      </c>
      <c r="E42" s="9">
        <f>IF('2y forward'!E42="","",'2y forward'!E42/IF('2y forward'!$C42="GBp",100,1)/INDEX('FX 2y forward'!$C$2:$C$14,MATCH(IF('2y forward'!$C42="GBp","GBP",'2y forward'!$C42),'FX 2y forward'!$A$2:$A$14,0)))</f>
        <v>3.3470848425195476</v>
      </c>
      <c r="F42" s="9">
        <f>IF('2y forward'!F42="","",'2y forward'!F42/IF('2y forward'!$C42="GBp",100,1)/INDEX('FX 2y forward'!$D$2:$D$14,MATCH(IF('2y forward'!$C42="GBp","GBP",'2y forward'!$C42),'FX 2y forward'!$A$2:$A$14,0)))</f>
        <v>2.9132439627763884</v>
      </c>
      <c r="G42" s="9">
        <f>IF('2y forward'!G42="","",'2y forward'!G42/IF('2y forward'!$C42="GBp",100,1)/INDEX('FX 2y forward'!$E$2:$E$14,MATCH(IF('2y forward'!$C42="GBp","GBP",'2y forward'!$C42),'FX 2y forward'!$A$2:$A$14,0)))</f>
        <v>2.646841695483731</v>
      </c>
      <c r="H42" s="9">
        <f>IF('2y forward'!H42="","",'2y forward'!H42/IF('2y forward'!$C42="GBp",100,1)/INDEX('FX 2y forward'!$F$2:$F$14,MATCH(IF('2y forward'!$C42="GBp","GBP",'2y forward'!$C42),'FX 2y forward'!$A$2:$A$14,0)))</f>
        <v>1.3371151884489823</v>
      </c>
      <c r="I42" s="9">
        <f>IF('2y forward'!I42="","",'2y forward'!I42/IF('2y forward'!$C42="GBp",100,1)/INDEX('FX 2y forward'!$G$2:$G$14,MATCH(IF('2y forward'!$C42="GBp","GBP",'2y forward'!$C42),'FX 2y forward'!$A$2:$A$14,0)))</f>
        <v>1.4936354467159225</v>
      </c>
      <c r="J42" s="9">
        <f>IF('2y forward'!J42="","",'2y forward'!J42/IF('2y forward'!$C42="GBp",100,1)/INDEX('FX 2y forward'!$H$2:$H$14,MATCH(IF('2y forward'!$C42="GBp","GBP",'2y forward'!$C42),'FX 2y forward'!$A$2:$A$14,0)))</f>
        <v>1.6201567082769657</v>
      </c>
      <c r="K42" s="9">
        <f>IF('2y forward'!K42="","",'2y forward'!K42/IF('2y forward'!$C42="GBp",100,1)/INDEX('FX 2y forward'!$I$2:$I$14,MATCH(IF('2y forward'!$C42="GBp","GBP",'2y forward'!$C42),'FX 2y forward'!$A$2:$A$14,0)))</f>
        <v>1.7264688560846029</v>
      </c>
      <c r="L42" s="9">
        <f>IF('2y forward'!L42="","",'2y forward'!L42/IF('2y forward'!$C42="GBp",100,1)/INDEX('FX 2y forward'!$J$2:$J$14,MATCH(IF('2y forward'!$C42="GBp","GBP",'2y forward'!$C42),'FX 2y forward'!$A$2:$A$14,0)))</f>
        <v>5.350154458500394</v>
      </c>
      <c r="M42" s="9">
        <f>IF('2y forward'!M42="","",'2y forward'!M42/IF('2y forward'!$C42="GBp",100,1)/INDEX('FX 2y forward'!$K$2:$K$14,MATCH(IF('2y forward'!$C42="GBp","GBP",'2y forward'!$C42),'FX 2y forward'!$A$2:$A$14,0)))</f>
        <v>5.306803579727422</v>
      </c>
    </row>
    <row r="43">
      <c r="A43" s="2" t="inlineStr">
        <is>
          <t>RSG.AX</t>
        </is>
      </c>
      <c r="B43" s="2" t="inlineStr">
        <is>
          <t>Resolute Mining Ltd</t>
        </is>
      </c>
      <c r="C43" s="2" t="inlineStr">
        <is>
          <t>USD</t>
        </is>
      </c>
      <c r="D43" s="9">
        <f>IF('2y forward'!D43="","",'2y forward'!D43/IF('2y forward'!$C43="GBp",100,1)/INDEX('FX 2y forward'!$B$2:$B$14,MATCH(IF('2y forward'!$C43="GBp","GBP",'2y forward'!$C43),'FX 2y forward'!$A$2:$A$14,0)))</f>
        <v>0.8909624206817717</v>
      </c>
      <c r="E43" s="9">
        <f>IF('2y forward'!E43="","",'2y forward'!E43/IF('2y forward'!$C43="GBp",100,1)/INDEX('FX 2y forward'!$C$2:$C$14,MATCH(IF('2y forward'!$C43="GBp","GBP",'2y forward'!$C43),'FX 2y forward'!$A$2:$A$14,0)))</f>
        <v>0.8261025563345075</v>
      </c>
      <c r="F43" s="9">
        <f>IF('2y forward'!F43="","",'2y forward'!F43/IF('2y forward'!$C43="GBp",100,1)/INDEX('FX 2y forward'!$D$2:$D$14,MATCH(IF('2y forward'!$C43="GBp","GBP",'2y forward'!$C43),'FX 2y forward'!$A$2:$A$14,0)))</f>
        <v>0.9104981578799094</v>
      </c>
      <c r="G43" s="9">
        <f>IF('2y forward'!G43="","",'2y forward'!G43/IF('2y forward'!$C43="GBp",100,1)/INDEX('FX 2y forward'!$E$2:$E$14,MATCH(IF('2y forward'!$C43="GBp","GBP",'2y forward'!$C43),'FX 2y forward'!$A$2:$A$14,0)))</f>
        <v>0.6128900888346376</v>
      </c>
      <c r="H43" s="9">
        <f>IF('2y forward'!H43="","",'2y forward'!H43/IF('2y forward'!$C43="GBp",100,1)/INDEX('FX 2y forward'!$F$2:$F$14,MATCH(IF('2y forward'!$C43="GBp","GBP",'2y forward'!$C43),'FX 2y forward'!$A$2:$A$14,0)))</f>
        <v>0.28690060030489445</v>
      </c>
      <c r="I43" s="9">
        <f>IF('2y forward'!I43="","",'2y forward'!I43/IF('2y forward'!$C43="GBp",100,1)/INDEX('FX 2y forward'!$G$2:$G$14,MATCH(IF('2y forward'!$C43="GBp","GBP",'2y forward'!$C43),'FX 2y forward'!$A$2:$A$14,0)))</f>
        <v>0.1478565325733663</v>
      </c>
      <c r="J43" s="9">
        <f>IF('2y forward'!J43="","",'2y forward'!J43/IF('2y forward'!$C43="GBp",100,1)/INDEX('FX 2y forward'!$H$2:$H$14,MATCH(IF('2y forward'!$C43="GBp","GBP",'2y forward'!$C43),'FX 2y forward'!$A$2:$A$14,0)))</f>
        <v>0.330720062010665</v>
      </c>
      <c r="K43" s="9">
        <f>IF('2y forward'!K43="","",'2y forward'!K43/IF('2y forward'!$C43="GBp",100,1)/INDEX('FX 2y forward'!$I$2:$I$14,MATCH(IF('2y forward'!$C43="GBp","GBP",'2y forward'!$C43),'FX 2y forward'!$A$2:$A$14,0)))</f>
        <v>0.2674334110405561</v>
      </c>
      <c r="L43" s="9">
        <f>IF('2y forward'!L43="","",'2y forward'!L43/IF('2y forward'!$C43="GBp",100,1)/INDEX('FX 2y forward'!$J$2:$J$14,MATCH(IF('2y forward'!$C43="GBp","GBP",'2y forward'!$C43),'FX 2y forward'!$A$2:$A$14,0)))</f>
        <v>0.8796463845331055</v>
      </c>
      <c r="M43" s="9">
        <f>IF('2y forward'!M43="","",'2y forward'!M43/IF('2y forward'!$C43="GBp",100,1)/INDEX('FX 2y forward'!$K$2:$K$14,MATCH(IF('2y forward'!$C43="GBp","GBP",'2y forward'!$C43),'FX 2y forward'!$A$2:$A$14,0)))</f>
        <v>0.9182369431343265</v>
      </c>
    </row>
    <row r="44">
      <c r="A44" s="2" t="inlineStr">
        <is>
          <t>SBM.AX</t>
        </is>
      </c>
      <c r="B44" s="2" t="inlineStr">
        <is>
          <t>St Barbara Ltd</t>
        </is>
      </c>
      <c r="C44" s="2" t="inlineStr">
        <is>
          <t>USD</t>
        </is>
      </c>
      <c r="D44" s="9">
        <f>IF('2y forward'!D44="","",'2y forward'!D44/IF('2y forward'!$C44="GBp",100,1)/INDEX('FX 2y forward'!$B$2:$B$14,MATCH(IF('2y forward'!$C44="GBp","GBP",'2y forward'!$C44),'FX 2y forward'!$A$2:$A$14,0)))</f>
        <v>2.8768188889940594</v>
      </c>
      <c r="E44" s="9">
        <f>IF('2y forward'!E44="","",'2y forward'!E44/IF('2y forward'!$C44="GBp",100,1)/INDEX('FX 2y forward'!$C$2:$C$14,MATCH(IF('2y forward'!$C44="GBp","GBP",'2y forward'!$C44),'FX 2y forward'!$A$2:$A$14,0)))</f>
        <v>3.0948573412702136</v>
      </c>
      <c r="F44" s="9">
        <f>IF('2y forward'!F44="","",'2y forward'!F44/IF('2y forward'!$C44="GBp",100,1)/INDEX('FX 2y forward'!$D$2:$D$14,MATCH(IF('2y forward'!$C44="GBp","GBP",'2y forward'!$C44),'FX 2y forward'!$A$2:$A$14,0)))</f>
        <v>1.7207302356401213</v>
      </c>
      <c r="G44" s="9">
        <f>IF('2y forward'!G44="","",'2y forward'!G44/IF('2y forward'!$C44="GBp",100,1)/INDEX('FX 2y forward'!$E$2:$E$14,MATCH(IF('2y forward'!$C44="GBp","GBP",'2y forward'!$C44),'FX 2y forward'!$A$2:$A$14,0)))</f>
        <v>1.556978561749823</v>
      </c>
      <c r="H44" s="9">
        <f>IF('2y forward'!H44="","",'2y forward'!H44/IF('2y forward'!$C44="GBp",100,1)/INDEX('FX 2y forward'!$F$2:$F$14,MATCH(IF('2y forward'!$C44="GBp","GBP",'2y forward'!$C44),'FX 2y forward'!$A$2:$A$14,0)))</f>
        <v>0.892845539380051</v>
      </c>
      <c r="I44" s="9">
        <f>IF('2y forward'!I44="","",'2y forward'!I44/IF('2y forward'!$C44="GBp",100,1)/INDEX('FX 2y forward'!$G$2:$G$14,MATCH(IF('2y forward'!$C44="GBp","GBP",'2y forward'!$C44),'FX 2y forward'!$A$2:$A$14,0)))</f>
        <v>0.5729440637217944</v>
      </c>
      <c r="J44" s="9">
        <f>IF('2y forward'!J44="","",'2y forward'!J44/IF('2y forward'!$C44="GBp",100,1)/INDEX('FX 2y forward'!$H$2:$H$14,MATCH(IF('2y forward'!$C44="GBp","GBP",'2y forward'!$C44),'FX 2y forward'!$A$2:$A$14,0)))</f>
        <v>0.15607014162301044</v>
      </c>
      <c r="K44" s="9">
        <f>IF('2y forward'!K44="","",'2y forward'!K44/IF('2y forward'!$C44="GBp",100,1)/INDEX('FX 2y forward'!$I$2:$I$14,MATCH(IF('2y forward'!$C44="GBp","GBP",'2y forward'!$C44),'FX 2y forward'!$A$2:$A$14,0)))</f>
        <v>0.1523354873015826</v>
      </c>
      <c r="L44" s="9">
        <f>IF('2y forward'!L44="","",'2y forward'!L44/IF('2y forward'!$C44="GBp",100,1)/INDEX('FX 2y forward'!$J$2:$J$14,MATCH(IF('2y forward'!$C44="GBp","GBP",'2y forward'!$C44),'FX 2y forward'!$A$2:$A$14,0)))</f>
        <v>0.4164856351258785</v>
      </c>
      <c r="M44" s="9">
        <f>IF('2y forward'!M44="","",'2y forward'!M44/IF('2y forward'!$C44="GBp",100,1)/INDEX('FX 2y forward'!$K$2:$K$14,MATCH(IF('2y forward'!$C44="GBp","GBP",'2y forward'!$C44),'FX 2y forward'!$A$2:$A$14,0)))</f>
        <v>0.546318242591898</v>
      </c>
    </row>
    <row r="45">
      <c r="A45" s="2" t="inlineStr">
        <is>
          <t>SPA.V</t>
        </is>
      </c>
      <c r="B45" s="2" t="inlineStr">
        <is>
          <t>Spanish Mountain Gold Ltd</t>
        </is>
      </c>
      <c r="C45" s="2" t="inlineStr">
        <is>
          <t>USD</t>
        </is>
      </c>
      <c r="D45" s="9">
        <f>IF('2y forward'!D45="","",'2y forward'!D45/IF('2y forward'!$C45="GBp",100,1)/INDEX('FX 2y forward'!$B$2:$B$14,MATCH(IF('2y forward'!$C45="GBp","GBP",'2y forward'!$C45),'FX 2y forward'!$A$2:$A$14,0)))</f>
        <v>0.11570832122615309</v>
      </c>
      <c r="E45" s="9">
        <f>IF('2y forward'!E45="","",'2y forward'!E45/IF('2y forward'!$C45="GBp",100,1)/INDEX('FX 2y forward'!$C$2:$C$14,MATCH(IF('2y forward'!$C45="GBp","GBP",'2y forward'!$C45),'FX 2y forward'!$A$2:$A$14,0)))</f>
        <v>0.054011349598189574</v>
      </c>
      <c r="F45" s="9">
        <f>IF('2y forward'!F45="","",'2y forward'!F45/IF('2y forward'!$C45="GBp",100,1)/INDEX('FX 2y forward'!$D$2:$D$14,MATCH(IF('2y forward'!$C45="GBp","GBP",'2y forward'!$C45),'FX 2y forward'!$A$2:$A$14,0)))</f>
        <v>0.07112185679096258</v>
      </c>
      <c r="G45" s="9">
        <f>IF('2y forward'!G45="","",'2y forward'!G45/IF('2y forward'!$C45="GBp",100,1)/INDEX('FX 2y forward'!$E$2:$E$14,MATCH(IF('2y forward'!$C45="GBp","GBP",'2y forward'!$C45),'FX 2y forward'!$A$2:$A$14,0)))</f>
        <v>0.29879872125755497</v>
      </c>
      <c r="H45" s="9">
        <f>IF('2y forward'!H45="","",'2y forward'!H45/IF('2y forward'!$C45="GBp",100,1)/INDEX('FX 2y forward'!$F$2:$F$14,MATCH(IF('2y forward'!$C45="GBp","GBP",'2y forward'!$C45),'FX 2y forward'!$A$2:$A$14,0)))</f>
        <v>0.17516365001834536</v>
      </c>
      <c r="I45" s="9">
        <f>IF('2y forward'!I45="","",'2y forward'!I45/IF('2y forward'!$C45="GBp",100,1)/INDEX('FX 2y forward'!$G$2:$G$14,MATCH(IF('2y forward'!$C45="GBp","GBP",'2y forward'!$C45),'FX 2y forward'!$A$2:$A$14,0)))</f>
        <v>0.12900159521825194</v>
      </c>
      <c r="J45" s="9">
        <f>IF('2y forward'!J45="","",'2y forward'!J45/IF('2y forward'!$C45="GBp",100,1)/INDEX('FX 2y forward'!$H$2:$H$14,MATCH(IF('2y forward'!$C45="GBp","GBP",'2y forward'!$C45),'FX 2y forward'!$A$2:$A$14,0)))</f>
        <v>0.14812924956590656</v>
      </c>
      <c r="K45" s="9">
        <f>IF('2y forward'!K45="","",'2y forward'!K45/IF('2y forward'!$C45="GBp",100,1)/INDEX('FX 2y forward'!$I$2:$I$14,MATCH(IF('2y forward'!$C45="GBp","GBP",'2y forward'!$C45),'FX 2y forward'!$A$2:$A$14,0)))</f>
        <v>0.07585467010397001</v>
      </c>
      <c r="L45" s="9">
        <f>IF('2y forward'!L45="","",'2y forward'!L45/IF('2y forward'!$C45="GBp",100,1)/INDEX('FX 2y forward'!$J$2:$J$14,MATCH(IF('2y forward'!$C45="GBp","GBP",'2y forward'!$C45),'FX 2y forward'!$A$2:$A$14,0)))</f>
        <v>0.18788219041309648</v>
      </c>
      <c r="M45" s="9">
        <f>IF('2y forward'!M45="","",'2y forward'!M45/IF('2y forward'!$C45="GBp",100,1)/INDEX('FX 2y forward'!$K$2:$K$14,MATCH(IF('2y forward'!$C45="GBp","GBP",'2y forward'!$C45),'FX 2y forward'!$A$2:$A$14,0)))</f>
        <v>0.26520673026810304</v>
      </c>
    </row>
    <row r="46">
      <c r="A46" s="2" t="inlineStr">
        <is>
          <t>SSRM</t>
        </is>
      </c>
      <c r="B46" s="2" t="inlineStr">
        <is>
          <t>SSR Mining Inc</t>
        </is>
      </c>
      <c r="C46" s="2" t="inlineStr">
        <is>
          <t>USD</t>
        </is>
      </c>
      <c r="D46" s="9">
        <f>IF('2y forward'!D46="","",'2y forward'!D46/IF('2y forward'!$C46="GBp",100,1)/INDEX('FX 2y forward'!$B$2:$B$14,MATCH(IF('2y forward'!$C46="GBp","GBP",'2y forward'!$C46),'FX 2y forward'!$A$2:$A$14,0)))</f>
        <v>9.12862163009137</v>
      </c>
      <c r="E46" s="9">
        <f>IF('2y forward'!E46="","",'2y forward'!E46/IF('2y forward'!$C46="GBp",100,1)/INDEX('FX 2y forward'!$C$2:$C$14,MATCH(IF('2y forward'!$C46="GBp","GBP",'2y forward'!$C46),'FX 2y forward'!$A$2:$A$14,0)))</f>
        <v>12.7073258358555</v>
      </c>
      <c r="F46" s="9">
        <f>IF('2y forward'!F46="","",'2y forward'!F46/IF('2y forward'!$C46="GBp",100,1)/INDEX('FX 2y forward'!$D$2:$D$14,MATCH(IF('2y forward'!$C46="GBp","GBP",'2y forward'!$C46),'FX 2y forward'!$A$2:$A$14,0)))</f>
        <v>19.878334228006587</v>
      </c>
      <c r="G46" s="9">
        <f>IF('2y forward'!G46="","",'2y forward'!G46/IF('2y forward'!$C46="GBp",100,1)/INDEX('FX 2y forward'!$E$2:$E$14,MATCH(IF('2y forward'!$C46="GBp","GBP",'2y forward'!$C46),'FX 2y forward'!$A$2:$A$14,0)))</f>
        <v>20.162354030747203</v>
      </c>
      <c r="H46" s="9">
        <f>IF('2y forward'!H46="","",'2y forward'!H46/IF('2y forward'!$C46="GBp",100,1)/INDEX('FX 2y forward'!$F$2:$F$14,MATCH(IF('2y forward'!$C46="GBp","GBP",'2y forward'!$C46),'FX 2y forward'!$A$2:$A$14,0)))</f>
        <v>17.559000010580878</v>
      </c>
      <c r="I46" s="9">
        <f>IF('2y forward'!I46="","",'2y forward'!I46/IF('2y forward'!$C46="GBp",100,1)/INDEX('FX 2y forward'!$G$2:$G$14,MATCH(IF('2y forward'!$C46="GBp","GBP",'2y forward'!$C46),'FX 2y forward'!$A$2:$A$14,0)))</f>
        <v>16.52063253441386</v>
      </c>
      <c r="J46" s="9">
        <f>IF('2y forward'!J46="","",'2y forward'!J46/IF('2y forward'!$C46="GBp",100,1)/INDEX('FX 2y forward'!$H$2:$H$14,MATCH(IF('2y forward'!$C46="GBp","GBP",'2y forward'!$C46),'FX 2y forward'!$A$2:$A$14,0)))</f>
        <v>11.120514488834123</v>
      </c>
      <c r="K46" s="9">
        <f>IF('2y forward'!K46="","",'2y forward'!K46/IF('2y forward'!$C46="GBp",100,1)/INDEX('FX 2y forward'!$I$2:$I$14,MATCH(IF('2y forward'!$C46="GBp","GBP",'2y forward'!$C46),'FX 2y forward'!$A$2:$A$14,0)))</f>
        <v>7.575955441603323</v>
      </c>
      <c r="L46" s="9">
        <f>IF('2y forward'!L46="","",'2y forward'!L46/IF('2y forward'!$C46="GBp",100,1)/INDEX('FX 2y forward'!$J$2:$J$14,MATCH(IF('2y forward'!$C46="GBp","GBP",'2y forward'!$C46),'FX 2y forward'!$A$2:$A$14,0)))</f>
        <v>23.499977461858798</v>
      </c>
      <c r="M46" s="9">
        <f>IF('2y forward'!M46="","",'2y forward'!M46/IF('2y forward'!$C46="GBp",100,1)/INDEX('FX 2y forward'!$K$2:$K$14,MATCH(IF('2y forward'!$C46="GBp","GBP",'2y forward'!$C46),'FX 2y forward'!$A$2:$A$14,0)))</f>
        <v>38.18750270291113</v>
      </c>
    </row>
    <row r="47">
      <c r="A47" s="2" t="inlineStr">
        <is>
          <t>STLR.TO</t>
        </is>
      </c>
      <c r="B47" s="2" t="inlineStr">
        <is>
          <t>STLLR Gold Inc</t>
        </is>
      </c>
      <c r="C47" s="2" t="inlineStr">
        <is>
          <t>USD</t>
        </is>
      </c>
      <c r="D47" s="9">
        <f>IF('2y forward'!D47="","",'2y forward'!D47/IF('2y forward'!$C47="GBp",100,1)/INDEX('FX 2y forward'!$B$2:$B$14,MATCH(IF('2y forward'!$C47="GBp","GBP",'2y forward'!$C47),'FX 2y forward'!$A$2:$A$14,0)))</f>
        <v>0.1487678415764825</v>
      </c>
      <c r="E47" s="9">
        <f>IF('2y forward'!E47="","",'2y forward'!E47/IF('2y forward'!$C47="GBp",100,1)/INDEX('FX 2y forward'!$C$2:$C$14,MATCH(IF('2y forward'!$C47="GBp","GBP",'2y forward'!$C47),'FX 2y forward'!$A$2:$A$14,0)))</f>
        <v>0.10030679211092348</v>
      </c>
      <c r="F47" s="9">
        <f>IF('2y forward'!F47="","",'2y forward'!F47/IF('2y forward'!$C47="GBp",100,1)/INDEX('FX 2y forward'!$D$2:$D$14,MATCH(IF('2y forward'!$C47="GBp","GBP",'2y forward'!$C47),'FX 2y forward'!$A$2:$A$14,0)))</f>
        <v>0.10273157092027929</v>
      </c>
      <c r="G47" s="9">
        <f>IF('2y forward'!G47="","",'2y forward'!G47/IF('2y forward'!$C47="GBp",100,1)/INDEX('FX 2y forward'!$E$2:$E$14,MATCH(IF('2y forward'!$C47="GBp","GBP",'2y forward'!$C47),'FX 2y forward'!$A$2:$A$14,0)))</f>
        <v>0.29879872125755497</v>
      </c>
      <c r="H47" s="9">
        <f>IF('2y forward'!H47="","",'2y forward'!H47/IF('2y forward'!$C47="GBp",100,1)/INDEX('FX 2y forward'!$F$2:$F$14,MATCH(IF('2y forward'!$C47="GBp","GBP",'2y forward'!$C47),'FX 2y forward'!$A$2:$A$14,0)))</f>
        <v>1.632206738807309</v>
      </c>
      <c r="I47" s="9">
        <f>IF('2y forward'!I47="","",'2y forward'!I47/IF('2y forward'!$C47="GBp",100,1)/INDEX('FX 2y forward'!$G$2:$G$14,MATCH(IF('2y forward'!$C47="GBp","GBP",'2y forward'!$C47),'FX 2y forward'!$A$2:$A$14,0)))</f>
        <v>1.1932647557688305</v>
      </c>
      <c r="J47" s="9">
        <f>IF('2y forward'!J47="","",'2y forward'!J47/IF('2y forward'!$C47="GBp",100,1)/INDEX('FX 2y forward'!$H$2:$H$14,MATCH(IF('2y forward'!$C47="GBp","GBP",'2y forward'!$C47),'FX 2y forward'!$A$2:$A$14,0)))</f>
        <v>0.6172052065246107</v>
      </c>
      <c r="K47" s="9">
        <f>IF('2y forward'!K47="","",'2y forward'!K47/IF('2y forward'!$C47="GBp",100,1)/INDEX('FX 2y forward'!$I$2:$I$14,MATCH(IF('2y forward'!$C47="GBp","GBP",'2y forward'!$C47),'FX 2y forward'!$A$2:$A$14,0)))</f>
        <v>0.6295937618629511</v>
      </c>
      <c r="L47" s="9">
        <f>IF('2y forward'!L47="","",'2y forward'!L47/IF('2y forward'!$C47="GBp",100,1)/INDEX('FX 2y forward'!$J$2:$J$14,MATCH(IF('2y forward'!$C47="GBp","GBP",'2y forward'!$C47),'FX 2y forward'!$A$2:$A$14,0)))</f>
        <v>1.2760332098889469</v>
      </c>
      <c r="M47" s="9">
        <f>IF('2y forward'!M47="","",'2y forward'!M47/IF('2y forward'!$C47="GBp",100,1)/INDEX('FX 2y forward'!$K$2:$K$14,MATCH(IF('2y forward'!$C47="GBp","GBP",'2y forward'!$C47),'FX 2y forward'!$A$2:$A$14,0)))</f>
        <v>1.2578376349858602</v>
      </c>
    </row>
    <row r="48">
      <c r="A48" s="2" t="inlineStr">
        <is>
          <t>TSK.TO</t>
        </is>
      </c>
      <c r="B48" s="2" t="inlineStr">
        <is>
          <t>Talisker Resources Ltd</t>
        </is>
      </c>
      <c r="C48" s="2" t="inlineStr">
        <is>
          <t>USD</t>
        </is>
      </c>
      <c r="D48" s="9" t="str">
        <f>IF('2y forward'!D48="","",'2y forward'!D48/IF('2y forward'!$C48="GBp",100,1)/INDEX('FX 2y forward'!$B$2:$B$14,MATCH(IF('2y forward'!$C48="GBp","GBP",'2y forward'!$C48),'FX 2y forward'!$A$2:$A$14,0)))</f>
        <v/>
      </c>
      <c r="E48" s="9">
        <f>IF('2y forward'!E48="","",'2y forward'!E48/IF('2y forward'!$C48="GBp",100,1)/INDEX('FX 2y forward'!$C$2:$C$14,MATCH(IF('2y forward'!$C48="GBp","GBP",'2y forward'!$C48),'FX 2y forward'!$A$2:$A$14,0)))</f>
        <v>0.023147721256366955</v>
      </c>
      <c r="F48" s="9">
        <f>IF('2y forward'!F48="","",'2y forward'!F48/IF('2y forward'!$C48="GBp",100,1)/INDEX('FX 2y forward'!$D$2:$D$14,MATCH(IF('2y forward'!$C48="GBp","GBP",'2y forward'!$C48),'FX 2y forward'!$A$2:$A$14,0)))</f>
        <v>0.2607801415668628</v>
      </c>
      <c r="G48" s="9">
        <f>IF('2y forward'!G48="","",'2y forward'!G48/IF('2y forward'!$C48="GBp",100,1)/INDEX('FX 2y forward'!$E$2:$E$14,MATCH(IF('2y forward'!$C48="GBp","GBP",'2y forward'!$C48),'FX 2y forward'!$A$2:$A$14,0)))</f>
        <v>0.2634146621612656</v>
      </c>
      <c r="H48" s="9">
        <f>IF('2y forward'!H48="","",'2y forward'!H48/IF('2y forward'!$C48="GBp",100,1)/INDEX('FX 2y forward'!$F$2:$F$14,MATCH(IF('2y forward'!$C48="GBp","GBP",'2y forward'!$C48),'FX 2y forward'!$A$2:$A$14,0)))</f>
        <v>0.24682150684403212</v>
      </c>
      <c r="I48" s="9">
        <f>IF('2y forward'!I48="","",'2y forward'!I48/IF('2y forward'!$C48="GBp",100,1)/INDEX('FX 2y forward'!$G$2:$G$14,MATCH(IF('2y forward'!$C48="GBp","GBP",'2y forward'!$C48),'FX 2y forward'!$A$2:$A$14,0)))</f>
        <v>0.11287639581597045</v>
      </c>
      <c r="J48" s="9">
        <f>IF('2y forward'!J48="","",'2y forward'!J48/IF('2y forward'!$C48="GBp",100,1)/INDEX('FX 2y forward'!$H$2:$H$14,MATCH(IF('2y forward'!$C48="GBp","GBP",'2y forward'!$C48),'FX 2y forward'!$A$2:$A$14,0)))</f>
        <v>0.27157029087082873</v>
      </c>
      <c r="K48" s="9">
        <f>IF('2y forward'!K48="","",'2y forward'!K48/IF('2y forward'!$C48="GBp",100,1)/INDEX('FX 2y forward'!$I$2:$I$14,MATCH(IF('2y forward'!$C48="GBp","GBP",'2y forward'!$C48),'FX 2y forward'!$A$2:$A$14,0)))</f>
        <v>0.23894221082750552</v>
      </c>
      <c r="L48" s="9">
        <f>IF('2y forward'!L48="","",'2y forward'!L48/IF('2y forward'!$C48="GBp",100,1)/INDEX('FX 2y forward'!$J$2:$J$14,MATCH(IF('2y forward'!$C48="GBp","GBP",'2y forward'!$C48),'FX 2y forward'!$A$2:$A$14,0)))</f>
        <v>1.127293142478579</v>
      </c>
      <c r="M48" s="9">
        <f>IF('2y forward'!M48="","",'2y forward'!M48/IF('2y forward'!$C48="GBp",100,1)/INDEX('FX 2y forward'!$K$2:$K$14,MATCH(IF('2y forward'!$C48="GBp","GBP",'2y forward'!$C48),'FX 2y forward'!$A$2:$A$14,0)))</f>
        <v>0.9168575532125849</v>
      </c>
    </row>
    <row r="49">
      <c r="A49" s="2" t="inlineStr">
        <is>
          <t>VAU.AX</t>
        </is>
      </c>
      <c r="B49" s="2" t="inlineStr">
        <is>
          <t>Vault Minerals Ltd</t>
        </is>
      </c>
      <c r="C49" s="2" t="inlineStr">
        <is>
          <t>USD</t>
        </is>
      </c>
      <c r="D49" s="9">
        <f>IF('2y forward'!D49="","",'2y forward'!D49/IF('2y forward'!$C49="GBp",100,1)/INDEX('FX 2y forward'!$B$2:$B$14,MATCH(IF('2y forward'!$C49="GBp","GBP",'2y forward'!$C49),'FX 2y forward'!$A$2:$A$14,0)))</f>
        <v>0.046948427836147895</v>
      </c>
      <c r="E49" s="9">
        <f>IF('2y forward'!E49="","",'2y forward'!E49/IF('2y forward'!$C49="GBp",100,1)/INDEX('FX 2y forward'!$C$2:$C$14,MATCH(IF('2y forward'!$C49="GBp","GBP",'2y forward'!$C49),'FX 2y forward'!$A$2:$A$14,0)))</f>
        <v>0.06589955394370443</v>
      </c>
      <c r="F49" s="9">
        <f>IF('2y forward'!F49="","",'2y forward'!F49/IF('2y forward'!$C49="GBp",100,1)/INDEX('FX 2y forward'!$D$2:$D$14,MATCH(IF('2y forward'!$C49="GBp","GBP",'2y forward'!$C49),'FX 2y forward'!$A$2:$A$14,0)))</f>
        <v>0.23846380325426197</v>
      </c>
      <c r="G49" s="9">
        <f>IF('2y forward'!G49="","",'2y forward'!G49/IF('2y forward'!$C49="GBp",100,1)/INDEX('FX 2y forward'!$E$2:$E$14,MATCH(IF('2y forward'!$C49="GBp","GBP",'2y forward'!$C49),'FX 2y forward'!$A$2:$A$14,0)))</f>
        <v>0.2004420416314538</v>
      </c>
      <c r="H49" s="9">
        <f>IF('2y forward'!H49="","",'2y forward'!H49/IF('2y forward'!$C49="GBp",100,1)/INDEX('FX 2y forward'!$F$2:$F$14,MATCH(IF('2y forward'!$C49="GBp","GBP",'2y forward'!$C49),'FX 2y forward'!$A$2:$A$14,0)))</f>
        <v>0.21333634381645994</v>
      </c>
      <c r="I49" s="9">
        <f>IF('2y forward'!I49="","",'2y forward'!I49/IF('2y forward'!$C49="GBp",100,1)/INDEX('FX 2y forward'!$G$2:$G$14,MATCH(IF('2y forward'!$C49="GBp","GBP",'2y forward'!$C49),'FX 2y forward'!$A$2:$A$14,0)))</f>
        <v>0.15155294588770044</v>
      </c>
      <c r="J49" s="9">
        <f>IF('2y forward'!J49="","",'2y forward'!J49/IF('2y forward'!$C49="GBp",100,1)/INDEX('FX 2y forward'!$H$2:$H$14,MATCH(IF('2y forward'!$C49="GBp","GBP",'2y forward'!$C49),'FX 2y forward'!$A$2:$A$14,0)))</f>
        <v>0.23038925668158688</v>
      </c>
      <c r="K49" s="9">
        <f>IF('2y forward'!K49="","",'2y forward'!K49/IF('2y forward'!$C49="GBp",100,1)/INDEX('FX 2y forward'!$I$2:$I$14,MATCH(IF('2y forward'!$C49="GBp","GBP",'2y forward'!$C49),'FX 2y forward'!$A$2:$A$14,0)))</f>
        <v>0.22342538137565449</v>
      </c>
      <c r="L49" s="9">
        <f>IF('2y forward'!L49="","",'2y forward'!L49/IF('2y forward'!$C49="GBp",100,1)/INDEX('FX 2y forward'!$J$2:$J$14,MATCH(IF('2y forward'!$C49="GBp","GBP",'2y forward'!$C49),'FX 2y forward'!$A$2:$A$14,0)))</f>
        <v>3.92070959963327</v>
      </c>
      <c r="M49" s="9">
        <f>IF('2y forward'!M49="","",'2y forward'!M49/IF('2y forward'!$C49="GBp",100,1)/INDEX('FX 2y forward'!$K$2:$K$14,MATCH(IF('2y forward'!$C49="GBp","GBP",'2y forward'!$C49),'FX 2y forward'!$A$2:$A$14,0)))</f>
        <v>4.675126122647264</v>
      </c>
    </row>
    <row r="50">
      <c r="A50" s="2" t="inlineStr">
        <is>
          <t>WAF.AX</t>
        </is>
      </c>
      <c r="B50" s="2" t="inlineStr">
        <is>
          <t>West African Resources Ltd</t>
        </is>
      </c>
      <c r="C50" s="2" t="inlineStr">
        <is>
          <t>USD</t>
        </is>
      </c>
      <c r="D50" s="9">
        <f>IF('2y forward'!D50="","",'2y forward'!D50/IF('2y forward'!$C50="GBp",100,1)/INDEX('FX 2y forward'!$B$2:$B$14,MATCH(IF('2y forward'!$C50="GBp","GBP",'2y forward'!$C50),'FX 2y forward'!$A$2:$A$14,0)))</f>
        <v>0.3318768174624247</v>
      </c>
      <c r="E50" s="9">
        <f>IF('2y forward'!E50="","",'2y forward'!E50/IF('2y forward'!$C50="GBp",100,1)/INDEX('FX 2y forward'!$C$2:$C$14,MATCH(IF('2y forward'!$C50="GBp","GBP",'2y forward'!$C50),'FX 2y forward'!$A$2:$A$14,0)))</f>
        <v>0.18511110658343943</v>
      </c>
      <c r="F50" s="9">
        <f>IF('2y forward'!F50="","",'2y forward'!F50/IF('2y forward'!$C50="GBp",100,1)/INDEX('FX 2y forward'!$D$2:$D$14,MATCH(IF('2y forward'!$C50="GBp","GBP",'2y forward'!$C50),'FX 2y forward'!$A$2:$A$14,0)))</f>
        <v>0.31072556181615957</v>
      </c>
      <c r="G50" s="9">
        <f>IF('2y forward'!G50="","",'2y forward'!G50/IF('2y forward'!$C50="GBp",100,1)/INDEX('FX 2y forward'!$E$2:$E$14,MATCH(IF('2y forward'!$C50="GBp","GBP",'2y forward'!$C50),'FX 2y forward'!$A$2:$A$14,0)))</f>
        <v>0.8056228211725739</v>
      </c>
      <c r="H50" s="9">
        <f>IF('2y forward'!H50="","",'2y forward'!H50/IF('2y forward'!$C50="GBp",100,1)/INDEX('FX 2y forward'!$F$2:$F$14,MATCH(IF('2y forward'!$C50="GBp","GBP",'2y forward'!$C50),'FX 2y forward'!$A$2:$A$14,0)))</f>
        <v>0.9710481856473352</v>
      </c>
      <c r="I50" s="9">
        <f>IF('2y forward'!I50="","",'2y forward'!I50/IF('2y forward'!$C50="GBp",100,1)/INDEX('FX 2y forward'!$G$2:$G$14,MATCH(IF('2y forward'!$C50="GBp","GBP",'2y forward'!$C50),'FX 2y forward'!$A$2:$A$14,0)))</f>
        <v>0.868657128868527</v>
      </c>
      <c r="J50" s="9">
        <f>IF('2y forward'!J50="","",'2y forward'!J50/IF('2y forward'!$C50="GBp",100,1)/INDEX('FX 2y forward'!$H$2:$H$14,MATCH(IF('2y forward'!$C50="GBp","GBP",'2y forward'!$C50),'FX 2y forward'!$A$2:$A$14,0)))</f>
        <v>0.702315637303547</v>
      </c>
      <c r="K50" s="9">
        <f>IF('2y forward'!K50="","",'2y forward'!K50/IF('2y forward'!$C50="GBp",100,1)/INDEX('FX 2y forward'!$I$2:$I$14,MATCH(IF('2y forward'!$C50="GBp","GBP",'2y forward'!$C50),'FX 2y forward'!$A$2:$A$14,0)))</f>
        <v>0.9715618856789825</v>
      </c>
      <c r="L50" s="9">
        <f>IF('2y forward'!L50="","",'2y forward'!L50/IF('2y forward'!$C50="GBp",100,1)/INDEX('FX 2y forward'!$J$2:$J$14,MATCH(IF('2y forward'!$C50="GBp","GBP",'2y forward'!$C50),'FX 2y forward'!$A$2:$A$14,0)))</f>
        <v>2.154236043754544</v>
      </c>
      <c r="M50" s="9">
        <f>IF('2y forward'!M50="","",'2y forward'!M50/IF('2y forward'!$C50="GBp",100,1)/INDEX('FX 2y forward'!$K$2:$K$14,MATCH(IF('2y forward'!$C50="GBp","GBP",'2y forward'!$C50),'FX 2y forward'!$A$2:$A$14,0)))</f>
        <v>2.3647547509705</v>
      </c>
    </row>
    <row r="51">
      <c r="A51" s="2" t="inlineStr">
        <is>
          <t>WDO.TO</t>
        </is>
      </c>
      <c r="B51" s="2" t="inlineStr">
        <is>
          <t>Wesdome Gold Mines Ltd</t>
        </is>
      </c>
      <c r="C51" s="2" t="inlineStr">
        <is>
          <t>USD</t>
        </is>
      </c>
      <c r="D51" s="9">
        <f>IF('2y forward'!D51="","",'2y forward'!D51/IF('2y forward'!$C51="GBp",100,1)/INDEX('FX 2y forward'!$B$2:$B$14,MATCH(IF('2y forward'!$C51="GBp","GBP",'2y forward'!$C51),'FX 2y forward'!$A$2:$A$14,0)))</f>
        <v>1.7438896984798784</v>
      </c>
      <c r="E51" s="9">
        <f>IF('2y forward'!E51="","",'2y forward'!E51/IF('2y forward'!$C51="GBp",100,1)/INDEX('FX 2y forward'!$C$2:$C$14,MATCH(IF('2y forward'!$C51="GBp","GBP",'2y forward'!$C51),'FX 2y forward'!$A$2:$A$14,0)))</f>
        <v>3.4181468388568534</v>
      </c>
      <c r="F51" s="9">
        <f>IF('2y forward'!F51="","",'2y forward'!F51/IF('2y forward'!$C51="GBp",100,1)/INDEX('FX 2y forward'!$D$2:$D$14,MATCH(IF('2y forward'!$C51="GBp","GBP",'2y forward'!$C51),'FX 2y forward'!$A$2:$A$14,0)))</f>
        <v>8.036769817378772</v>
      </c>
      <c r="G51" s="9">
        <f>IF('2y forward'!G51="","",'2y forward'!G51/IF('2y forward'!$C51="GBp",100,1)/INDEX('FX 2y forward'!$E$2:$E$14,MATCH(IF('2y forward'!$C51="GBp","GBP",'2y forward'!$C51),'FX 2y forward'!$A$2:$A$14,0)))</f>
        <v>8.350637946724298</v>
      </c>
      <c r="H51" s="9">
        <f>IF('2y forward'!H51="","",'2y forward'!H51/IF('2y forward'!$C51="GBp",100,1)/INDEX('FX 2y forward'!$F$2:$F$14,MATCH(IF('2y forward'!$C51="GBp","GBP",'2y forward'!$C51),'FX 2y forward'!$A$2:$A$14,0)))</f>
        <v>9.16424368959616</v>
      </c>
      <c r="I51" s="9">
        <f>IF('2y forward'!I51="","",'2y forward'!I51/IF('2y forward'!$C51="GBp",100,1)/INDEX('FX 2y forward'!$G$2:$G$14,MATCH(IF('2y forward'!$C51="GBp","GBP",'2y forward'!$C51),'FX 2y forward'!$A$2:$A$14,0)))</f>
        <v>6.03082457645328</v>
      </c>
      <c r="J51" s="9">
        <f>IF('2y forward'!J51="","",'2y forward'!J51/IF('2y forward'!$C51="GBp",100,1)/INDEX('FX 2y forward'!$H$2:$H$14,MATCH(IF('2y forward'!$C51="GBp","GBP",'2y forward'!$C51),'FX 2y forward'!$A$2:$A$14,0)))</f>
        <v>6.344869523072998</v>
      </c>
      <c r="K51" s="9">
        <f>IF('2y forward'!K51="","",'2y forward'!K51/IF('2y forward'!$C51="GBp",100,1)/INDEX('FX 2y forward'!$I$2:$I$14,MATCH(IF('2y forward'!$C51="GBp","GBP",'2y forward'!$C51),'FX 2y forward'!$A$2:$A$14,0)))</f>
        <v>9.792837910422529</v>
      </c>
      <c r="L51" s="9">
        <f>IF('2y forward'!L51="","",'2y forward'!L51/IF('2y forward'!$C51="GBp",100,1)/INDEX('FX 2y forward'!$J$2:$J$14,MATCH(IF('2y forward'!$C51="GBp","GBP",'2y forward'!$C51),'FX 2y forward'!$A$2:$A$14,0)))</f>
        <v>17.801837541640893</v>
      </c>
      <c r="M51" s="9">
        <f>IF('2y forward'!M51="","",'2y forward'!M51/IF('2y forward'!$C51="GBp",100,1)/INDEX('FX 2y forward'!$K$2:$K$14,MATCH(IF('2y forward'!$C51="GBp","GBP",'2y forward'!$C51),'FX 2y forward'!$A$2:$A$14,0)))</f>
        <v>27.69367114929208</v>
      </c>
    </row>
    <row r="52">
      <c r="A52" s="2" t="inlineStr">
        <is>
          <t>WGX.AX</t>
        </is>
      </c>
      <c r="B52" s="2" t="inlineStr">
        <is>
          <t>Westgold Resources Ltd</t>
        </is>
      </c>
      <c r="C52" s="2" t="inlineStr">
        <is>
          <t>USD</t>
        </is>
      </c>
      <c r="D52" s="9">
        <f>IF('2y forward'!D52="","",'2y forward'!D52/IF('2y forward'!$C52="GBp",100,1)/INDEX('FX 2y forward'!$B$2:$B$14,MATCH(IF('2y forward'!$C52="GBp","GBP",'2y forward'!$C52),'FX 2y forward'!$A$2:$A$14,0)))</f>
        <v>1.4327365046548581</v>
      </c>
      <c r="E52" s="9">
        <f>IF('2y forward'!E52="","",'2y forward'!E52/IF('2y forward'!$C52="GBp",100,1)/INDEX('FX 2y forward'!$C$2:$C$14,MATCH(IF('2y forward'!$C52="GBp","GBP",'2y forward'!$C52),'FX 2y forward'!$A$2:$A$14,0)))</f>
        <v>0.6515910951737068</v>
      </c>
      <c r="F52" s="9">
        <f>IF('2y forward'!F52="","",'2y forward'!F52/IF('2y forward'!$C52="GBp",100,1)/INDEX('FX 2y forward'!$D$2:$D$14,MATCH(IF('2y forward'!$C52="GBp","GBP",'2y forward'!$C52),'FX 2y forward'!$A$2:$A$14,0)))</f>
        <v>1.6547942710674544</v>
      </c>
      <c r="G52" s="9">
        <f>IF('2y forward'!G52="","",'2y forward'!G52/IF('2y forward'!$C52="GBp",100,1)/INDEX('FX 2y forward'!$E$2:$E$14,MATCH(IF('2y forward'!$C52="GBp","GBP",'2y forward'!$C52),'FX 2y forward'!$A$2:$A$14,0)))</f>
        <v>2.0352576534886078</v>
      </c>
      <c r="H52" s="9">
        <f>IF('2y forward'!H52="","",'2y forward'!H52/IF('2y forward'!$C52="GBp",100,1)/INDEX('FX 2y forward'!$F$2:$F$14,MATCH(IF('2y forward'!$C52="GBp","GBP",'2y forward'!$C52),'FX 2y forward'!$A$2:$A$14,0)))</f>
        <v>1.4715715098831954</v>
      </c>
      <c r="I52" s="9">
        <f>IF('2y forward'!I52="","",'2y forward'!I52/IF('2y forward'!$C52="GBp",100,1)/INDEX('FX 2y forward'!$G$2:$G$14,MATCH(IF('2y forward'!$C52="GBp","GBP",'2y forward'!$C52),'FX 2y forward'!$A$2:$A$14,0)))</f>
        <v>0.6468723300084777</v>
      </c>
      <c r="J52" s="9">
        <f>IF('2y forward'!J52="","",'2y forward'!J52/IF('2y forward'!$C52="GBp",100,1)/INDEX('FX 2y forward'!$H$2:$H$14,MATCH(IF('2y forward'!$C52="GBp","GBP",'2y forward'!$C52),'FX 2y forward'!$A$2:$A$14,0)))</f>
        <v>1.6201567082769657</v>
      </c>
      <c r="K52" s="9">
        <f>IF('2y forward'!K52="","",'2y forward'!K52/IF('2y forward'!$C52="GBp",100,1)/INDEX('FX 2y forward'!$I$2:$I$14,MATCH(IF('2y forward'!$C52="GBp","GBP",'2y forward'!$C52),'FX 2y forward'!$A$2:$A$14,0)))</f>
        <v>1.885813987714548</v>
      </c>
      <c r="L52" s="9">
        <f>IF('2y forward'!L52="","",'2y forward'!L52/IF('2y forward'!$C52="GBp",100,1)/INDEX('FX 2y forward'!$J$2:$J$14,MATCH(IF('2y forward'!$C52="GBp","GBP",'2y forward'!$C52),'FX 2y forward'!$A$2:$A$14,0)))</f>
        <v>4.5815455983895506</v>
      </c>
      <c r="M52" s="9">
        <f>IF('2y forward'!M52="","",'2y forward'!M52/IF('2y forward'!$C52="GBp",100,1)/INDEX('FX 2y forward'!$K$2:$K$14,MATCH(IF('2y forward'!$C52="GBp","GBP",'2y forward'!$C52),'FX 2y forward'!$A$2:$A$14,0)))</f>
        <v>3.9616797607544276</v>
      </c>
    </row>
    <row r="53">
      <c r="A53" s="2" t="inlineStr">
        <is>
          <t>WMC.AX</t>
        </is>
      </c>
      <c r="B53" s="2" t="inlineStr">
        <is>
          <t>Wiluna Mining Corp Ltd (formerly Blackham Resources)</t>
        </is>
      </c>
      <c r="C53" s="2" t="inlineStr">
        <is>
          <t>USD</t>
        </is>
      </c>
      <c r="D53" s="9" t="str">
        <f>IF('2y forward'!D53="","",'2y forward'!D53/IF('2y forward'!$C53="GBp",100,1)/INDEX('FX 2y forward'!$B$2:$B$14,MATCH(IF('2y forward'!$C53="GBp","GBP",'2y forward'!$C53),'FX 2y forward'!$A$2:$A$14,0)))</f>
        <v/>
      </c>
      <c r="E53" s="9" t="str">
        <f>IF('2y forward'!E53="","",'2y forward'!E53/IF('2y forward'!$C53="GBp",100,1)/INDEX('FX 2y forward'!$C$2:$C$14,MATCH(IF('2y forward'!$C53="GBp","GBP",'2y forward'!$C53),'FX 2y forward'!$A$2:$A$14,0)))</f>
        <v/>
      </c>
      <c r="F53" s="9" t="str">
        <f>IF('2y forward'!F53="","",'2y forward'!F53/IF('2y forward'!$C53="GBp",100,1)/INDEX('FX 2y forward'!$D$2:$D$14,MATCH(IF('2y forward'!$C53="GBp","GBP",'2y forward'!$C53),'FX 2y forward'!$A$2:$A$14,0)))</f>
        <v/>
      </c>
      <c r="G53" s="9" t="str">
        <f>IF('2y forward'!G53="","",'2y forward'!G53/IF('2y forward'!$C53="GBp",100,1)/INDEX('FX 2y forward'!$E$2:$E$14,MATCH(IF('2y forward'!$C53="GBp","GBP",'2y forward'!$C53),'FX 2y forward'!$A$2:$A$14,0)))</f>
        <v/>
      </c>
      <c r="H53" s="9" t="str">
        <f>IF('2y forward'!H53="","",'2y forward'!H53/IF('2y forward'!$C53="GBp",100,1)/INDEX('FX 2y forward'!$F$2:$F$14,MATCH(IF('2y forward'!$C53="GBp","GBP",'2y forward'!$C53),'FX 2y forward'!$A$2:$A$14,0)))</f>
        <v/>
      </c>
      <c r="I53" s="9" t="str">
        <f>IF('2y forward'!I53="","",'2y forward'!I53/IF('2y forward'!$C53="GBp",100,1)/INDEX('FX 2y forward'!$G$2:$G$14,MATCH(IF('2y forward'!$C53="GBp","GBP",'2y forward'!$C53),'FX 2y forward'!$A$2:$A$14,0)))</f>
        <v/>
      </c>
      <c r="J53" s="9" t="str">
        <f>IF('2y forward'!J53="","",'2y forward'!J53/IF('2y forward'!$C53="GBp",100,1)/INDEX('FX 2y forward'!$H$2:$H$14,MATCH(IF('2y forward'!$C53="GBp","GBP",'2y forward'!$C53),'FX 2y forward'!$A$2:$A$14,0)))</f>
        <v/>
      </c>
      <c r="K53" s="9" t="str">
        <f>IF('2y forward'!K53="","",'2y forward'!K53/IF('2y forward'!$C53="GBp",100,1)/INDEX('FX 2y forward'!$I$2:$I$14,MATCH(IF('2y forward'!$C53="GBp","GBP",'2y forward'!$C53),'FX 2y forward'!$A$2:$A$14,0)))</f>
        <v/>
      </c>
      <c r="L53" s="9" t="str">
        <f>IF('2y forward'!L53="","",'2y forward'!L53/IF('2y forward'!$C53="GBp",100,1)/INDEX('FX 2y forward'!$J$2:$J$14,MATCH(IF('2y forward'!$C53="GBp","GBP",'2y forward'!$C53),'FX 2y forward'!$A$2:$A$14,0)))</f>
        <v/>
      </c>
      <c r="M53" s="9" t="str">
        <f>IF('2y forward'!M53="","",'2y forward'!M53/IF('2y forward'!$C53="GBp",100,1)/INDEX('FX 2y forward'!$K$2:$K$14,MATCH(IF('2y forward'!$C53="GBp","GBP",'2y forward'!$C53),'FX 2y forward'!$A$2:$A$14,0)))</f>
        <v/>
      </c>
    </row>
    <row r="54"/>
    <row r="55">
      <c r="A55" s="2" t="inlineStr">
        <is>
          <t>2y forward (local) / 2-year FX forward from the 'FX 2y forward' tab.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55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32" customWidth="1" min="2" max="2"/>
    <col width="9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</cols>
  <sheetData>
    <row r="1">
      <c r="A1" s="1" t="inlineStr">
        <is>
          <t>ticker</t>
        </is>
      </c>
      <c r="B1" s="1" t="inlineStr">
        <is>
          <t>company</t>
        </is>
      </c>
      <c r="C1" s="1" t="inlineStr">
        <is>
          <t>currency</t>
        </is>
      </c>
      <c r="D1" s="1" t="inlineStr">
        <is>
          <t>2017</t>
        </is>
      </c>
      <c r="E1" s="1" t="inlineStr">
        <is>
          <t>2018</t>
        </is>
      </c>
      <c r="F1" s="1" t="inlineStr">
        <is>
          <t>2019</t>
        </is>
      </c>
      <c r="G1" s="1" t="inlineStr">
        <is>
          <t>2020</t>
        </is>
      </c>
      <c r="H1" s="1" t="inlineStr">
        <is>
          <t>2021</t>
        </is>
      </c>
      <c r="I1" s="1" t="inlineStr">
        <is>
          <t>2022</t>
        </is>
      </c>
      <c r="J1" s="1" t="inlineStr">
        <is>
          <t>2023</t>
        </is>
      </c>
      <c r="K1" s="1" t="inlineStr">
        <is>
          <t>2024</t>
        </is>
      </c>
      <c r="L1" s="1" t="inlineStr">
        <is>
          <t>2025</t>
        </is>
      </c>
      <c r="M1" s="1" t="inlineStr">
        <is>
          <t>2026</t>
        </is>
      </c>
    </row>
    <row r="2">
      <c r="A2" s="2" t="inlineStr">
        <is>
          <t>2259.HK</t>
        </is>
      </c>
      <c r="B2" s="2" t="inlineStr">
        <is>
          <t>Zijin Gold International Co Ltd</t>
        </is>
      </c>
      <c r="C2" s="2" t="inlineStr">
        <is>
          <t>HKD</t>
        </is>
      </c>
      <c r="L2" s="10" t="n">
        <v>0</v>
      </c>
      <c r="M2" s="10" t="n">
        <v>0.020964</v>
      </c>
    </row>
    <row r="3">
      <c r="A3" s="2" t="inlineStr">
        <is>
          <t>600988.SS</t>
        </is>
      </c>
      <c r="B3" s="2" t="inlineStr">
        <is>
          <t>Chifeng Jilong Gold Mining Co Ltd</t>
        </is>
      </c>
      <c r="C3" s="2" t="inlineStr">
        <is>
          <t>CNY</t>
        </is>
      </c>
      <c r="D3" s="10" t="n">
        <v>0</v>
      </c>
      <c r="E3" s="10" t="n">
        <v>0</v>
      </c>
      <c r="F3" s="10" t="n">
        <v>0</v>
      </c>
      <c r="G3" s="10" t="n">
        <v>0</v>
      </c>
      <c r="H3" s="10" t="n">
        <v>0</v>
      </c>
      <c r="I3" s="10" t="n">
        <v>0</v>
      </c>
      <c r="J3" s="10" t="n">
        <v>0</v>
      </c>
      <c r="K3" s="10" t="n">
        <v>0.003203</v>
      </c>
      <c r="L3" s="10" t="n">
        <v>0.005122</v>
      </c>
      <c r="M3" s="10" t="n">
        <v>0.007944</v>
      </c>
    </row>
    <row r="4">
      <c r="A4" s="2" t="inlineStr">
        <is>
          <t>AAUC.TO</t>
        </is>
      </c>
      <c r="B4" s="2" t="inlineStr">
        <is>
          <t>Allied Gold Corp</t>
        </is>
      </c>
      <c r="C4" s="2" t="inlineStr">
        <is>
          <t>CAD</t>
        </is>
      </c>
      <c r="J4" s="10" t="n">
        <v>0</v>
      </c>
      <c r="K4" s="10" t="n">
        <v>0</v>
      </c>
      <c r="L4" s="10" t="n">
        <v>0</v>
      </c>
      <c r="M4" s="10" t="n">
        <v>0</v>
      </c>
    </row>
    <row r="5">
      <c r="A5" s="2" t="inlineStr">
        <is>
          <t>AGI.TO</t>
        </is>
      </c>
      <c r="B5" s="2" t="inlineStr">
        <is>
          <t>Alamos Gold Inc</t>
        </is>
      </c>
      <c r="C5" s="2" t="inlineStr">
        <is>
          <t>CAD</t>
        </is>
      </c>
      <c r="D5" s="10" t="n">
        <v>0.003053</v>
      </c>
      <c r="E5" s="10" t="n">
        <v>0.005295</v>
      </c>
      <c r="F5" s="10" t="n">
        <v>0.006641</v>
      </c>
      <c r="G5" s="10" t="n">
        <v>0.007823999999999999</v>
      </c>
      <c r="H5" s="10" t="n">
        <v>0.012847</v>
      </c>
      <c r="I5" s="10" t="n">
        <v>0.009568999999999999</v>
      </c>
      <c r="J5" s="10" t="n">
        <v>0.007576</v>
      </c>
      <c r="K5" s="10" t="n">
        <v>0.005166</v>
      </c>
      <c r="L5" s="10" t="n">
        <v>0.002642</v>
      </c>
      <c r="M5" s="10" t="n">
        <v>0.003379</v>
      </c>
    </row>
    <row r="6">
      <c r="A6" s="2" t="inlineStr">
        <is>
          <t>ALK.AX</t>
        </is>
      </c>
      <c r="B6" s="2" t="inlineStr">
        <is>
          <t>Alkane Resources Ltd</t>
        </is>
      </c>
      <c r="C6" s="2" t="inlineStr">
        <is>
          <t>AUD</t>
        </is>
      </c>
      <c r="D6" s="10" t="n">
        <v>0</v>
      </c>
      <c r="E6" s="10" t="n">
        <v>0</v>
      </c>
      <c r="F6" s="10" t="n">
        <v>0</v>
      </c>
      <c r="G6" s="10" t="n">
        <v>0</v>
      </c>
      <c r="H6" s="10" t="n">
        <v>0</v>
      </c>
      <c r="I6" s="10" t="n">
        <v>0</v>
      </c>
      <c r="J6" s="10" t="n">
        <v>0</v>
      </c>
      <c r="K6" s="10" t="n">
        <v>0</v>
      </c>
      <c r="L6" s="10" t="n">
        <v>0</v>
      </c>
      <c r="M6" s="10" t="n">
        <v>0.010554</v>
      </c>
    </row>
    <row r="7">
      <c r="A7" s="2" t="inlineStr">
        <is>
          <t>AMRQ.L</t>
        </is>
      </c>
      <c r="B7" s="2" t="inlineStr">
        <is>
          <t>Amaroq Minerals Ltd</t>
        </is>
      </c>
      <c r="C7" s="2" t="inlineStr">
        <is>
          <t>GBp</t>
        </is>
      </c>
      <c r="G7" s="10" t="n">
        <v>0</v>
      </c>
      <c r="H7" s="10" t="n">
        <v>0</v>
      </c>
      <c r="I7" s="10" t="n">
        <v>0</v>
      </c>
      <c r="J7" s="10" t="n">
        <v>0</v>
      </c>
      <c r="K7" s="10" t="n">
        <v>0</v>
      </c>
      <c r="L7" s="10" t="n">
        <v>0</v>
      </c>
      <c r="M7" s="10" t="n">
        <v>0</v>
      </c>
    </row>
    <row r="8">
      <c r="A8" s="2" t="inlineStr">
        <is>
          <t>AR.TO</t>
        </is>
      </c>
      <c r="B8" s="2" t="inlineStr">
        <is>
          <t>Argonaut Gold Inc</t>
        </is>
      </c>
      <c r="C8" s="2" t="inlineStr">
        <is>
          <t>CAD</t>
        </is>
      </c>
    </row>
    <row r="9">
      <c r="A9" s="2" t="inlineStr">
        <is>
          <t>ASE.V</t>
        </is>
      </c>
      <c r="B9" s="2" t="inlineStr">
        <is>
          <t>Asante Gold Corp</t>
        </is>
      </c>
      <c r="C9" s="2" t="inlineStr">
        <is>
          <t>CAD</t>
        </is>
      </c>
      <c r="D9" s="10" t="n">
        <v>0</v>
      </c>
      <c r="E9" s="10" t="n">
        <v>0</v>
      </c>
      <c r="F9" s="10" t="n">
        <v>0</v>
      </c>
      <c r="G9" s="10" t="n">
        <v>0</v>
      </c>
      <c r="H9" s="10" t="n">
        <v>0</v>
      </c>
      <c r="I9" s="10" t="n">
        <v>0</v>
      </c>
      <c r="J9" s="10" t="n">
        <v>0</v>
      </c>
      <c r="K9" s="10" t="n">
        <v>0</v>
      </c>
      <c r="L9" s="10" t="n">
        <v>0</v>
      </c>
      <c r="M9" s="10" t="n">
        <v>0</v>
      </c>
    </row>
    <row r="10">
      <c r="A10" s="2" t="inlineStr">
        <is>
          <t>AU</t>
        </is>
      </c>
      <c r="B10" s="2" t="inlineStr">
        <is>
          <t>AngloGold Ashanti plc</t>
        </is>
      </c>
      <c r="C10" s="2" t="inlineStr">
        <is>
          <t>USD</t>
        </is>
      </c>
      <c r="D10" s="10" t="n">
        <v>0.009715</v>
      </c>
      <c r="E10" s="10" t="n">
        <v>0.004781</v>
      </c>
      <c r="F10" s="10" t="n">
        <v>0.003044</v>
      </c>
      <c r="G10" s="10" t="n">
        <v>0.004863</v>
      </c>
      <c r="H10" s="10" t="n">
        <v>0.025739</v>
      </c>
      <c r="I10" s="10" t="n">
        <v>0.022606</v>
      </c>
      <c r="J10" s="10" t="n">
        <v>0.01145</v>
      </c>
      <c r="K10" s="10" t="n">
        <v>0.025997</v>
      </c>
      <c r="L10" s="10" t="n">
        <v>0.029608</v>
      </c>
      <c r="M10" s="10" t="n">
        <v>0.036454</v>
      </c>
    </row>
    <row r="11">
      <c r="A11" s="2" t="inlineStr">
        <is>
          <t>AUMB.V</t>
        </is>
      </c>
      <c r="B11" s="2" t="inlineStr">
        <is>
          <t>1911 Gold Corp</t>
        </is>
      </c>
      <c r="C11" s="2" t="inlineStr">
        <is>
          <t>CAD</t>
        </is>
      </c>
      <c r="E11" s="10" t="n">
        <v>0</v>
      </c>
      <c r="F11" s="10" t="n">
        <v>0</v>
      </c>
      <c r="G11" s="10" t="n">
        <v>0</v>
      </c>
      <c r="H11" s="10" t="n">
        <v>0</v>
      </c>
      <c r="I11" s="10" t="n">
        <v>0</v>
      </c>
      <c r="J11" s="10" t="n">
        <v>0</v>
      </c>
      <c r="K11" s="10" t="n">
        <v>0</v>
      </c>
      <c r="L11" s="10" t="n">
        <v>0</v>
      </c>
      <c r="M11" s="10" t="n">
        <v>0</v>
      </c>
    </row>
    <row r="12">
      <c r="A12" s="2" t="inlineStr">
        <is>
          <t>BGL.AX</t>
        </is>
      </c>
      <c r="B12" s="2" t="inlineStr">
        <is>
          <t>Bellevue Gold Ltd</t>
        </is>
      </c>
      <c r="C12" s="2" t="inlineStr">
        <is>
          <t>AUD</t>
        </is>
      </c>
      <c r="D12" s="10" t="n">
        <v>0</v>
      </c>
      <c r="E12" s="10" t="n">
        <v>0</v>
      </c>
      <c r="F12" s="10" t="n">
        <v>0</v>
      </c>
      <c r="G12" s="10" t="n">
        <v>0</v>
      </c>
      <c r="H12" s="10" t="n">
        <v>0</v>
      </c>
      <c r="I12" s="10" t="n">
        <v>0</v>
      </c>
      <c r="J12" s="10" t="n">
        <v>0</v>
      </c>
      <c r="K12" s="10" t="n">
        <v>0</v>
      </c>
      <c r="L12" s="10" t="n">
        <v>0</v>
      </c>
      <c r="M12" s="10" t="n">
        <v>0</v>
      </c>
    </row>
    <row r="13">
      <c r="A13" s="2" t="inlineStr">
        <is>
          <t>BTO.TO</t>
        </is>
      </c>
      <c r="B13" s="2" t="inlineStr">
        <is>
          <t>B2Gold Corp</t>
        </is>
      </c>
      <c r="C13" s="2" t="inlineStr">
        <is>
          <t>CAD</t>
        </is>
      </c>
      <c r="D13" s="10" t="n">
        <v>0</v>
      </c>
      <c r="E13" s="10" t="n">
        <v>0</v>
      </c>
      <c r="F13" s="10" t="n">
        <v>0.002495</v>
      </c>
      <c r="G13" s="10" t="n">
        <v>0.020196</v>
      </c>
      <c r="H13" s="10" t="n">
        <v>0.040763</v>
      </c>
      <c r="I13" s="10" t="n">
        <v>0.043659</v>
      </c>
      <c r="J13" s="10" t="n">
        <v>0.051313</v>
      </c>
      <c r="K13" s="10" t="n">
        <v>0.062216</v>
      </c>
      <c r="L13" s="10" t="n">
        <v>0.018123</v>
      </c>
      <c r="M13" s="10" t="n">
        <v>0.010737</v>
      </c>
    </row>
    <row r="14">
      <c r="A14" s="2" t="inlineStr">
        <is>
          <t>CERT.V</t>
        </is>
      </c>
      <c r="B14" s="2" t="inlineStr">
        <is>
          <t>Cerrado Gold Inc</t>
        </is>
      </c>
      <c r="C14" s="2" t="inlineStr">
        <is>
          <t>CAD</t>
        </is>
      </c>
      <c r="G14" s="10" t="n">
        <v>0</v>
      </c>
      <c r="H14" s="10" t="n">
        <v>0</v>
      </c>
      <c r="I14" s="10" t="n">
        <v>0</v>
      </c>
      <c r="J14" s="10" t="n">
        <v>0</v>
      </c>
      <c r="K14" s="10" t="n">
        <v>0</v>
      </c>
      <c r="L14" s="10" t="n">
        <v>0</v>
      </c>
      <c r="M14" s="10" t="n">
        <v>0</v>
      </c>
    </row>
    <row r="15">
      <c r="A15" s="2" t="inlineStr">
        <is>
          <t>CG.TO</t>
        </is>
      </c>
      <c r="B15" s="2" t="inlineStr">
        <is>
          <t>Centerra Gold Inc</t>
        </is>
      </c>
      <c r="C15" s="2" t="inlineStr">
        <is>
          <t>CAD</t>
        </is>
      </c>
      <c r="D15" s="10" t="n">
        <v>0</v>
      </c>
      <c r="E15" s="10" t="n">
        <v>0</v>
      </c>
      <c r="F15" s="10" t="n">
        <v>0</v>
      </c>
      <c r="G15" s="10" t="n">
        <v>0.012212</v>
      </c>
      <c r="H15" s="10" t="n">
        <v>0.024615</v>
      </c>
      <c r="I15" s="10" t="n">
        <v>0.039943</v>
      </c>
      <c r="J15" s="10" t="n">
        <v>0.035398</v>
      </c>
      <c r="K15" s="10" t="n">
        <v>0.03423</v>
      </c>
      <c r="L15" s="10" t="n">
        <v>0.01417</v>
      </c>
      <c r="M15" s="10" t="n">
        <v>0.006585</v>
      </c>
    </row>
    <row r="16">
      <c r="A16" s="2" t="inlineStr">
        <is>
          <t>CXB.TO</t>
        </is>
      </c>
      <c r="B16" s="2" t="inlineStr">
        <is>
          <t>Calibre Mining Corp</t>
        </is>
      </c>
      <c r="C16" s="2" t="inlineStr">
        <is>
          <t>CAD</t>
        </is>
      </c>
    </row>
    <row r="17">
      <c r="A17" s="2" t="inlineStr">
        <is>
          <t>CYL.AX</t>
        </is>
      </c>
      <c r="B17" s="2" t="inlineStr">
        <is>
          <t>Catalyst Metals Ltd</t>
        </is>
      </c>
      <c r="C17" s="2" t="inlineStr">
        <is>
          <t>AUD</t>
        </is>
      </c>
      <c r="D17" s="10" t="n">
        <v>0</v>
      </c>
      <c r="E17" s="10" t="n">
        <v>0</v>
      </c>
      <c r="F17" s="10" t="n">
        <v>0</v>
      </c>
      <c r="G17" s="10" t="n">
        <v>0</v>
      </c>
      <c r="H17" s="10" t="n">
        <v>0</v>
      </c>
      <c r="I17" s="10" t="n">
        <v>0</v>
      </c>
      <c r="J17" s="10" t="n">
        <v>0</v>
      </c>
      <c r="K17" s="10" t="n">
        <v>0</v>
      </c>
      <c r="L17" s="10" t="n">
        <v>0</v>
      </c>
      <c r="M17" s="10" t="n">
        <v>0</v>
      </c>
    </row>
    <row r="18">
      <c r="A18" s="2" t="inlineStr">
        <is>
          <t>ELD.TO</t>
        </is>
      </c>
      <c r="B18" s="2" t="inlineStr">
        <is>
          <t>Eldorado Gold Corp</t>
        </is>
      </c>
      <c r="C18" s="2" t="inlineStr">
        <is>
          <t>CAD</t>
        </is>
      </c>
      <c r="D18" s="10" t="n">
        <v>0.010989</v>
      </c>
      <c r="E18" s="10" t="n">
        <v>0</v>
      </c>
      <c r="F18" s="10" t="n">
        <v>0</v>
      </c>
      <c r="G18" s="10" t="n">
        <v>0</v>
      </c>
      <c r="H18" s="10" t="n">
        <v>0</v>
      </c>
      <c r="I18" s="10" t="n">
        <v>0</v>
      </c>
      <c r="J18" s="10" t="n">
        <v>0</v>
      </c>
      <c r="K18" s="10" t="n">
        <v>0</v>
      </c>
      <c r="L18" s="10" t="n">
        <v>0</v>
      </c>
      <c r="M18" s="10" t="n">
        <v>0.005241</v>
      </c>
    </row>
    <row r="19">
      <c r="A19" s="2" t="inlineStr">
        <is>
          <t>EQX.TO</t>
        </is>
      </c>
      <c r="B19" s="2" t="inlineStr">
        <is>
          <t>Equinox Gold Corp</t>
        </is>
      </c>
      <c r="C19" s="2" t="inlineStr">
        <is>
          <t>CAD</t>
        </is>
      </c>
      <c r="D19" s="10" t="n">
        <v>0</v>
      </c>
      <c r="E19" s="10" t="n">
        <v>0</v>
      </c>
      <c r="F19" s="10" t="n">
        <v>0</v>
      </c>
      <c r="G19" s="10" t="n">
        <v>0</v>
      </c>
      <c r="H19" s="10" t="n">
        <v>0</v>
      </c>
      <c r="I19" s="10" t="n">
        <v>0</v>
      </c>
      <c r="J19" s="10" t="n">
        <v>0</v>
      </c>
      <c r="K19" s="10" t="n">
        <v>0</v>
      </c>
      <c r="L19" s="10" t="n">
        <v>0</v>
      </c>
      <c r="M19" s="10" t="n">
        <v>0.004268</v>
      </c>
    </row>
    <row r="20">
      <c r="A20" s="2" t="inlineStr">
        <is>
          <t>FVI.TO</t>
        </is>
      </c>
      <c r="B20" s="2" t="inlineStr">
        <is>
          <t>Fortuna Mining Corp</t>
        </is>
      </c>
      <c r="C20" s="2" t="inlineStr">
        <is>
          <t>CAD</t>
        </is>
      </c>
      <c r="D20" s="10" t="n">
        <v>0</v>
      </c>
      <c r="E20" s="10" t="n">
        <v>0</v>
      </c>
      <c r="F20" s="10" t="n">
        <v>0</v>
      </c>
      <c r="G20" s="10" t="n">
        <v>0</v>
      </c>
      <c r="H20" s="10" t="n">
        <v>0</v>
      </c>
      <c r="I20" s="10" t="n">
        <v>0</v>
      </c>
      <c r="J20" s="10" t="n">
        <v>0</v>
      </c>
      <c r="K20" s="10" t="n">
        <v>0</v>
      </c>
      <c r="L20" s="10" t="n">
        <v>0</v>
      </c>
      <c r="M20" s="10" t="n">
        <v>0</v>
      </c>
    </row>
    <row r="21">
      <c r="A21" s="2" t="inlineStr">
        <is>
          <t>GFI</t>
        </is>
      </c>
      <c r="B21" s="2" t="inlineStr">
        <is>
          <t>Gold Fields Ltd</t>
        </is>
      </c>
      <c r="C21" s="2" t="inlineStr">
        <is>
          <t>USD</t>
        </is>
      </c>
      <c r="D21" s="10" t="n">
        <v>0.017674</v>
      </c>
      <c r="E21" s="10" t="n">
        <v>0.016193</v>
      </c>
      <c r="F21" s="10" t="n">
        <v>0.008030000000000001</v>
      </c>
      <c r="G21" s="10" t="n">
        <v>0.01726</v>
      </c>
      <c r="H21" s="10" t="n">
        <v>0.032393</v>
      </c>
      <c r="I21" s="10" t="n">
        <v>0.03401</v>
      </c>
      <c r="J21" s="10" t="n">
        <v>0.028631</v>
      </c>
      <c r="K21" s="10" t="n">
        <v>0.029394</v>
      </c>
      <c r="L21" s="10" t="n">
        <v>0.008588999999999999</v>
      </c>
      <c r="M21" s="10" t="n">
        <v>0.060822</v>
      </c>
    </row>
    <row r="22">
      <c r="A22" s="2" t="inlineStr">
        <is>
          <t>GMD.AX</t>
        </is>
      </c>
      <c r="B22" s="2" t="inlineStr">
        <is>
          <t>Genesis Minerals Ltd</t>
        </is>
      </c>
      <c r="C22" s="2" t="inlineStr">
        <is>
          <t>AUD</t>
        </is>
      </c>
      <c r="D22" s="10" t="n">
        <v>0</v>
      </c>
      <c r="E22" s="10" t="n">
        <v>0</v>
      </c>
      <c r="F22" s="10" t="n">
        <v>0</v>
      </c>
      <c r="G22" s="10" t="n">
        <v>0</v>
      </c>
      <c r="H22" s="10" t="n">
        <v>0</v>
      </c>
      <c r="I22" s="10" t="n">
        <v>0</v>
      </c>
      <c r="J22" s="10" t="n">
        <v>0</v>
      </c>
      <c r="K22" s="10" t="n">
        <v>0</v>
      </c>
      <c r="L22" s="10" t="n">
        <v>0</v>
      </c>
      <c r="M22" s="10" t="n">
        <v>0.006536</v>
      </c>
    </row>
    <row r="23">
      <c r="A23" s="2" t="inlineStr">
        <is>
          <t>GOR.AX</t>
        </is>
      </c>
      <c r="B23" s="2" t="inlineStr">
        <is>
          <t>Gold Road Resources Ltd</t>
        </is>
      </c>
      <c r="C23" s="2" t="inlineStr">
        <is>
          <t>AUD</t>
        </is>
      </c>
    </row>
    <row r="24">
      <c r="A24" s="2" t="inlineStr">
        <is>
          <t>HMY</t>
        </is>
      </c>
      <c r="B24" s="2" t="inlineStr">
        <is>
          <t>Harmony Gold Mining Co Ltd</t>
        </is>
      </c>
      <c r="C24" s="2" t="inlineStr">
        <is>
          <t>USD</t>
        </is>
      </c>
      <c r="D24" s="10" t="n">
        <v>0.034759</v>
      </c>
      <c r="E24" s="10" t="n">
        <v>0</v>
      </c>
      <c r="F24" s="10" t="n">
        <v>0</v>
      </c>
      <c r="G24" s="10" t="n">
        <v>0</v>
      </c>
      <c r="H24" s="10" t="n">
        <v>0.022384</v>
      </c>
      <c r="I24" s="10" t="n">
        <v>0.011471</v>
      </c>
      <c r="J24" s="10" t="n">
        <v>0.006504</v>
      </c>
      <c r="K24" s="10" t="n">
        <v>0.015834</v>
      </c>
      <c r="L24" s="10" t="n">
        <v>0.00603</v>
      </c>
      <c r="M24" s="10" t="n">
        <v>0.016447</v>
      </c>
    </row>
    <row r="25">
      <c r="A25" s="2" t="inlineStr">
        <is>
          <t>HUM.L</t>
        </is>
      </c>
      <c r="B25" s="2" t="inlineStr">
        <is>
          <t>Hummingbird Resources plc</t>
        </is>
      </c>
      <c r="C25" s="2" t="inlineStr">
        <is>
          <t>GBp</t>
        </is>
      </c>
    </row>
    <row r="26">
      <c r="A26" s="2" t="inlineStr">
        <is>
          <t>IAU.TO</t>
        </is>
      </c>
      <c r="B26" s="2" t="inlineStr">
        <is>
          <t>i-80 Gold Corp</t>
        </is>
      </c>
      <c r="C26" s="2" t="inlineStr">
        <is>
          <t>CAD</t>
        </is>
      </c>
      <c r="H26" s="10" t="n">
        <v>0</v>
      </c>
      <c r="I26" s="10" t="n">
        <v>0</v>
      </c>
      <c r="J26" s="10" t="n">
        <v>0</v>
      </c>
      <c r="K26" s="10" t="n">
        <v>0</v>
      </c>
      <c r="L26" s="10" t="n">
        <v>0</v>
      </c>
      <c r="M26" s="10" t="n">
        <v>0</v>
      </c>
    </row>
    <row r="27">
      <c r="A27" s="2" t="inlineStr">
        <is>
          <t>IMG.TO</t>
        </is>
      </c>
      <c r="B27" s="2" t="inlineStr">
        <is>
          <t>IAMGOLD Corp</t>
        </is>
      </c>
      <c r="C27" s="2" t="inlineStr">
        <is>
          <t>CAD</t>
        </is>
      </c>
      <c r="D27" s="10" t="n">
        <v>0</v>
      </c>
      <c r="E27" s="10" t="n">
        <v>0</v>
      </c>
      <c r="F27" s="10" t="n">
        <v>0</v>
      </c>
      <c r="G27" s="10" t="n">
        <v>0</v>
      </c>
      <c r="H27" s="10" t="n">
        <v>0</v>
      </c>
      <c r="I27" s="10" t="n">
        <v>0</v>
      </c>
      <c r="J27" s="10" t="n">
        <v>0</v>
      </c>
      <c r="K27" s="10" t="n">
        <v>0</v>
      </c>
      <c r="L27" s="10" t="n">
        <v>0</v>
      </c>
      <c r="M27" s="10" t="n">
        <v>0</v>
      </c>
    </row>
    <row r="28">
      <c r="A28" s="2" t="inlineStr">
        <is>
          <t>K.TO</t>
        </is>
      </c>
      <c r="B28" s="2" t="inlineStr">
        <is>
          <t>Kinross Gold Corp</t>
        </is>
      </c>
      <c r="C28" s="2" t="inlineStr">
        <is>
          <t>CAD</t>
        </is>
      </c>
      <c r="D28" s="10" t="n">
        <v>0</v>
      </c>
      <c r="E28" s="10" t="n">
        <v>0</v>
      </c>
      <c r="F28" s="10" t="n">
        <v>0</v>
      </c>
      <c r="G28" s="10" t="n">
        <v>0.008458</v>
      </c>
      <c r="H28" s="10" t="n">
        <v>0.020436</v>
      </c>
      <c r="I28" s="10" t="n">
        <v>0.028261</v>
      </c>
      <c r="J28" s="10" t="n">
        <v>0.020449</v>
      </c>
      <c r="K28" s="10" t="n">
        <v>0.01236</v>
      </c>
      <c r="L28" s="10" t="n">
        <v>0.004553</v>
      </c>
      <c r="M28" s="10" t="n">
        <v>0.004625</v>
      </c>
    </row>
    <row r="29">
      <c r="A29" s="2" t="inlineStr">
        <is>
          <t>KNT.TO</t>
        </is>
      </c>
      <c r="B29" s="2" t="inlineStr">
        <is>
          <t>K92 Mining Inc</t>
        </is>
      </c>
      <c r="C29" s="2" t="inlineStr">
        <is>
          <t>CAD</t>
        </is>
      </c>
      <c r="D29" s="10" t="n">
        <v>0</v>
      </c>
      <c r="E29" s="10" t="n">
        <v>0</v>
      </c>
      <c r="F29" s="10" t="n">
        <v>0</v>
      </c>
      <c r="G29" s="10" t="n">
        <v>0</v>
      </c>
      <c r="H29" s="10" t="n">
        <v>0</v>
      </c>
      <c r="I29" s="10" t="n">
        <v>0</v>
      </c>
      <c r="J29" s="10" t="n">
        <v>0</v>
      </c>
      <c r="K29" s="10" t="n">
        <v>0</v>
      </c>
      <c r="L29" s="10" t="n">
        <v>0</v>
      </c>
      <c r="M29" s="10" t="n">
        <v>0</v>
      </c>
    </row>
    <row r="30">
      <c r="A30" s="2" t="inlineStr">
        <is>
          <t>LYC.AX</t>
        </is>
      </c>
      <c r="B30" s="2" t="inlineStr">
        <is>
          <t>Lynas Rare Earths Ltd</t>
        </is>
      </c>
      <c r="C30" s="2" t="inlineStr">
        <is>
          <t>AUD</t>
        </is>
      </c>
      <c r="D30" s="10" t="n">
        <v>0</v>
      </c>
      <c r="E30" s="10" t="n">
        <v>0</v>
      </c>
      <c r="F30" s="10" t="n">
        <v>0</v>
      </c>
      <c r="G30" s="10" t="n">
        <v>0</v>
      </c>
      <c r="H30" s="10" t="n">
        <v>0</v>
      </c>
      <c r="I30" s="10" t="n">
        <v>0</v>
      </c>
      <c r="J30" s="10" t="n">
        <v>0</v>
      </c>
      <c r="K30" s="10" t="n">
        <v>0</v>
      </c>
      <c r="L30" s="10" t="n">
        <v>0</v>
      </c>
      <c r="M30" s="10" t="n">
        <v>0</v>
      </c>
    </row>
    <row r="31">
      <c r="A31" s="2" t="inlineStr">
        <is>
          <t>MSA.TO</t>
        </is>
      </c>
      <c r="B31" s="2" t="inlineStr">
        <is>
          <t>Mineros SA</t>
        </is>
      </c>
      <c r="C31" s="2" t="inlineStr">
        <is>
          <t>CAD</t>
        </is>
      </c>
      <c r="H31" s="10" t="n">
        <v>0</v>
      </c>
      <c r="I31" s="10" t="n">
        <v>0.135714</v>
      </c>
      <c r="J31" s="10" t="n">
        <v>0.143077</v>
      </c>
      <c r="K31" s="10" t="n">
        <v>0.084564</v>
      </c>
      <c r="L31" s="10" t="n">
        <v>0.024911</v>
      </c>
      <c r="M31" s="10" t="n">
        <v>0.010352</v>
      </c>
    </row>
    <row r="32">
      <c r="A32" s="2" t="inlineStr">
        <is>
          <t>MUX</t>
        </is>
      </c>
      <c r="B32" s="2" t="inlineStr">
        <is>
          <t>McEwen Mining Inc</t>
        </is>
      </c>
      <c r="C32" s="2" t="inlineStr">
        <is>
          <t>USD</t>
        </is>
      </c>
      <c r="D32" s="10" t="n">
        <v>0.004386</v>
      </c>
      <c r="E32" s="10" t="n">
        <v>0.005495</v>
      </c>
      <c r="F32" s="10" t="n">
        <v>0.003937</v>
      </c>
      <c r="G32" s="10" t="n">
        <v>0</v>
      </c>
      <c r="H32" s="10" t="n">
        <v>0</v>
      </c>
      <c r="I32" s="10" t="n">
        <v>0</v>
      </c>
      <c r="J32" s="10" t="n">
        <v>0</v>
      </c>
      <c r="K32" s="10" t="n">
        <v>0</v>
      </c>
      <c r="L32" s="10" t="n">
        <v>0</v>
      </c>
      <c r="M32" s="10" t="n">
        <v>0</v>
      </c>
    </row>
    <row r="33">
      <c r="A33" s="2" t="inlineStr">
        <is>
          <t>NFGC.TO</t>
        </is>
      </c>
      <c r="B33" s="2" t="inlineStr">
        <is>
          <t>New Found Gold Corp</t>
        </is>
      </c>
      <c r="C33" s="2" t="inlineStr">
        <is>
          <t>CAD</t>
        </is>
      </c>
      <c r="G33" s="10" t="n">
        <v>0</v>
      </c>
      <c r="H33" s="10" t="n">
        <v>0</v>
      </c>
      <c r="I33" s="10" t="n">
        <v>0</v>
      </c>
      <c r="J33" s="10" t="n">
        <v>0</v>
      </c>
      <c r="K33" s="10" t="n">
        <v>0</v>
      </c>
      <c r="L33" s="10" t="n">
        <v>0</v>
      </c>
      <c r="M33" s="10" t="n">
        <v>0</v>
      </c>
    </row>
    <row r="34">
      <c r="A34" s="2" t="inlineStr">
        <is>
          <t>OBM.AX</t>
        </is>
      </c>
      <c r="B34" s="2" t="inlineStr">
        <is>
          <t>Ora Banda Mining Ltd</t>
        </is>
      </c>
      <c r="C34" s="2" t="inlineStr">
        <is>
          <t>AUD</t>
        </is>
      </c>
      <c r="D34" s="10" t="n">
        <v>0</v>
      </c>
      <c r="E34" s="10" t="n">
        <v>0</v>
      </c>
      <c r="F34" s="10" t="n">
        <v>0</v>
      </c>
      <c r="G34" s="10" t="n">
        <v>0</v>
      </c>
      <c r="H34" s="10" t="n">
        <v>0</v>
      </c>
      <c r="I34" s="10" t="n">
        <v>0</v>
      </c>
      <c r="J34" s="10" t="n">
        <v>0</v>
      </c>
      <c r="K34" s="10" t="n">
        <v>0</v>
      </c>
      <c r="L34" s="10" t="n">
        <v>0</v>
      </c>
      <c r="M34" s="10" t="n">
        <v>0</v>
      </c>
    </row>
    <row r="35">
      <c r="A35" s="2" t="inlineStr">
        <is>
          <t>OGC.TO</t>
        </is>
      </c>
      <c r="B35" s="2" t="inlineStr">
        <is>
          <t>OceanaGold Corp</t>
        </is>
      </c>
      <c r="C35" s="2" t="inlineStr">
        <is>
          <t>CAD</t>
        </is>
      </c>
      <c r="D35" s="10" t="n">
        <v>0.00805</v>
      </c>
      <c r="E35" s="10" t="n">
        <v>0.007830999999999999</v>
      </c>
      <c r="F35" s="10" t="n">
        <v>0.005098</v>
      </c>
      <c r="G35" s="10" t="n">
        <v>0</v>
      </c>
      <c r="H35" s="10" t="n">
        <v>0</v>
      </c>
      <c r="I35" s="10" t="n">
        <v>0</v>
      </c>
      <c r="J35" s="10" t="n">
        <v>0.011024</v>
      </c>
      <c r="K35" s="10" t="n">
        <v>0.006784</v>
      </c>
      <c r="L35" s="10" t="n">
        <v>0.004319</v>
      </c>
      <c r="M35" s="10" t="n">
        <v>0.009327999999999999</v>
      </c>
    </row>
    <row r="36">
      <c r="A36" s="2" t="inlineStr">
        <is>
          <t>OGG.V</t>
        </is>
      </c>
      <c r="B36" s="2" t="inlineStr">
        <is>
          <t>Osisko Gold Group Inc (formerly Osisko Development)</t>
        </is>
      </c>
      <c r="C36" s="2" t="inlineStr">
        <is>
          <t>CAD</t>
        </is>
      </c>
      <c r="G36" s="10" t="n">
        <v>0</v>
      </c>
      <c r="H36" s="10" t="n">
        <v>0</v>
      </c>
      <c r="I36" s="10" t="n">
        <v>0</v>
      </c>
      <c r="J36" s="10" t="n">
        <v>0</v>
      </c>
      <c r="K36" s="10" t="n">
        <v>0</v>
      </c>
      <c r="L36" s="10" t="n">
        <v>0</v>
      </c>
      <c r="M36" s="10" t="n">
        <v>0</v>
      </c>
    </row>
    <row r="37">
      <c r="A37" s="2" t="inlineStr">
        <is>
          <t>OLA.TO</t>
        </is>
      </c>
      <c r="B37" s="2" t="inlineStr">
        <is>
          <t>Orla Mining Ltd</t>
        </is>
      </c>
      <c r="C37" s="2" t="inlineStr">
        <is>
          <t>CAD</t>
        </is>
      </c>
      <c r="M37" s="10" t="n">
        <v>0</v>
      </c>
    </row>
    <row r="38">
      <c r="A38" s="2" t="inlineStr">
        <is>
          <t>PGM.V</t>
        </is>
      </c>
      <c r="B38" s="2" t="inlineStr">
        <is>
          <t>Pure Gold Mining Inc</t>
        </is>
      </c>
      <c r="C38" s="2" t="inlineStr">
        <is>
          <t>CAD</t>
        </is>
      </c>
    </row>
    <row r="39">
      <c r="A39" s="2" t="inlineStr">
        <is>
          <t>PNR.AX</t>
        </is>
      </c>
      <c r="B39" s="2" t="inlineStr">
        <is>
          <t>Pantoro Gold Ltd</t>
        </is>
      </c>
      <c r="C39" s="2" t="inlineStr">
        <is>
          <t>AUD</t>
        </is>
      </c>
      <c r="D39" s="10" t="n">
        <v>0</v>
      </c>
      <c r="E39" s="10" t="n">
        <v>0</v>
      </c>
      <c r="F39" s="10" t="n">
        <v>0</v>
      </c>
      <c r="G39" s="10" t="n">
        <v>0</v>
      </c>
      <c r="H39" s="10" t="n">
        <v>0</v>
      </c>
      <c r="I39" s="10" t="n">
        <v>0</v>
      </c>
      <c r="J39" s="10" t="n">
        <v>0</v>
      </c>
      <c r="K39" s="10" t="n">
        <v>0</v>
      </c>
      <c r="L39" s="10" t="n">
        <v>0</v>
      </c>
      <c r="M39" s="10" t="n">
        <v>0</v>
      </c>
    </row>
    <row r="40">
      <c r="A40" s="2" t="inlineStr">
        <is>
          <t>PSAB.JK</t>
        </is>
      </c>
      <c r="B40" s="2" t="inlineStr">
        <is>
          <t>PT J Resources Asia Pasifik Tbk</t>
        </is>
      </c>
      <c r="C40" s="2" t="inlineStr">
        <is>
          <t>IDR</t>
        </is>
      </c>
      <c r="D40" s="10" t="n">
        <v>0</v>
      </c>
      <c r="E40" s="10" t="n">
        <v>0</v>
      </c>
      <c r="F40" s="10" t="n">
        <v>0</v>
      </c>
      <c r="G40" s="10" t="n">
        <v>0</v>
      </c>
      <c r="H40" s="10" t="n">
        <v>0</v>
      </c>
      <c r="I40" s="10" t="n">
        <v>0</v>
      </c>
      <c r="J40" s="10" t="n">
        <v>0</v>
      </c>
      <c r="K40" s="10" t="n">
        <v>0</v>
      </c>
      <c r="L40" s="10" t="n">
        <v>0</v>
      </c>
      <c r="M40" s="10" t="n">
        <v>0.252336</v>
      </c>
    </row>
    <row r="41">
      <c r="A41" s="2" t="inlineStr">
        <is>
          <t>RMS.AX</t>
        </is>
      </c>
      <c r="B41" s="2" t="inlineStr">
        <is>
          <t>Ramelius Resources Ltd</t>
        </is>
      </c>
      <c r="C41" s="2" t="inlineStr">
        <is>
          <t>AUD</t>
        </is>
      </c>
      <c r="D41" s="10" t="n">
        <v>0</v>
      </c>
      <c r="E41" s="10" t="n">
        <v>0</v>
      </c>
      <c r="F41" s="10" t="n">
        <v>0.008097</v>
      </c>
      <c r="G41" s="10" t="n">
        <v>0.011869</v>
      </c>
      <c r="H41" s="10" t="n">
        <v>0.015924</v>
      </c>
      <c r="I41" s="10" t="n">
        <v>0.010753</v>
      </c>
      <c r="J41" s="10" t="n">
        <v>0.011869</v>
      </c>
      <c r="K41" s="10" t="n">
        <v>0.024155</v>
      </c>
      <c r="L41" s="10" t="n">
        <v>0.019231</v>
      </c>
      <c r="M41" s="10" t="n">
        <v>0.015504</v>
      </c>
    </row>
    <row r="42">
      <c r="A42" s="2" t="inlineStr">
        <is>
          <t>RRL.AX</t>
        </is>
      </c>
      <c r="B42" s="2" t="inlineStr">
        <is>
          <t>Regis Resources Ltd</t>
        </is>
      </c>
      <c r="C42" s="2" t="inlineStr">
        <is>
          <t>AUD</t>
        </is>
      </c>
      <c r="D42" s="10" t="n">
        <v>0.034884</v>
      </c>
      <c r="E42" s="10" t="n">
        <v>0.033126</v>
      </c>
      <c r="F42" s="10" t="n">
        <v>0.036866</v>
      </c>
      <c r="G42" s="10" t="n">
        <v>0.042781</v>
      </c>
      <c r="H42" s="10" t="n">
        <v>0.035152</v>
      </c>
      <c r="I42" s="10" t="n">
        <v>0.009709000000000001</v>
      </c>
      <c r="J42" s="10" t="n">
        <v>0</v>
      </c>
      <c r="K42" s="10" t="n">
        <v>0</v>
      </c>
      <c r="L42" s="10" t="n">
        <v>0.006623</v>
      </c>
      <c r="M42" s="10" t="n">
        <v>0.045337</v>
      </c>
    </row>
    <row r="43">
      <c r="A43" s="2" t="inlineStr">
        <is>
          <t>RSG.AX</t>
        </is>
      </c>
      <c r="B43" s="2" t="inlineStr">
        <is>
          <t>Resolute Mining Ltd</t>
        </is>
      </c>
      <c r="C43" s="2" t="inlineStr">
        <is>
          <t>AUD</t>
        </is>
      </c>
      <c r="D43" s="10" t="n">
        <v>0.017544</v>
      </c>
      <c r="E43" s="10" t="n">
        <v>0.017316</v>
      </c>
      <c r="F43" s="10" t="n">
        <v>0</v>
      </c>
      <c r="G43" s="10" t="n">
        <v>0</v>
      </c>
      <c r="H43" s="10" t="n">
        <v>0</v>
      </c>
      <c r="I43" s="10" t="n">
        <v>0</v>
      </c>
      <c r="J43" s="10" t="n">
        <v>0</v>
      </c>
      <c r="K43" s="10" t="n">
        <v>0</v>
      </c>
      <c r="L43" s="10" t="n">
        <v>0</v>
      </c>
      <c r="M43" s="10" t="n">
        <v>0</v>
      </c>
    </row>
    <row r="44">
      <c r="A44" s="2" t="inlineStr">
        <is>
          <t>SBM.AX</t>
        </is>
      </c>
      <c r="B44" s="2" t="inlineStr">
        <is>
          <t>St Barbara Ltd</t>
        </is>
      </c>
      <c r="C44" s="2" t="inlineStr">
        <is>
          <t>AUD</t>
        </is>
      </c>
      <c r="D44" s="10" t="n">
        <v>0.036086</v>
      </c>
      <c r="E44" s="10" t="n">
        <v>0.058658</v>
      </c>
      <c r="F44" s="10" t="n">
        <v>0.06650399999999999</v>
      </c>
      <c r="G44" s="10" t="n">
        <v>0.077879</v>
      </c>
      <c r="H44" s="10" t="n">
        <v>0.094093</v>
      </c>
      <c r="I44" s="10" t="n">
        <v>0</v>
      </c>
      <c r="J44" s="10" t="n">
        <v>0</v>
      </c>
      <c r="K44" s="10" t="n">
        <v>0</v>
      </c>
      <c r="L44" s="10" t="n">
        <v>0</v>
      </c>
      <c r="M44" s="10" t="n">
        <v>0.060976</v>
      </c>
    </row>
    <row r="45">
      <c r="A45" s="2" t="inlineStr">
        <is>
          <t>SPA.V</t>
        </is>
      </c>
      <c r="B45" s="2" t="inlineStr">
        <is>
          <t>Spanish Mountain Gold Ltd</t>
        </is>
      </c>
      <c r="C45" s="2" t="inlineStr">
        <is>
          <t>CAD</t>
        </is>
      </c>
      <c r="D45" s="10" t="n">
        <v>0</v>
      </c>
      <c r="E45" s="10" t="n">
        <v>0</v>
      </c>
      <c r="F45" s="10" t="n">
        <v>0</v>
      </c>
      <c r="G45" s="10" t="n">
        <v>0</v>
      </c>
      <c r="H45" s="10" t="n">
        <v>0</v>
      </c>
      <c r="I45" s="10" t="n">
        <v>0</v>
      </c>
      <c r="J45" s="10" t="n">
        <v>0</v>
      </c>
      <c r="K45" s="10" t="n">
        <v>0</v>
      </c>
      <c r="L45" s="10" t="n">
        <v>0</v>
      </c>
      <c r="M45" s="10" t="n">
        <v>0</v>
      </c>
    </row>
    <row r="46">
      <c r="A46" s="2" t="inlineStr">
        <is>
          <t>SSRM</t>
        </is>
      </c>
      <c r="B46" s="2" t="inlineStr">
        <is>
          <t>SSR Mining Inc</t>
        </is>
      </c>
      <c r="C46" s="2" t="inlineStr">
        <is>
          <t>USD</t>
        </is>
      </c>
      <c r="D46" s="10" t="n">
        <v>0</v>
      </c>
      <c r="E46" s="10" t="n">
        <v>0</v>
      </c>
      <c r="F46" s="10" t="n">
        <v>0</v>
      </c>
      <c r="G46" s="10" t="n">
        <v>0</v>
      </c>
      <c r="H46" s="10" t="n">
        <v>0.011299</v>
      </c>
      <c r="I46" s="10" t="n">
        <v>0.017869</v>
      </c>
      <c r="J46" s="10" t="n">
        <v>0.026022</v>
      </c>
      <c r="K46" s="10" t="n">
        <v>0</v>
      </c>
      <c r="L46" s="10" t="n">
        <v>0</v>
      </c>
      <c r="M46" s="10" t="n">
        <v>0.000841</v>
      </c>
    </row>
    <row r="47">
      <c r="A47" s="2" t="inlineStr">
        <is>
          <t>STLR.TO</t>
        </is>
      </c>
      <c r="B47" s="2" t="inlineStr">
        <is>
          <t>STLLR Gold Inc</t>
        </is>
      </c>
      <c r="C47" s="2" t="inlineStr">
        <is>
          <t>CAD</t>
        </is>
      </c>
      <c r="D47" s="10" t="n">
        <v>0</v>
      </c>
      <c r="E47" s="10" t="n">
        <v>0</v>
      </c>
      <c r="F47" s="10" t="n">
        <v>0</v>
      </c>
      <c r="G47" s="10" t="n">
        <v>0</v>
      </c>
      <c r="H47" s="10" t="n">
        <v>0</v>
      </c>
      <c r="I47" s="10" t="n">
        <v>0</v>
      </c>
      <c r="J47" s="10" t="n">
        <v>0</v>
      </c>
      <c r="K47" s="10" t="n">
        <v>0</v>
      </c>
      <c r="L47" s="10" t="n">
        <v>0</v>
      </c>
      <c r="M47" s="10" t="n">
        <v>0</v>
      </c>
    </row>
    <row r="48">
      <c r="A48" s="2" t="inlineStr">
        <is>
          <t>TSK.TO</t>
        </is>
      </c>
      <c r="B48" s="2" t="inlineStr">
        <is>
          <t>Talisker Resources Ltd</t>
        </is>
      </c>
      <c r="C48" s="2" t="inlineStr">
        <is>
          <t>CAD</t>
        </is>
      </c>
      <c r="E48" s="10" t="n">
        <v>0</v>
      </c>
      <c r="F48" s="10" t="n">
        <v>0</v>
      </c>
      <c r="G48" s="10" t="n">
        <v>0</v>
      </c>
      <c r="H48" s="10" t="n">
        <v>0</v>
      </c>
      <c r="I48" s="10" t="n">
        <v>0</v>
      </c>
      <c r="J48" s="10" t="n">
        <v>0</v>
      </c>
      <c r="K48" s="10" t="n">
        <v>0</v>
      </c>
      <c r="L48" s="10" t="n">
        <v>0</v>
      </c>
      <c r="M48" s="10" t="n">
        <v>0</v>
      </c>
    </row>
    <row r="49">
      <c r="A49" s="2" t="inlineStr">
        <is>
          <t>VAU.AX</t>
        </is>
      </c>
      <c r="B49" s="2" t="inlineStr">
        <is>
          <t>Vault Minerals Ltd</t>
        </is>
      </c>
      <c r="C49" s="2" t="inlineStr">
        <is>
          <t>AUD</t>
        </is>
      </c>
      <c r="D49" s="10" t="n">
        <v>0</v>
      </c>
      <c r="E49" s="10" t="n">
        <v>0</v>
      </c>
      <c r="F49" s="10" t="n">
        <v>0</v>
      </c>
      <c r="G49" s="10" t="n">
        <v>0</v>
      </c>
      <c r="H49" s="10" t="n">
        <v>0</v>
      </c>
      <c r="I49" s="10" t="n">
        <v>0</v>
      </c>
      <c r="J49" s="10" t="n">
        <v>0</v>
      </c>
      <c r="K49" s="10" t="n">
        <v>0</v>
      </c>
      <c r="L49" s="10" t="n">
        <v>0</v>
      </c>
      <c r="M49" s="10" t="n">
        <v>0.011024</v>
      </c>
    </row>
    <row r="50">
      <c r="A50" s="2" t="inlineStr">
        <is>
          <t>WAF.AX</t>
        </is>
      </c>
      <c r="B50" s="2" t="inlineStr">
        <is>
          <t>West African Resources Ltd</t>
        </is>
      </c>
      <c r="C50" s="2" t="inlineStr">
        <is>
          <t>AUD</t>
        </is>
      </c>
      <c r="D50" s="10" t="n">
        <v>0</v>
      </c>
      <c r="E50" s="10" t="n">
        <v>0</v>
      </c>
      <c r="F50" s="10" t="n">
        <v>0</v>
      </c>
      <c r="G50" s="10" t="n">
        <v>0</v>
      </c>
      <c r="H50" s="10" t="n">
        <v>0</v>
      </c>
      <c r="I50" s="10" t="n">
        <v>0</v>
      </c>
      <c r="J50" s="10" t="n">
        <v>0</v>
      </c>
      <c r="K50" s="10" t="n">
        <v>0</v>
      </c>
      <c r="L50" s="10" t="n">
        <v>0</v>
      </c>
      <c r="M50" s="10" t="n">
        <v>0.056818</v>
      </c>
    </row>
    <row r="51">
      <c r="A51" s="2" t="inlineStr">
        <is>
          <t>WDO.TO</t>
        </is>
      </c>
      <c r="B51" s="2" t="inlineStr">
        <is>
          <t>Wesdome Gold Mines Ltd</t>
        </is>
      </c>
      <c r="C51" s="2" t="inlineStr">
        <is>
          <t>CAD</t>
        </is>
      </c>
      <c r="D51" s="10" t="n">
        <v>0</v>
      </c>
      <c r="E51" s="10" t="n">
        <v>0</v>
      </c>
      <c r="F51" s="10" t="n">
        <v>0</v>
      </c>
      <c r="G51" s="10" t="n">
        <v>0</v>
      </c>
      <c r="H51" s="10" t="n">
        <v>0</v>
      </c>
      <c r="I51" s="10" t="n">
        <v>0</v>
      </c>
      <c r="J51" s="10" t="n">
        <v>0</v>
      </c>
      <c r="K51" s="10" t="n">
        <v>0</v>
      </c>
      <c r="L51" s="10" t="n">
        <v>0</v>
      </c>
      <c r="M51" s="10" t="n">
        <v>0.000847</v>
      </c>
    </row>
    <row r="52">
      <c r="A52" s="2" t="inlineStr">
        <is>
          <t>WGX.AX</t>
        </is>
      </c>
      <c r="B52" s="2" t="inlineStr">
        <is>
          <t>Westgold Resources Ltd</t>
        </is>
      </c>
      <c r="C52" s="2" t="inlineStr">
        <is>
          <t>AUD</t>
        </is>
      </c>
      <c r="D52" s="10" t="n">
        <v>0</v>
      </c>
      <c r="E52" s="10" t="n">
        <v>0</v>
      </c>
      <c r="F52" s="10" t="n">
        <v>0</v>
      </c>
      <c r="G52" s="10" t="n">
        <v>0</v>
      </c>
      <c r="H52" s="10" t="n">
        <v>0.009804</v>
      </c>
      <c r="I52" s="10" t="n">
        <v>0</v>
      </c>
      <c r="J52" s="10" t="n">
        <v>0</v>
      </c>
      <c r="K52" s="10" t="n">
        <v>0.007951</v>
      </c>
      <c r="L52" s="10" t="n">
        <v>0.004658</v>
      </c>
      <c r="M52" s="10" t="n">
        <v>0.018315</v>
      </c>
    </row>
    <row r="53">
      <c r="A53" s="2" t="inlineStr">
        <is>
          <t>WMC.AX</t>
        </is>
      </c>
      <c r="B53" s="2" t="inlineStr">
        <is>
          <t>Wiluna Mining Corp Ltd (formerly Blackham Resources)</t>
        </is>
      </c>
      <c r="C53" s="2" t="inlineStr">
        <is>
          <t>AUD</t>
        </is>
      </c>
    </row>
    <row r="54"/>
    <row r="55">
      <c r="A55" s="2" t="inlineStr">
        <is>
          <t>Dividends paid during the year / year-end close.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cols>
    <col width="10" customWidth="1" min="1" max="1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</cols>
  <sheetData>
    <row r="1">
      <c r="A1" s="1" t="inlineStr">
        <is>
          <t>currency</t>
        </is>
      </c>
      <c r="B1" s="1" t="inlineStr">
        <is>
          <t>2017</t>
        </is>
      </c>
      <c r="C1" s="1" t="inlineStr">
        <is>
          <t>2018</t>
        </is>
      </c>
      <c r="D1" s="1" t="inlineStr">
        <is>
          <t>2019</t>
        </is>
      </c>
      <c r="E1" s="1" t="inlineStr">
        <is>
          <t>2020</t>
        </is>
      </c>
      <c r="F1" s="1" t="inlineStr">
        <is>
          <t>2021</t>
        </is>
      </c>
      <c r="G1" s="1" t="inlineStr">
        <is>
          <t>2022</t>
        </is>
      </c>
      <c r="H1" s="1" t="inlineStr">
        <is>
          <t>2023</t>
        </is>
      </c>
      <c r="I1" s="1" t="inlineStr">
        <is>
          <t>2024</t>
        </is>
      </c>
      <c r="J1" s="1" t="inlineStr">
        <is>
          <t>2025</t>
        </is>
      </c>
      <c r="K1" s="1" t="inlineStr">
        <is>
          <t>2026</t>
        </is>
      </c>
    </row>
    <row r="2">
      <c r="A2" t="inlineStr">
        <is>
          <t>USD</t>
        </is>
      </c>
      <c r="B2" s="11" t="n">
        <v>0.0189</v>
      </c>
      <c r="C2" s="11" t="n">
        <v>0.0249</v>
      </c>
      <c r="D2" s="11" t="n">
        <v>0.0158</v>
      </c>
      <c r="E2" s="11" t="n">
        <v>0.0013</v>
      </c>
      <c r="F2" s="11" t="n">
        <v>0.0073</v>
      </c>
      <c r="G2" s="11" t="n">
        <v>0.0443</v>
      </c>
      <c r="H2" s="11" t="n">
        <v>0.0425</v>
      </c>
      <c r="I2" s="11" t="n">
        <v>0.0424</v>
      </c>
      <c r="J2" s="11" t="n">
        <v>0.0348</v>
      </c>
      <c r="K2" s="11" t="n">
        <v>0.0348</v>
      </c>
    </row>
    <row r="3">
      <c r="A3" t="inlineStr">
        <is>
          <t>CAD</t>
        </is>
      </c>
      <c r="B3" s="11" t="n">
        <v>0.0169</v>
      </c>
      <c r="C3" s="11" t="n">
        <v>0.0186</v>
      </c>
      <c r="D3" s="11" t="n">
        <v>0.017</v>
      </c>
      <c r="E3" s="11" t="n">
        <v>0.002</v>
      </c>
      <c r="F3" s="11" t="n">
        <v>0.0095</v>
      </c>
      <c r="G3" s="11" t="n">
        <v>0.0405</v>
      </c>
      <c r="H3" s="11" t="n">
        <v>0.0388</v>
      </c>
      <c r="I3" s="11" t="n">
        <v>0.0293</v>
      </c>
      <c r="J3" s="11" t="n">
        <v>0.026</v>
      </c>
      <c r="K3" s="11" t="n">
        <v>0.026</v>
      </c>
    </row>
    <row r="4">
      <c r="A4" t="inlineStr">
        <is>
          <t>AUD</t>
        </is>
      </c>
      <c r="B4" s="11" t="n">
        <v>0.02</v>
      </c>
      <c r="C4" s="11" t="n">
        <v>0.019</v>
      </c>
      <c r="D4" s="11" t="n">
        <v>0.009000000000000001</v>
      </c>
      <c r="E4" s="11" t="n">
        <v>0.001</v>
      </c>
      <c r="F4" s="11" t="n">
        <v>0.006</v>
      </c>
      <c r="G4" s="11" t="n">
        <v>0.035</v>
      </c>
      <c r="H4" s="11" t="n">
        <v>0.03700000000000001</v>
      </c>
      <c r="I4" s="11" t="n">
        <v>0.0385</v>
      </c>
      <c r="J4" s="11" t="n">
        <v>0.039</v>
      </c>
      <c r="K4" s="11" t="n">
        <v>0.039</v>
      </c>
    </row>
    <row r="5">
      <c r="A5" t="inlineStr">
        <is>
          <t>GBP</t>
        </is>
      </c>
      <c r="B5" s="11" t="n">
        <v>0.004500000000000001</v>
      </c>
      <c r="C5" s="11" t="n">
        <v>0.0075</v>
      </c>
      <c r="D5" s="11" t="n">
        <v>0.005500000000000001</v>
      </c>
      <c r="E5" s="11" t="n">
        <v>-0.0015</v>
      </c>
      <c r="F5" s="11" t="n">
        <v>0.006999999999999999</v>
      </c>
      <c r="G5" s="11" t="n">
        <v>0.036</v>
      </c>
      <c r="H5" s="11" t="n">
        <v>0.04</v>
      </c>
      <c r="I5" s="11" t="n">
        <v>0.044</v>
      </c>
      <c r="J5" s="11" t="n">
        <v>0.0375</v>
      </c>
      <c r="K5" s="11" t="n">
        <v>0.0375</v>
      </c>
    </row>
    <row r="6">
      <c r="A6" t="inlineStr">
        <is>
          <t>MXN</t>
        </is>
      </c>
      <c r="B6" s="11" t="n">
        <v>0.076</v>
      </c>
      <c r="C6" s="11" t="n">
        <v>0.08599999999999999</v>
      </c>
      <c r="D6" s="11" t="n">
        <v>0.06900000000000001</v>
      </c>
      <c r="E6" s="11" t="n">
        <v>0.043</v>
      </c>
      <c r="F6" s="11" t="n">
        <v>0.07200000000000001</v>
      </c>
      <c r="G6" s="11" t="n">
        <v>0.105</v>
      </c>
      <c r="H6" s="11" t="n">
        <v>0.103</v>
      </c>
      <c r="I6" s="11" t="n">
        <v>0.099</v>
      </c>
      <c r="J6" s="11" t="n">
        <v>0.073</v>
      </c>
      <c r="K6" s="11" t="n">
        <v>0.073</v>
      </c>
    </row>
    <row r="7">
      <c r="A7" t="inlineStr">
        <is>
          <t>BRL</t>
        </is>
      </c>
      <c r="B7" s="11" t="n">
        <v>0.075</v>
      </c>
      <c r="C7" s="11" t="n">
        <v>0.07200000000000001</v>
      </c>
      <c r="D7" s="11" t="n">
        <v>0.053</v>
      </c>
      <c r="E7" s="11" t="n">
        <v>0.043</v>
      </c>
      <c r="F7" s="11" t="n">
        <v>0.113</v>
      </c>
      <c r="G7" s="11" t="n">
        <v>0.134</v>
      </c>
      <c r="H7" s="11" t="n">
        <v>0.103</v>
      </c>
      <c r="I7" s="11" t="n">
        <v>0.154</v>
      </c>
      <c r="J7" s="11" t="n">
        <v>0.139</v>
      </c>
      <c r="K7" s="11" t="n">
        <v>0.139</v>
      </c>
    </row>
    <row r="8">
      <c r="A8" t="inlineStr">
        <is>
          <t>SAR</t>
        </is>
      </c>
      <c r="B8" s="11" t="n">
        <v>0.02</v>
      </c>
      <c r="C8" s="11" t="n">
        <v>0.029</v>
      </c>
      <c r="D8" s="11" t="n">
        <v>0.023</v>
      </c>
      <c r="E8" s="11" t="n">
        <v>0.009000000000000001</v>
      </c>
      <c r="F8" s="11" t="n">
        <v>0.012</v>
      </c>
      <c r="G8" s="11" t="n">
        <v>0.05</v>
      </c>
      <c r="H8" s="11" t="n">
        <v>0.05400000000000001</v>
      </c>
      <c r="I8" s="11" t="n">
        <v>0.052</v>
      </c>
      <c r="J8" s="11" t="n">
        <v>0.046</v>
      </c>
      <c r="K8" s="11" t="n">
        <v>0.046</v>
      </c>
    </row>
    <row r="9">
      <c r="A9" t="inlineStr">
        <is>
          <t>HKD</t>
        </is>
      </c>
      <c r="B9" s="11" t="n">
        <v>0.013</v>
      </c>
      <c r="C9" s="11" t="n">
        <v>0.018</v>
      </c>
      <c r="D9" s="11" t="n">
        <v>0.017</v>
      </c>
      <c r="E9" s="11" t="n">
        <v>0.002</v>
      </c>
      <c r="F9" s="11" t="n">
        <v>0.006</v>
      </c>
      <c r="G9" s="11" t="n">
        <v>0.04</v>
      </c>
      <c r="H9" s="11" t="n">
        <v>0.036</v>
      </c>
      <c r="I9" s="11" t="n">
        <v>0.034</v>
      </c>
      <c r="J9" s="11" t="n">
        <v>0.026</v>
      </c>
      <c r="K9" s="11" t="n">
        <v>0.026</v>
      </c>
    </row>
    <row r="10">
      <c r="A10" t="inlineStr">
        <is>
          <t>CNY</t>
        </is>
      </c>
      <c r="B10" s="11" t="n">
        <v>0.035</v>
      </c>
      <c r="C10" s="11" t="n">
        <v>0.027</v>
      </c>
      <c r="D10" s="11" t="n">
        <v>0.026</v>
      </c>
      <c r="E10" s="11" t="n">
        <v>0.027</v>
      </c>
      <c r="F10" s="11" t="n">
        <v>0.023</v>
      </c>
      <c r="G10" s="11" t="n">
        <v>0.023</v>
      </c>
      <c r="H10" s="11" t="n">
        <v>0.022</v>
      </c>
      <c r="I10" s="11" t="n">
        <v>0.011</v>
      </c>
      <c r="J10" s="11" t="n">
        <v>0.014</v>
      </c>
      <c r="K10" s="11" t="n">
        <v>0.014</v>
      </c>
    </row>
    <row r="11">
      <c r="A11" t="inlineStr">
        <is>
          <t>IDR</t>
        </is>
      </c>
      <c r="B11" s="11" t="n">
        <v>0.058</v>
      </c>
      <c r="C11" s="11" t="n">
        <v>0.077</v>
      </c>
      <c r="D11" s="11" t="n">
        <v>0.057</v>
      </c>
      <c r="E11" s="11" t="n">
        <v>0.04099999999999999</v>
      </c>
      <c r="F11" s="11" t="n">
        <v>0.039</v>
      </c>
      <c r="G11" s="11" t="n">
        <v>0.059</v>
      </c>
      <c r="H11" s="11" t="n">
        <v>0.064</v>
      </c>
      <c r="I11" s="11" t="n">
        <v>0.06900000000000001</v>
      </c>
      <c r="J11" s="11" t="n">
        <v>0.05</v>
      </c>
      <c r="K11" s="11" t="n">
        <v>0.05</v>
      </c>
    </row>
    <row r="12">
      <c r="A12" t="inlineStr">
        <is>
          <t>ZAR</t>
        </is>
      </c>
      <c r="B12" s="11" t="n">
        <v>0.07000000000000001</v>
      </c>
      <c r="C12" s="11" t="n">
        <v>0.073</v>
      </c>
      <c r="D12" s="11" t="n">
        <v>0.06900000000000001</v>
      </c>
      <c r="E12" s="11" t="n">
        <v>0.045</v>
      </c>
      <c r="F12" s="11" t="n">
        <v>0.05599999999999999</v>
      </c>
      <c r="G12" s="11" t="n">
        <v>0.08</v>
      </c>
      <c r="H12" s="11" t="n">
        <v>0.08199999999999999</v>
      </c>
      <c r="I12" s="11" t="n">
        <v>0.076</v>
      </c>
      <c r="J12" s="11" t="n">
        <v>0.07000000000000001</v>
      </c>
      <c r="K12" s="11" t="n">
        <v>0.07000000000000001</v>
      </c>
    </row>
    <row r="13">
      <c r="A13" t="inlineStr">
        <is>
          <t>SEK</t>
        </is>
      </c>
      <c r="B13" s="11" t="n">
        <v>-0.006</v>
      </c>
      <c r="C13" s="11" t="n">
        <v>-0.005</v>
      </c>
      <c r="D13" s="11" t="n">
        <v>-0.003</v>
      </c>
      <c r="E13" s="11" t="n">
        <v>-0.003</v>
      </c>
      <c r="F13" s="11" t="n">
        <v>0.003</v>
      </c>
      <c r="G13" s="11" t="n">
        <v>0.027</v>
      </c>
      <c r="H13" s="11" t="n">
        <v>0.029</v>
      </c>
      <c r="I13" s="11" t="n">
        <v>0.02</v>
      </c>
      <c r="J13" s="11" t="n">
        <v>0.019</v>
      </c>
      <c r="K13" s="11" t="n">
        <v>0.019</v>
      </c>
    </row>
    <row r="14">
      <c r="A14" t="inlineStr">
        <is>
          <t>EUR</t>
        </is>
      </c>
      <c r="B14" s="11" t="n">
        <v>-0.006</v>
      </c>
      <c r="C14" s="11" t="n">
        <v>-0.006</v>
      </c>
      <c r="D14" s="11" t="n">
        <v>-0.006</v>
      </c>
      <c r="E14" s="11" t="n">
        <v>-0.006999999999999999</v>
      </c>
      <c r="F14" s="11" t="n">
        <v>-0.006</v>
      </c>
      <c r="G14" s="11" t="n">
        <v>0.0275</v>
      </c>
      <c r="H14" s="11" t="n">
        <v>0.024</v>
      </c>
      <c r="I14" s="11" t="n">
        <v>0.021</v>
      </c>
      <c r="J14" s="11" t="n">
        <v>0.021</v>
      </c>
      <c r="K14" s="11" t="n">
        <v>0.021</v>
      </c>
    </row>
    <row r="15"/>
    <row r="16">
      <c r="A16" s="2" t="inlineStr">
        <is>
          <t>Approximate year-end 2-year government bond yields (SAR: interbank proxy). Entered from memory, not from a data source: replace with exact figures if needed. 2026 repeats 2025.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1">
      <c r="A1" s="1" t="inlineStr">
        <is>
          <t>currency</t>
        </is>
      </c>
      <c r="B1" s="1" t="inlineStr">
        <is>
          <t>2017</t>
        </is>
      </c>
      <c r="C1" s="1" t="inlineStr">
        <is>
          <t>2018</t>
        </is>
      </c>
      <c r="D1" s="1" t="inlineStr">
        <is>
          <t>2019</t>
        </is>
      </c>
      <c r="E1" s="1" t="inlineStr">
        <is>
          <t>2020</t>
        </is>
      </c>
      <c r="F1" s="1" t="inlineStr">
        <is>
          <t>2021</t>
        </is>
      </c>
      <c r="G1" s="1" t="inlineStr">
        <is>
          <t>2022</t>
        </is>
      </c>
      <c r="H1" s="1" t="inlineStr">
        <is>
          <t>2023</t>
        </is>
      </c>
      <c r="I1" s="1" t="inlineStr">
        <is>
          <t>2024</t>
        </is>
      </c>
      <c r="J1" s="1" t="inlineStr">
        <is>
          <t>2025</t>
        </is>
      </c>
      <c r="K1" s="1" t="inlineStr">
        <is>
          <t>2026</t>
        </is>
      </c>
    </row>
    <row r="2">
      <c r="A2" t="inlineStr">
        <is>
          <t>USD</t>
        </is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</row>
    <row r="3">
      <c r="A3" t="inlineStr">
        <is>
          <t>CAD</t>
        </is>
      </c>
      <c r="B3" t="n">
        <v>1.25655</v>
      </c>
      <c r="C3" t="n">
        <v>1.3622</v>
      </c>
      <c r="D3" t="n">
        <v>1.30606</v>
      </c>
      <c r="E3" t="n">
        <v>1.27507</v>
      </c>
      <c r="F3" t="n">
        <v>1.27444</v>
      </c>
      <c r="G3" t="n">
        <v>1.3552</v>
      </c>
      <c r="H3" t="n">
        <v>1.32296</v>
      </c>
      <c r="I3" t="n">
        <v>1.43498</v>
      </c>
      <c r="J3" t="n">
        <v>1.36947</v>
      </c>
      <c r="K3" t="n">
        <v>1.41485</v>
      </c>
    </row>
    <row r="4">
      <c r="A4" t="inlineStr">
        <is>
          <t>AUD</t>
        </is>
      </c>
      <c r="B4" t="n">
        <v>1.28299</v>
      </c>
      <c r="C4" t="n">
        <v>1.4195</v>
      </c>
      <c r="D4" t="n">
        <v>1.428286</v>
      </c>
      <c r="E4" t="n">
        <v>1.30051</v>
      </c>
      <c r="F4" t="n">
        <v>1.379348</v>
      </c>
      <c r="G4" t="n">
        <v>1.477978</v>
      </c>
      <c r="H4" t="n">
        <v>1.464922</v>
      </c>
      <c r="I4" t="n">
        <v>1.607717</v>
      </c>
      <c r="J4" t="n">
        <v>1.492983</v>
      </c>
      <c r="K4" t="n">
        <v>1.4244</v>
      </c>
    </row>
    <row r="5">
      <c r="A5" t="inlineStr">
        <is>
          <t>GBP</t>
        </is>
      </c>
      <c r="B5" t="n">
        <v>0.744</v>
      </c>
      <c r="C5" t="n">
        <v>0.7877999999999999</v>
      </c>
      <c r="D5" t="n">
        <v>0.7625999999999999</v>
      </c>
      <c r="E5" t="n">
        <v>0.73364</v>
      </c>
      <c r="F5" t="n">
        <v>0.74083</v>
      </c>
      <c r="G5" t="n">
        <v>0.82944</v>
      </c>
      <c r="H5" t="n">
        <v>0.7853</v>
      </c>
      <c r="I5" t="n">
        <v>0.79687</v>
      </c>
      <c r="J5" t="n">
        <v>0.742545</v>
      </c>
      <c r="K5" t="n">
        <v>0.75564</v>
      </c>
    </row>
    <row r="6">
      <c r="A6" t="inlineStr">
        <is>
          <t>MXN</t>
        </is>
      </c>
      <c r="B6" t="n">
        <v>19.65539</v>
      </c>
      <c r="C6" t="n">
        <v>19.64537</v>
      </c>
      <c r="D6" t="n">
        <v>18.9177</v>
      </c>
      <c r="E6" t="n">
        <v>19.8909</v>
      </c>
      <c r="F6" t="n">
        <v>20.459101</v>
      </c>
      <c r="G6" t="n">
        <v>19.4576</v>
      </c>
      <c r="H6" t="n">
        <v>16.9512</v>
      </c>
      <c r="I6" t="n">
        <v>20.6322</v>
      </c>
      <c r="J6" t="n">
        <v>17.9788</v>
      </c>
      <c r="K6" t="n">
        <v>17.699221</v>
      </c>
    </row>
    <row r="7">
      <c r="A7" t="inlineStr">
        <is>
          <t>BRL</t>
        </is>
      </c>
      <c r="B7" t="n">
        <v>3.3111</v>
      </c>
      <c r="C7" t="n">
        <v>3.8742</v>
      </c>
      <c r="D7" t="n">
        <v>4.015711</v>
      </c>
      <c r="E7" t="n">
        <v>5.190839</v>
      </c>
      <c r="F7" t="n">
        <v>5.5702</v>
      </c>
      <c r="G7" t="n">
        <v>5.2846</v>
      </c>
      <c r="H7" t="n">
        <v>4.8502</v>
      </c>
      <c r="I7" t="n">
        <v>6.1779</v>
      </c>
      <c r="J7" t="n">
        <v>5.4762</v>
      </c>
      <c r="K7" t="n">
        <v>5.1842</v>
      </c>
    </row>
    <row r="8">
      <c r="A8" t="inlineStr">
        <is>
          <t>SAR</t>
        </is>
      </c>
      <c r="B8" t="n">
        <v>3.7456</v>
      </c>
      <c r="C8" t="n">
        <v>3.7515</v>
      </c>
      <c r="D8" t="n">
        <v>3.74836</v>
      </c>
      <c r="E8" t="n">
        <v>3.747706</v>
      </c>
      <c r="F8" t="n">
        <v>3.749972</v>
      </c>
      <c r="G8" t="n">
        <v>3.754942</v>
      </c>
      <c r="H8" t="n">
        <v>3.745219</v>
      </c>
      <c r="I8" t="n">
        <v>3.751983</v>
      </c>
      <c r="J8" t="n">
        <v>3.7479</v>
      </c>
      <c r="K8" t="n">
        <v>3.7543</v>
      </c>
    </row>
    <row r="9">
      <c r="A9" t="inlineStr">
        <is>
          <t>HKD</t>
        </is>
      </c>
      <c r="B9" t="n">
        <v>7.8168</v>
      </c>
      <c r="C9" t="n">
        <v>7.8309</v>
      </c>
      <c r="D9" t="n">
        <v>7.7881</v>
      </c>
      <c r="E9" t="n">
        <v>7.75218</v>
      </c>
      <c r="F9" t="n">
        <v>7.79756</v>
      </c>
      <c r="G9" t="n">
        <v>7.7944</v>
      </c>
      <c r="H9" t="n">
        <v>7.8118</v>
      </c>
      <c r="I9" t="n">
        <v>7.7635</v>
      </c>
      <c r="J9" t="n">
        <v>7.78066</v>
      </c>
      <c r="K9" t="n">
        <v>7.84372</v>
      </c>
    </row>
    <row r="10">
      <c r="A10" t="inlineStr">
        <is>
          <t>CNY</t>
        </is>
      </c>
      <c r="B10" t="n">
        <v>6.5316</v>
      </c>
      <c r="C10" t="n">
        <v>6.8772</v>
      </c>
      <c r="D10" t="n">
        <v>6.9857</v>
      </c>
      <c r="E10" t="n">
        <v>6.5222</v>
      </c>
      <c r="F10" t="n">
        <v>6.3721</v>
      </c>
      <c r="G10" t="n">
        <v>6.9631</v>
      </c>
      <c r="H10" t="n">
        <v>7.107</v>
      </c>
      <c r="I10" t="n">
        <v>7.2981</v>
      </c>
      <c r="J10" t="n">
        <v>6.9961</v>
      </c>
      <c r="K10" t="n">
        <v>6.7037</v>
      </c>
    </row>
    <row r="11">
      <c r="A11" t="inlineStr">
        <is>
          <t>IDR</t>
        </is>
      </c>
      <c r="B11" t="n">
        <v>13558</v>
      </c>
      <c r="C11" t="n">
        <v>14553</v>
      </c>
      <c r="D11" t="n">
        <v>13919</v>
      </c>
      <c r="E11" t="n">
        <v>13832.55957</v>
      </c>
      <c r="F11" t="n">
        <v>14285.200195</v>
      </c>
      <c r="G11" t="n">
        <v>15620</v>
      </c>
      <c r="H11" t="n">
        <v>15425</v>
      </c>
      <c r="I11" t="n">
        <v>16085.599609</v>
      </c>
      <c r="J11" t="n">
        <v>16709</v>
      </c>
      <c r="K11" t="n">
        <v>17912</v>
      </c>
    </row>
    <row r="12">
      <c r="A12" t="inlineStr">
        <is>
          <t>ZAR</t>
        </is>
      </c>
      <c r="B12" t="n">
        <v>12.3955</v>
      </c>
      <c r="C12" t="n">
        <v>14.4153</v>
      </c>
      <c r="D12" t="n">
        <v>14.09859</v>
      </c>
      <c r="E12" t="n">
        <v>14.6413</v>
      </c>
      <c r="F12" t="n">
        <v>15.8891</v>
      </c>
      <c r="G12" t="n">
        <v>16.920601</v>
      </c>
      <c r="H12" t="n">
        <v>18.567301</v>
      </c>
      <c r="I12" t="n">
        <v>18.7649</v>
      </c>
      <c r="J12" t="n">
        <v>16.58547</v>
      </c>
      <c r="K12" t="n">
        <v>16.290001</v>
      </c>
    </row>
    <row r="13">
      <c r="A13" t="inlineStr">
        <is>
          <t>SEK</t>
        </is>
      </c>
      <c r="B13" t="n">
        <v>8.24572</v>
      </c>
      <c r="C13" t="n">
        <v>8.9801</v>
      </c>
      <c r="D13" t="n">
        <v>9.34468</v>
      </c>
      <c r="E13" t="n">
        <v>8.18877</v>
      </c>
      <c r="F13" t="n">
        <v>9.046810000000001</v>
      </c>
      <c r="G13" t="n">
        <v>10.4522</v>
      </c>
      <c r="H13" t="n">
        <v>9.97109</v>
      </c>
      <c r="I13" t="n">
        <v>11.02383</v>
      </c>
      <c r="J13" t="n">
        <v>9.194739999999999</v>
      </c>
      <c r="K13" t="n">
        <v>9.907859999999999</v>
      </c>
    </row>
    <row r="14">
      <c r="A14" t="inlineStr">
        <is>
          <t>EUR</t>
        </is>
      </c>
      <c r="B14" t="n">
        <v>0.8374</v>
      </c>
      <c r="C14" t="n">
        <v>0.87413</v>
      </c>
      <c r="D14" t="n">
        <v>0.892674</v>
      </c>
      <c r="E14" t="n">
        <v>0.813015</v>
      </c>
      <c r="F14" t="n">
        <v>0.883</v>
      </c>
      <c r="G14" t="n">
        <v>0.93802</v>
      </c>
      <c r="H14" t="n">
        <v>0.90349</v>
      </c>
      <c r="I14" t="n">
        <v>0.96097</v>
      </c>
      <c r="J14" t="n">
        <v>0.85126</v>
      </c>
      <c r="K14" t="n">
        <v>0.8782</v>
      </c>
    </row>
    <row r="15"/>
    <row r="16">
      <c r="A16" s="2" t="inlineStr">
        <is>
          <t>Units of currency per 1 USD at the last trading day of each year (2026: latest). Source: Yahoo Finance (CAD=X, GBP=X, ...).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1">
      <c r="A1" s="1" t="inlineStr">
        <is>
          <t>currency</t>
        </is>
      </c>
      <c r="B1" s="1" t="inlineStr">
        <is>
          <t>2017-&gt;2019</t>
        </is>
      </c>
      <c r="C1" s="1" t="inlineStr">
        <is>
          <t>2018-&gt;2020</t>
        </is>
      </c>
      <c r="D1" s="1" t="inlineStr">
        <is>
          <t>2019-&gt;2021</t>
        </is>
      </c>
      <c r="E1" s="1" t="inlineStr">
        <is>
          <t>2020-&gt;2022</t>
        </is>
      </c>
      <c r="F1" s="1" t="inlineStr">
        <is>
          <t>2021-&gt;2023</t>
        </is>
      </c>
      <c r="G1" s="1" t="inlineStr">
        <is>
          <t>2022-&gt;2024</t>
        </is>
      </c>
      <c r="H1" s="1" t="inlineStr">
        <is>
          <t>2023-&gt;2025</t>
        </is>
      </c>
      <c r="I1" s="1" t="inlineStr">
        <is>
          <t>2024-&gt;2026</t>
        </is>
      </c>
      <c r="J1" s="1" t="inlineStr">
        <is>
          <t>2025-&gt;2027</t>
        </is>
      </c>
      <c r="K1" s="1" t="inlineStr">
        <is>
          <t>2026-&gt;2028</t>
        </is>
      </c>
    </row>
    <row r="2">
      <c r="A2" t="inlineStr">
        <is>
          <t>USD</t>
        </is>
      </c>
      <c r="B2">
        <f>'FX year-end'!B2*EXP((INDEX('Rates 2y'!$B$2:$B$14,MATCH($A2,'Rates 2y'!$A$2:$A$14,0))-INDEX('Rates 2y'!$B$2:$B$14,MATCH("USD",'Rates 2y'!$A$2:$A$14,0)))*2)</f>
        <v>1.0</v>
      </c>
      <c r="C2">
        <f>'FX year-end'!C2*EXP((INDEX('Rates 2y'!$C$2:$C$14,MATCH($A2,'Rates 2y'!$A$2:$A$14,0))-INDEX('Rates 2y'!$C$2:$C$14,MATCH("USD",'Rates 2y'!$A$2:$A$14,0)))*2)</f>
        <v>1.0</v>
      </c>
      <c r="D2">
        <f>'FX year-end'!D2*EXP((INDEX('Rates 2y'!$D$2:$D$14,MATCH($A2,'Rates 2y'!$A$2:$A$14,0))-INDEX('Rates 2y'!$D$2:$D$14,MATCH("USD",'Rates 2y'!$A$2:$A$14,0)))*2)</f>
        <v>1.0</v>
      </c>
      <c r="E2">
        <f>'FX year-end'!E2*EXP((INDEX('Rates 2y'!$E$2:$E$14,MATCH($A2,'Rates 2y'!$A$2:$A$14,0))-INDEX('Rates 2y'!$E$2:$E$14,MATCH("USD",'Rates 2y'!$A$2:$A$14,0)))*2)</f>
        <v>1.0</v>
      </c>
      <c r="F2">
        <f>'FX year-end'!F2*EXP((INDEX('Rates 2y'!$F$2:$F$14,MATCH($A2,'Rates 2y'!$A$2:$A$14,0))-INDEX('Rates 2y'!$F$2:$F$14,MATCH("USD",'Rates 2y'!$A$2:$A$14,0)))*2)</f>
        <v>1.0</v>
      </c>
      <c r="G2">
        <f>'FX year-end'!G2*EXP((INDEX('Rates 2y'!$G$2:$G$14,MATCH($A2,'Rates 2y'!$A$2:$A$14,0))-INDEX('Rates 2y'!$G$2:$G$14,MATCH("USD",'Rates 2y'!$A$2:$A$14,0)))*2)</f>
        <v>1.0</v>
      </c>
      <c r="H2">
        <f>'FX year-end'!H2*EXP((INDEX('Rates 2y'!$H$2:$H$14,MATCH($A2,'Rates 2y'!$A$2:$A$14,0))-INDEX('Rates 2y'!$H$2:$H$14,MATCH("USD",'Rates 2y'!$A$2:$A$14,0)))*2)</f>
        <v>1.0</v>
      </c>
      <c r="I2">
        <f>'FX year-end'!I2*EXP((INDEX('Rates 2y'!$I$2:$I$14,MATCH($A2,'Rates 2y'!$A$2:$A$14,0))-INDEX('Rates 2y'!$I$2:$I$14,MATCH("USD",'Rates 2y'!$A$2:$A$14,0)))*2)</f>
        <v>1.0</v>
      </c>
      <c r="J2">
        <f>'FX year-end'!J2*EXP((INDEX('Rates 2y'!$J$2:$J$14,MATCH($A2,'Rates 2y'!$A$2:$A$14,0))-INDEX('Rates 2y'!$J$2:$J$14,MATCH("USD",'Rates 2y'!$A$2:$A$14,0)))*2)</f>
        <v>1.0</v>
      </c>
      <c r="K2">
        <f>'FX year-end'!K2*EXP((INDEX('Rates 2y'!$K$2:$K$14,MATCH($A2,'Rates 2y'!$A$2:$A$14,0))-INDEX('Rates 2y'!$K$2:$K$14,MATCH("USD",'Rates 2y'!$A$2:$A$14,0)))*2)</f>
        <v>1.0</v>
      </c>
    </row>
    <row r="3">
      <c r="A3" t="inlineStr">
        <is>
          <t>CAD</t>
        </is>
      </c>
      <c r="B3">
        <f>'FX year-end'!B3*EXP((INDEX('Rates 2y'!$B$2:$B$14,MATCH($A3,'Rates 2y'!$A$2:$A$14,0))-INDEX('Rates 2y'!$B$2:$B$14,MATCH("USD",'Rates 2y'!$A$2:$A$14,0)))*2)</f>
        <v>1.2515338390101927</v>
      </c>
      <c r="C3">
        <f>'FX year-end'!C3*EXP((INDEX('Rates 2y'!$C$2:$C$14,MATCH($A3,'Rates 2y'!$A$2:$A$14,0))-INDEX('Rates 2y'!$C$2:$C$14,MATCH("USD",'Rates 2y'!$A$2:$A$14,0)))*2)</f>
        <v>1.3451439587109504</v>
      </c>
      <c r="D3">
        <f>'FX year-end'!D3*EXP((INDEX('Rates 2y'!$D$2:$D$14,MATCH($A3,'Rates 2y'!$A$2:$A$14,0))-INDEX('Rates 2y'!$D$2:$D$14,MATCH("USD",'Rates 2y'!$A$2:$A$14,0)))*2)</f>
        <v>1.3091983084637686</v>
      </c>
      <c r="E3">
        <f>'FX year-end'!E3*EXP((INDEX('Rates 2y'!$E$2:$E$14,MATCH($A3,'Rates 2y'!$A$2:$A$14,0))-INDEX('Rates 2y'!$E$2:$E$14,MATCH("USD",'Rates 2y'!$A$2:$A$14,0)))*2)</f>
        <v>1.2768563481519362</v>
      </c>
      <c r="F3">
        <f>'FX year-end'!F3*EXP((INDEX('Rates 2y'!$F$2:$F$14,MATCH($A3,'Rates 2y'!$A$2:$A$14,0))-INDEX('Rates 2y'!$F$2:$F$14,MATCH("USD",'Rates 2y'!$A$2:$A$14,0)))*2)</f>
        <v>1.28005989069277</v>
      </c>
      <c r="G3">
        <f>'FX year-end'!G3*EXP((INDEX('Rates 2y'!$G$2:$G$14,MATCH($A3,'Rates 2y'!$A$2:$A$14,0))-INDEX('Rates 2y'!$G$2:$G$14,MATCH("USD",'Rates 2y'!$A$2:$A$14,0)))*2)</f>
        <v>1.3449395192140532</v>
      </c>
      <c r="H3">
        <f>'FX year-end'!H3*EXP((INDEX('Rates 2y'!$H$2:$H$14,MATCH($A3,'Rates 2y'!$A$2:$A$14,0))-INDEX('Rates 2y'!$H$2:$H$14,MATCH("USD",'Rates 2y'!$A$2:$A$14,0)))*2)</f>
        <v>1.3132062294606612</v>
      </c>
      <c r="I3">
        <f>'FX year-end'!I3*EXP((INDEX('Rates 2y'!$I$2:$I$14,MATCH($A3,'Rates 2y'!$A$2:$A$14,0))-INDEX('Rates 2y'!$I$2:$I$14,MATCH("USD",'Rates 2y'!$A$2:$A$14,0)))*2)</f>
        <v>1.3978717645745489</v>
      </c>
      <c r="J3">
        <f>'FX year-end'!J3*EXP((INDEX('Rates 2y'!$J$2:$J$14,MATCH($A3,'Rates 2y'!$A$2:$A$14,0))-INDEX('Rates 2y'!$J$2:$J$14,MATCH("USD",'Rates 2y'!$A$2:$A$14,0)))*2)</f>
        <v>1.3455781926288697</v>
      </c>
      <c r="K3">
        <f>'FX year-end'!K3*EXP((INDEX('Rates 2y'!$K$2:$K$14,MATCH($A3,'Rates 2y'!$A$2:$A$14,0))-INDEX('Rates 2y'!$K$2:$K$14,MATCH("USD",'Rates 2y'!$A$2:$A$14,0)))*2)</f>
        <v>1.3901664920304615</v>
      </c>
    </row>
    <row r="4">
      <c r="A4" t="inlineStr">
        <is>
          <t>AUD</t>
        </is>
      </c>
      <c r="B4">
        <f>'FX year-end'!B4*EXP((INDEX('Rates 2y'!$B$2:$B$14,MATCH($A4,'Rates 2y'!$A$2:$A$14,0))-INDEX('Rates 2y'!$B$2:$B$14,MATCH("USD",'Rates 2y'!$A$2:$A$14,0)))*2)</f>
        <v>1.2858156851139324</v>
      </c>
      <c r="C4">
        <f>'FX year-end'!C4*EXP((INDEX('Rates 2y'!$C$2:$C$14,MATCH($A4,'Rates 2y'!$A$2:$A$14,0))-INDEX('Rates 2y'!$C$2:$C$14,MATCH("USD",'Rates 2y'!$A$2:$A$14,0)))*2)</f>
        <v>1.402848338020018</v>
      </c>
      <c r="D4">
        <f>'FX year-end'!D4*EXP((INDEX('Rates 2y'!$D$2:$D$14,MATCH($A4,'Rates 2y'!$A$2:$A$14,0))-INDEX('Rates 2y'!$D$2:$D$14,MATCH("USD",'Rates 2y'!$A$2:$A$14,0)))*2)</f>
        <v>1.408992801521238</v>
      </c>
      <c r="E4">
        <f>'FX year-end'!E4*EXP((INDEX('Rates 2y'!$E$2:$E$14,MATCH($A4,'Rates 2y'!$A$2:$A$14,0))-INDEX('Rates 2y'!$E$2:$E$14,MATCH("USD",'Rates 2y'!$A$2:$A$14,0)))*2)</f>
        <v>1.2997299280449888</v>
      </c>
      <c r="F4">
        <f>'FX year-end'!F4*EXP((INDEX('Rates 2y'!$F$2:$F$14,MATCH($A4,'Rates 2y'!$A$2:$A$14,0))-INDEX('Rates 2y'!$F$2:$F$14,MATCH("USD",'Rates 2y'!$A$2:$A$14,0)))*2)</f>
        <v>1.375766353358295</v>
      </c>
      <c r="G4">
        <f>'FX year-end'!G4*EXP((INDEX('Rates 2y'!$G$2:$G$14,MATCH($A4,'Rates 2y'!$A$2:$A$14,0))-INDEX('Rates 2y'!$G$2:$G$14,MATCH("USD",'Rates 2y'!$A$2:$A$14,0)))*2)</f>
        <v>1.4507416920818683</v>
      </c>
      <c r="H4">
        <f>'FX year-end'!H4*EXP((INDEX('Rates 2y'!$H$2:$H$14,MATCH($A4,'Rates 2y'!$A$2:$A$14,0))-INDEX('Rates 2y'!$H$2:$H$14,MATCH("USD",'Rates 2y'!$A$2:$A$14,0)))*2)</f>
        <v>1.4488961617041707</v>
      </c>
      <c r="I4">
        <f>'FX year-end'!I4*EXP((INDEX('Rates 2y'!$I$2:$I$14,MATCH($A4,'Rates 2y'!$A$2:$A$14,0))-INDEX('Rates 2y'!$I$2:$I$14,MATCH("USD",'Rates 2y'!$A$2:$A$14,0)))*2)</f>
        <v>1.595225587241158</v>
      </c>
      <c r="J4">
        <f>'FX year-end'!J4*EXP((INDEX('Rates 2y'!$J$2:$J$14,MATCH($A4,'Rates 2y'!$A$2:$A$14,0))-INDEX('Rates 2y'!$J$2:$J$14,MATCH("USD",'Rates 2y'!$A$2:$A$14,0)))*2)</f>
        <v>1.5055768774333078</v>
      </c>
      <c r="K4">
        <f>'FX year-end'!K4*EXP((INDEX('Rates 2y'!$K$2:$K$14,MATCH($A4,'Rates 2y'!$A$2:$A$14,0))-INDEX('Rates 2y'!$K$2:$K$14,MATCH("USD",'Rates 2y'!$A$2:$A$14,0)))*2)</f>
        <v>1.4364153538359137</v>
      </c>
    </row>
    <row r="5">
      <c r="A5" t="inlineStr">
        <is>
          <t>GBP</t>
        </is>
      </c>
      <c r="B5">
        <f>'FX year-end'!B5*EXP((INDEX('Rates 2y'!$B$2:$B$14,MATCH($A5,'Rates 2y'!$A$2:$A$14,0))-INDEX('Rates 2y'!$B$2:$B$14,MATCH("USD",'Rates 2y'!$A$2:$A$14,0)))*2)</f>
        <v>0.7228784107887073</v>
      </c>
      <c r="C5">
        <f>'FX year-end'!C5*EXP((INDEX('Rates 2y'!$C$2:$C$14,MATCH($A5,'Rates 2y'!$A$2:$A$14,0))-INDEX('Rates 2y'!$C$2:$C$14,MATCH("USD",'Rates 2y'!$A$2:$A$14,0)))*2)</f>
        <v>0.7608561029321896</v>
      </c>
      <c r="D5">
        <f>'FX year-end'!D5*EXP((INDEX('Rates 2y'!$D$2:$D$14,MATCH($A5,'Rates 2y'!$A$2:$A$14,0))-INDEX('Rates 2y'!$D$2:$D$14,MATCH("USD",'Rates 2y'!$A$2:$A$14,0)))*2)</f>
        <v>0.7470511430817788</v>
      </c>
      <c r="E5">
        <f>'FX year-end'!E5*EXP((INDEX('Rates 2y'!$E$2:$E$14,MATCH($A5,'Rates 2y'!$A$2:$A$14,0))-INDEX('Rates 2y'!$E$2:$E$14,MATCH("USD",'Rates 2y'!$A$2:$A$14,0)))*2)</f>
        <v>0.7295430980320751</v>
      </c>
      <c r="F5">
        <f>'FX year-end'!F5*EXP((INDEX('Rates 2y'!$F$2:$F$14,MATCH($A5,'Rates 2y'!$A$2:$A$14,0))-INDEX('Rates 2y'!$F$2:$F$14,MATCH("USD",'Rates 2y'!$A$2:$A$14,0)))*2)</f>
        <v>0.7403856353227342</v>
      </c>
      <c r="G5">
        <f>'FX year-end'!G5*EXP((INDEX('Rates 2y'!$G$2:$G$14,MATCH($A5,'Rates 2y'!$A$2:$A$14,0))-INDEX('Rates 2y'!$G$2:$G$14,MATCH("USD",'Rates 2y'!$A$2:$A$14,0)))*2)</f>
        <v>0.8157849465080877</v>
      </c>
      <c r="H5">
        <f>'FX year-end'!H5*EXP((INDEX('Rates 2y'!$H$2:$H$14,MATCH($A5,'Rates 2y'!$A$2:$A$14,0))-INDEX('Rates 2y'!$H$2:$H$14,MATCH("USD",'Rates 2y'!$A$2:$A$14,0)))*2)</f>
        <v>0.7813832999100134</v>
      </c>
      <c r="I5">
        <f>'FX year-end'!I5*EXP((INDEX('Rates 2y'!$I$2:$I$14,MATCH($A5,'Rates 2y'!$A$2:$A$14,0))-INDEX('Rates 2y'!$I$2:$I$14,MATCH("USD",'Rates 2y'!$A$2:$A$14,0)))*2)</f>
        <v>0.7994240683298566</v>
      </c>
      <c r="J5">
        <f>'FX year-end'!J5*EXP((INDEX('Rates 2y'!$J$2:$J$14,MATCH($A5,'Rates 2y'!$A$2:$A$14,0))-INDEX('Rates 2y'!$J$2:$J$14,MATCH("USD",'Rates 2y'!$A$2:$A$14,0)))*2)</f>
        <v>0.7465655888197874</v>
      </c>
      <c r="K5">
        <f>'FX year-end'!K5*EXP((INDEX('Rates 2y'!$K$2:$K$14,MATCH($A5,'Rates 2y'!$A$2:$A$14,0))-INDEX('Rates 2y'!$K$2:$K$14,MATCH("USD",'Rates 2y'!$A$2:$A$14,0)))*2)</f>
        <v>0.759731493089017</v>
      </c>
    </row>
    <row r="6">
      <c r="A6" t="inlineStr">
        <is>
          <t>MXN</t>
        </is>
      </c>
      <c r="B6">
        <f>'FX year-end'!B6*EXP((INDEX('Rates 2y'!$B$2:$B$14,MATCH($A6,'Rates 2y'!$A$2:$A$14,0))-INDEX('Rates 2y'!$B$2:$B$14,MATCH("USD",'Rates 2y'!$A$2:$A$14,0)))*2)</f>
        <v>22.033226312554095</v>
      </c>
      <c r="C6">
        <f>'FX year-end'!C6*EXP((INDEX('Rates 2y'!$C$2:$C$14,MATCH($A6,'Rates 2y'!$A$2:$A$14,0))-INDEX('Rates 2y'!$C$2:$C$14,MATCH("USD",'Rates 2y'!$A$2:$A$14,0)))*2)</f>
        <v>22.19887666987806</v>
      </c>
      <c r="D6">
        <f>'FX year-end'!D6*EXP((INDEX('Rates 2y'!$D$2:$D$14,MATCH($A6,'Rates 2y'!$A$2:$A$14,0))-INDEX('Rates 2y'!$D$2:$D$14,MATCH("USD",'Rates 2y'!$A$2:$A$14,0)))*2)</f>
        <v>21.041527641146264</v>
      </c>
      <c r="E6">
        <f>'FX year-end'!E6*EXP((INDEX('Rates 2y'!$E$2:$E$14,MATCH($A6,'Rates 2y'!$A$2:$A$14,0))-INDEX('Rates 2y'!$E$2:$E$14,MATCH("USD",'Rates 2y'!$A$2:$A$14,0)))*2)</f>
        <v>21.620941106650115</v>
      </c>
      <c r="F6">
        <f>'FX year-end'!F6*EXP((INDEX('Rates 2y'!$F$2:$F$14,MATCH($A6,'Rates 2y'!$A$2:$A$14,0))-INDEX('Rates 2y'!$F$2:$F$14,MATCH("USD",'Rates 2y'!$A$2:$A$14,0)))*2)</f>
        <v>23.285429466209724</v>
      </c>
      <c r="G6">
        <f>'FX year-end'!G6*EXP((INDEX('Rates 2y'!$G$2:$G$14,MATCH($A6,'Rates 2y'!$A$2:$A$14,0))-INDEX('Rates 2y'!$G$2:$G$14,MATCH("USD",'Rates 2y'!$A$2:$A$14,0)))*2)</f>
        <v>21.96911798477762</v>
      </c>
      <c r="H6">
        <f>'FX year-end'!H6*EXP((INDEX('Rates 2y'!$H$2:$H$14,MATCH($A6,'Rates 2y'!$A$2:$A$14,0))-INDEX('Rates 2y'!$H$2:$H$14,MATCH("USD",'Rates 2y'!$A$2:$A$14,0)))*2)</f>
        <v>19.131546614521323</v>
      </c>
      <c r="I6">
        <f>'FX year-end'!I6*EXP((INDEX('Rates 2y'!$I$2:$I$14,MATCH($A6,'Rates 2y'!$A$2:$A$14,0))-INDEX('Rates 2y'!$I$2:$I$14,MATCH("USD",'Rates 2y'!$A$2:$A$14,0)))*2)</f>
        <v>23.105090523015416</v>
      </c>
      <c r="J6">
        <f>'FX year-end'!J6*EXP((INDEX('Rates 2y'!$J$2:$J$14,MATCH($A6,'Rates 2y'!$A$2:$A$14,0))-INDEX('Rates 2y'!$J$2:$J$14,MATCH("USD",'Rates 2y'!$A$2:$A$14,0)))*2)</f>
        <v>19.406213261273404</v>
      </c>
      <c r="K6">
        <f>'FX year-end'!K6*EXP((INDEX('Rates 2y'!$K$2:$K$14,MATCH($A6,'Rates 2y'!$A$2:$A$14,0))-INDEX('Rates 2y'!$K$2:$K$14,MATCH("USD",'Rates 2y'!$A$2:$A$14,0)))*2)</f>
        <v>19.104437297506436</v>
      </c>
    </row>
    <row r="7">
      <c r="A7" t="inlineStr">
        <is>
          <t>BRL</t>
        </is>
      </c>
      <c r="B7">
        <f>'FX year-end'!B7*EXP((INDEX('Rates 2y'!$B$2:$B$14,MATCH($A7,'Rates 2y'!$A$2:$A$14,0))-INDEX('Rates 2y'!$B$2:$B$14,MATCH("USD",'Rates 2y'!$A$2:$A$14,0)))*2)</f>
        <v>3.7042487085434828</v>
      </c>
      <c r="C7">
        <f>'FX year-end'!C7*EXP((INDEX('Rates 2y'!$C$2:$C$14,MATCH($A7,'Rates 2y'!$A$2:$A$14,0))-INDEX('Rates 2y'!$C$2:$C$14,MATCH("USD",'Rates 2y'!$A$2:$A$14,0)))*2)</f>
        <v>4.256891460792319</v>
      </c>
      <c r="D7">
        <f>'FX year-end'!D7*EXP((INDEX('Rates 2y'!$D$2:$D$14,MATCH($A7,'Rates 2y'!$A$2:$A$14,0))-INDEX('Rates 2y'!$D$2:$D$14,MATCH("USD",'Rates 2y'!$A$2:$A$14,0)))*2)</f>
        <v>4.325874937657236</v>
      </c>
      <c r="E7">
        <f>'FX year-end'!E7*EXP((INDEX('Rates 2y'!$E$2:$E$14,MATCH($A7,'Rates 2y'!$A$2:$A$14,0))-INDEX('Rates 2y'!$E$2:$E$14,MATCH("USD",'Rates 2y'!$A$2:$A$14,0)))*2)</f>
        <v>5.642320071645959</v>
      </c>
      <c r="F7">
        <f>'FX year-end'!F7*EXP((INDEX('Rates 2y'!$F$2:$F$14,MATCH($A7,'Rates 2y'!$A$2:$A$14,0))-INDEX('Rates 2y'!$F$2:$F$14,MATCH("USD",'Rates 2y'!$A$2:$A$14,0)))*2)</f>
        <v>6.881460834053128</v>
      </c>
      <c r="G7">
        <f>'FX year-end'!G7*EXP((INDEX('Rates 2y'!$G$2:$G$14,MATCH($A7,'Rates 2y'!$A$2:$A$14,0))-INDEX('Rates 2y'!$G$2:$G$14,MATCH("USD",'Rates 2y'!$A$2:$A$14,0)))*2)</f>
        <v>6.323019926826173</v>
      </c>
      <c r="H7">
        <f>'FX year-end'!H7*EXP((INDEX('Rates 2y'!$H$2:$H$14,MATCH($A7,'Rates 2y'!$A$2:$A$14,0))-INDEX('Rates 2y'!$H$2:$H$14,MATCH("USD",'Rates 2y'!$A$2:$A$14,0)))*2)</f>
        <v>5.474056549964092</v>
      </c>
      <c r="I7">
        <f>'FX year-end'!I7*EXP((INDEX('Rates 2y'!$I$2:$I$14,MATCH($A7,'Rates 2y'!$A$2:$A$14,0))-INDEX('Rates 2y'!$I$2:$I$14,MATCH("USD",'Rates 2y'!$A$2:$A$14,0)))*2)</f>
        <v>7.722810930223658</v>
      </c>
      <c r="J7">
        <f>'FX year-end'!J7*EXP((INDEX('Rates 2y'!$J$2:$J$14,MATCH($A7,'Rates 2y'!$A$2:$A$14,0))-INDEX('Rates 2y'!$J$2:$J$14,MATCH("USD",'Rates 2y'!$A$2:$A$14,0)))*2)</f>
        <v>6.745067046368634</v>
      </c>
      <c r="K7">
        <f>'FX year-end'!K7*EXP((INDEX('Rates 2y'!$K$2:$K$14,MATCH($A7,'Rates 2y'!$A$2:$A$14,0))-INDEX('Rates 2y'!$K$2:$K$14,MATCH("USD",'Rates 2y'!$A$2:$A$14,0)))*2)</f>
        <v>6.385408966397185</v>
      </c>
    </row>
    <row r="8">
      <c r="A8" t="inlineStr">
        <is>
          <t>SAR</t>
        </is>
      </c>
      <c r="B8">
        <f>'FX year-end'!B8*EXP((INDEX('Rates 2y'!$B$2:$B$14,MATCH($A8,'Rates 2y'!$A$2:$A$14,0))-INDEX('Rates 2y'!$B$2:$B$14,MATCH("USD",'Rates 2y'!$A$2:$A$14,0)))*2)</f>
        <v>3.753849391002849</v>
      </c>
      <c r="C8">
        <f>'FX year-end'!C8*EXP((INDEX('Rates 2y'!$C$2:$C$14,MATCH($A8,'Rates 2y'!$A$2:$A$14,0))-INDEX('Rates 2y'!$C$2:$C$14,MATCH("USD",'Rates 2y'!$A$2:$A$14,0)))*2)</f>
        <v>3.782388770880726</v>
      </c>
      <c r="D8">
        <f>'FX year-end'!D8*EXP((INDEX('Rates 2y'!$D$2:$D$14,MATCH($A8,'Rates 2y'!$A$2:$A$14,0))-INDEX('Rates 2y'!$D$2:$D$14,MATCH("USD",'Rates 2y'!$A$2:$A$14,0)))*2)</f>
        <v>3.8027268861235437</v>
      </c>
      <c r="E8">
        <f>'FX year-end'!E8*EXP((INDEX('Rates 2y'!$E$2:$E$14,MATCH($A8,'Rates 2y'!$A$2:$A$14,0))-INDEX('Rates 2y'!$E$2:$E$14,MATCH("USD",'Rates 2y'!$A$2:$A$14,0)))*2)</f>
        <v>3.805867365456103</v>
      </c>
      <c r="F8">
        <f>'FX year-end'!F8*EXP((INDEX('Rates 2y'!$F$2:$F$14,MATCH($A8,'Rates 2y'!$A$2:$A$14,0))-INDEX('Rates 2y'!$F$2:$F$14,MATCH("USD",'Rates 2y'!$A$2:$A$14,0)))*2)</f>
        <v>3.7853879308962926</v>
      </c>
      <c r="G8">
        <f>'FX year-end'!G8*EXP((INDEX('Rates 2y'!$G$2:$G$14,MATCH($A8,'Rates 2y'!$A$2:$A$14,0))-INDEX('Rates 2y'!$G$2:$G$14,MATCH("USD",'Rates 2y'!$A$2:$A$14,0)))*2)</f>
        <v>3.7979932647649726</v>
      </c>
      <c r="H8">
        <f>'FX year-end'!H8*EXP((INDEX('Rates 2y'!$H$2:$H$14,MATCH($A8,'Rates 2y'!$A$2:$A$14,0))-INDEX('Rates 2y'!$H$2:$H$14,MATCH("USD",'Rates 2y'!$A$2:$A$14,0)))*2)</f>
        <v>3.832357285976491</v>
      </c>
      <c r="I8">
        <f>'FX year-end'!I8*EXP((INDEX('Rates 2y'!$I$2:$I$14,MATCH($A8,'Rates 2y'!$A$2:$A$14,0))-INDEX('Rates 2y'!$I$2:$I$14,MATCH("USD",'Rates 2y'!$A$2:$A$14,0)))*2)</f>
        <v>3.824717086452537</v>
      </c>
      <c r="J8">
        <f>'FX year-end'!J8*EXP((INDEX('Rates 2y'!$J$2:$J$14,MATCH($A8,'Rates 2y'!$A$2:$A$14,0))-INDEX('Rates 2y'!$J$2:$J$14,MATCH("USD",'Rates 2y'!$A$2:$A$14,0)))*2)</f>
        <v>3.8328002933509513</v>
      </c>
      <c r="K8">
        <f>'FX year-end'!K8*EXP((INDEX('Rates 2y'!$K$2:$K$14,MATCH($A8,'Rates 2y'!$A$2:$A$14,0))-INDEX('Rates 2y'!$K$2:$K$14,MATCH("USD",'Rates 2y'!$A$2:$A$14,0)))*2)</f>
        <v>3.839345271039109</v>
      </c>
    </row>
    <row r="9">
      <c r="A9" t="inlineStr">
        <is>
          <t>HKD</t>
        </is>
      </c>
      <c r="B9">
        <f>'FX year-end'!B9*EXP((INDEX('Rates 2y'!$B$2:$B$14,MATCH($A9,'Rates 2y'!$A$2:$A$14,0))-INDEX('Rates 2y'!$B$2:$B$14,MATCH("USD",'Rates 2y'!$A$2:$A$14,0)))*2)</f>
        <v>7.7251038313736355</v>
      </c>
      <c r="C9">
        <f>'FX year-end'!C9*EXP((INDEX('Rates 2y'!$C$2:$C$14,MATCH($A9,'Rates 2y'!$A$2:$A$14,0))-INDEX('Rates 2y'!$C$2:$C$14,MATCH("USD",'Rates 2y'!$A$2:$A$14,0)))*2)</f>
        <v>7.723575820070841</v>
      </c>
      <c r="D9">
        <f>'FX year-end'!D9*EXP((INDEX('Rates 2y'!$D$2:$D$14,MATCH($A9,'Rates 2y'!$A$2:$A$14,0))-INDEX('Rates 2y'!$D$2:$D$14,MATCH("USD",'Rates 2y'!$A$2:$A$14,0)))*2)</f>
        <v>7.806813887682553</v>
      </c>
      <c r="E9">
        <f>'FX year-end'!E9*EXP((INDEX('Rates 2y'!$E$2:$E$14,MATCH($A9,'Rates 2y'!$A$2:$A$14,0))-INDEX('Rates 2y'!$E$2:$E$14,MATCH("USD",'Rates 2y'!$A$2:$A$14,0)))*2)</f>
        <v>7.763040652682972</v>
      </c>
      <c r="F9">
        <f>'FX year-end'!F9*EXP((INDEX('Rates 2y'!$F$2:$F$14,MATCH($A9,'Rates 2y'!$A$2:$A$14,0))-INDEX('Rates 2y'!$F$2:$F$14,MATCH("USD",'Rates 2y'!$A$2:$A$14,0)))*2)</f>
        <v>7.777312676925987</v>
      </c>
      <c r="G9">
        <f>'FX year-end'!G9*EXP((INDEX('Rates 2y'!$G$2:$G$14,MATCH($A9,'Rates 2y'!$A$2:$A$14,0))-INDEX('Rates 2y'!$G$2:$G$14,MATCH("USD",'Rates 2y'!$A$2:$A$14,0)))*2)</f>
        <v>7.727655572406301</v>
      </c>
      <c r="H9">
        <f>'FX year-end'!H9*EXP((INDEX('Rates 2y'!$H$2:$H$14,MATCH($A9,'Rates 2y'!$A$2:$A$14,0))-INDEX('Rates 2y'!$H$2:$H$14,MATCH("USD",'Rates 2y'!$A$2:$A$14,0)))*2)</f>
        <v>7.710903845951482</v>
      </c>
      <c r="I9">
        <f>'FX year-end'!I9*EXP((INDEX('Rates 2y'!$I$2:$I$14,MATCH($A9,'Rates 2y'!$A$2:$A$14,0))-INDEX('Rates 2y'!$I$2:$I$14,MATCH("USD",'Rates 2y'!$A$2:$A$14,0)))*2)</f>
        <v>7.63416267552515</v>
      </c>
      <c r="J9">
        <f>'FX year-end'!J9*EXP((INDEX('Rates 2y'!$J$2:$J$14,MATCH($A9,'Rates 2y'!$A$2:$A$14,0))-INDEX('Rates 2y'!$J$2:$J$14,MATCH("USD",'Rates 2y'!$A$2:$A$14,0)))*2)</f>
        <v>7.644918413882554</v>
      </c>
      <c r="K9">
        <f>'FX year-end'!K9*EXP((INDEX('Rates 2y'!$K$2:$K$14,MATCH($A9,'Rates 2y'!$A$2:$A$14,0))-INDEX('Rates 2y'!$K$2:$K$14,MATCH("USD",'Rates 2y'!$A$2:$A$14,0)))*2)</f>
        <v>7.706878267568415</v>
      </c>
    </row>
    <row r="10">
      <c r="A10" t="inlineStr">
        <is>
          <t>CNY</t>
        </is>
      </c>
      <c r="B10">
        <f>'FX year-end'!B10*EXP((INDEX('Rates 2y'!$B$2:$B$14,MATCH($A10,'Rates 2y'!$A$2:$A$14,0))-INDEX('Rates 2y'!$B$2:$B$14,MATCH("USD",'Rates 2y'!$A$2:$A$14,0)))*2)</f>
        <v>6.745340270807261</v>
      </c>
      <c r="C10">
        <f>'FX year-end'!C10*EXP((INDEX('Rates 2y'!$C$2:$C$14,MATCH($A10,'Rates 2y'!$A$2:$A$14,0))-INDEX('Rates 2y'!$C$2:$C$14,MATCH("USD",'Rates 2y'!$A$2:$A$14,0)))*2)</f>
        <v>6.906144981912907</v>
      </c>
      <c r="D10">
        <f>'FX year-end'!D10*EXP((INDEX('Rates 2y'!$D$2:$D$14,MATCH($A10,'Rates 2y'!$A$2:$A$14,0))-INDEX('Rates 2y'!$D$2:$D$14,MATCH("USD",'Rates 2y'!$A$2:$A$14,0)))*2)</f>
        <v>7.129671799446985</v>
      </c>
      <c r="E10">
        <f>'FX year-end'!E10*EXP((INDEX('Rates 2y'!$E$2:$E$14,MATCH($A10,'Rates 2y'!$A$2:$A$14,0))-INDEX('Rates 2y'!$E$2:$E$14,MATCH("USD",'Rates 2y'!$A$2:$A$14,0)))*2)</f>
        <v>6.866206307871589</v>
      </c>
      <c r="F10">
        <f>'FX year-end'!F10*EXP((INDEX('Rates 2y'!$F$2:$F$14,MATCH($A10,'Rates 2y'!$A$2:$A$14,0))-INDEX('Rates 2y'!$F$2:$F$14,MATCH("USD",'Rates 2y'!$A$2:$A$14,0)))*2)</f>
        <v>6.575358396715456</v>
      </c>
      <c r="G10">
        <f>'FX year-end'!G10*EXP((INDEX('Rates 2y'!$G$2:$G$14,MATCH($A10,'Rates 2y'!$A$2:$A$14,0))-INDEX('Rates 2y'!$G$2:$G$14,MATCH("USD",'Rates 2y'!$A$2:$A$14,0)))*2)</f>
        <v>6.672701346969589</v>
      </c>
      <c r="H10">
        <f>'FX year-end'!H10*EXP((INDEX('Rates 2y'!$H$2:$H$14,MATCH($A10,'Rates 2y'!$A$2:$A$14,0))-INDEX('Rates 2y'!$H$2:$H$14,MATCH("USD",'Rates 2y'!$A$2:$A$14,0)))*2)</f>
        <v>6.821505626539007</v>
      </c>
      <c r="I10">
        <f>'FX year-end'!I10*EXP((INDEX('Rates 2y'!$I$2:$I$14,MATCH($A10,'Rates 2y'!$A$2:$A$14,0))-INDEX('Rates 2y'!$I$2:$I$14,MATCH("USD",'Rates 2y'!$A$2:$A$14,0)))*2)</f>
        <v>6.853874003062934</v>
      </c>
      <c r="J10">
        <f>'FX year-end'!J10*EXP((INDEX('Rates 2y'!$J$2:$J$14,MATCH($A10,'Rates 2y'!$A$2:$A$14,0))-INDEX('Rates 2y'!$J$2:$J$14,MATCH("USD",'Rates 2y'!$A$2:$A$14,0)))*2)</f>
        <v>6.711032748151378</v>
      </c>
      <c r="K10">
        <f>'FX year-end'!K10*EXP((INDEX('Rates 2y'!$K$2:$K$14,MATCH($A10,'Rates 2y'!$A$2:$A$14,0))-INDEX('Rates 2y'!$K$2:$K$14,MATCH("USD",'Rates 2y'!$A$2:$A$14,0)))*2)</f>
        <v>6.430547052469574</v>
      </c>
    </row>
    <row r="11">
      <c r="A11" t="inlineStr">
        <is>
          <t>IDR</t>
        </is>
      </c>
      <c r="B11">
        <f>'FX year-end'!B11*EXP((INDEX('Rates 2y'!$B$2:$B$14,MATCH($A11,'Rates 2y'!$A$2:$A$14,0))-INDEX('Rates 2y'!$B$2:$B$14,MATCH("USD",'Rates 2y'!$A$2:$A$14,0)))*2)</f>
        <v>14660.792871627002</v>
      </c>
      <c r="C11">
        <f>'FX year-end'!C11*EXP((INDEX('Rates 2y'!$C$2:$C$14,MATCH($A11,'Rates 2y'!$A$2:$A$14,0))-INDEX('Rates 2y'!$C$2:$C$14,MATCH("USD",'Rates 2y'!$A$2:$A$14,0)))*2)</f>
        <v>16151.24534645239</v>
      </c>
      <c r="D11">
        <f>'FX year-end'!D11*EXP((INDEX('Rates 2y'!$D$2:$D$14,MATCH($A11,'Rates 2y'!$A$2:$A$14,0))-INDEX('Rates 2y'!$D$2:$D$14,MATCH("USD",'Rates 2y'!$A$2:$A$14,0)))*2)</f>
        <v>15114.504009622227</v>
      </c>
      <c r="E11">
        <f>'FX year-end'!E11*EXP((INDEX('Rates 2y'!$E$2:$E$14,MATCH($A11,'Rates 2y'!$A$2:$A$14,0))-INDEX('Rates 2y'!$E$2:$E$14,MATCH("USD",'Rates 2y'!$A$2:$A$14,0)))*2)</f>
        <v>14975.644811982023</v>
      </c>
      <c r="F11">
        <f>'FX year-end'!F11*EXP((INDEX('Rates 2y'!$F$2:$F$14,MATCH($A11,'Rates 2y'!$A$2:$A$14,0))-INDEX('Rates 2y'!$F$2:$F$14,MATCH("USD",'Rates 2y'!$A$2:$A$14,0)))*2)</f>
        <v>15220.208477403896</v>
      </c>
      <c r="G11">
        <f>'FX year-end'!G11*EXP((INDEX('Rates 2y'!$G$2:$G$14,MATCH($A11,'Rates 2y'!$A$2:$A$14,0))-INDEX('Rates 2y'!$G$2:$G$14,MATCH("USD",'Rates 2y'!$A$2:$A$14,0)))*2)</f>
        <v>16086.045297108329</v>
      </c>
      <c r="H11">
        <f>'FX year-end'!H11*EXP((INDEX('Rates 2y'!$H$2:$H$14,MATCH($A11,'Rates 2y'!$A$2:$A$14,0))-INDEX('Rates 2y'!$H$2:$H$14,MATCH("USD",'Rates 2y'!$A$2:$A$14,0)))*2)</f>
        <v>16102.7420280707</v>
      </c>
      <c r="I11">
        <f>'FX year-end'!I11*EXP((INDEX('Rates 2y'!$I$2:$I$14,MATCH($A11,'Rates 2y'!$A$2:$A$14,0))-INDEX('Rates 2y'!$I$2:$I$14,MATCH("USD",'Rates 2y'!$A$2:$A$14,0)))*2)</f>
        <v>16964.525653112647</v>
      </c>
      <c r="J11">
        <f>'FX year-end'!J11*EXP((INDEX('Rates 2y'!$J$2:$J$14,MATCH($A11,'Rates 2y'!$A$2:$A$14,0))-INDEX('Rates 2y'!$J$2:$J$14,MATCH("USD",'Rates 2y'!$A$2:$A$14,0)))*2)</f>
        <v>17224.753331365308</v>
      </c>
      <c r="K11">
        <f>'FX year-end'!K11*EXP((INDEX('Rates 2y'!$K$2:$K$14,MATCH($A11,'Rates 2y'!$A$2:$A$14,0))-INDEX('Rates 2y'!$K$2:$K$14,MATCH("USD",'Rates 2y'!$A$2:$A$14,0)))*2)</f>
        <v>18464.886089617296</v>
      </c>
    </row>
    <row r="12">
      <c r="A12" t="inlineStr">
        <is>
          <t>ZAR</t>
        </is>
      </c>
      <c r="B12">
        <f>'FX year-end'!B12*EXP((INDEX('Rates 2y'!$B$2:$B$14,MATCH($A12,'Rates 2y'!$A$2:$A$14,0))-INDEX('Rates 2y'!$B$2:$B$14,MATCH("USD",'Rates 2y'!$A$2:$A$14,0)))*2)</f>
        <v>13.7293174127181</v>
      </c>
      <c r="C12">
        <f>'FX year-end'!C12*EXP((INDEX('Rates 2y'!$C$2:$C$14,MATCH($A12,'Rates 2y'!$A$2:$A$14,0))-INDEX('Rates 2y'!$C$2:$C$14,MATCH("USD",'Rates 2y'!$A$2:$A$14,0)))*2)</f>
        <v>15.870946006996043</v>
      </c>
      <c r="D12">
        <f>'FX year-end'!D12*EXP((INDEX('Rates 2y'!$D$2:$D$14,MATCH($A12,'Rates 2y'!$A$2:$A$14,0))-INDEX('Rates 2y'!$D$2:$D$14,MATCH("USD",'Rates 2y'!$A$2:$A$14,0)))*2)</f>
        <v>15.681392092389048</v>
      </c>
      <c r="E12">
        <f>'FX year-end'!E12*EXP((INDEX('Rates 2y'!$E$2:$E$14,MATCH($A12,'Rates 2y'!$A$2:$A$14,0))-INDEX('Rates 2y'!$E$2:$E$14,MATCH("USD",'Rates 2y'!$A$2:$A$14,0)))*2)</f>
        <v>15.978535692923954</v>
      </c>
      <c r="F12">
        <f>'FX year-end'!F12*EXP((INDEX('Rates 2y'!$F$2:$F$14,MATCH($A12,'Rates 2y'!$A$2:$A$14,0))-INDEX('Rates 2y'!$F$2:$F$14,MATCH("USD",'Rates 2y'!$A$2:$A$14,0)))*2)</f>
        <v>17.514574091158938</v>
      </c>
      <c r="G12">
        <f>'FX year-end'!G12*EXP((INDEX('Rates 2y'!$G$2:$G$14,MATCH($A12,'Rates 2y'!$A$2:$A$14,0))-INDEX('Rates 2y'!$G$2:$G$14,MATCH("USD",'Rates 2y'!$A$2:$A$14,0)))*2)</f>
        <v>18.17290727327991</v>
      </c>
      <c r="H12">
        <f>'FX year-end'!H12*EXP((INDEX('Rates 2y'!$H$2:$H$14,MATCH($A12,'Rates 2y'!$A$2:$A$14,0))-INDEX('Rates 2y'!$H$2:$H$14,MATCH("USD",'Rates 2y'!$A$2:$A$14,0)))*2)</f>
        <v>20.093613391380476</v>
      </c>
      <c r="I12">
        <f>'FX year-end'!I12*EXP((INDEX('Rates 2y'!$I$2:$I$14,MATCH($A12,'Rates 2y'!$A$2:$A$14,0))-INDEX('Rates 2y'!$I$2:$I$14,MATCH("USD",'Rates 2y'!$A$2:$A$14,0)))*2)</f>
        <v>20.06923616427345</v>
      </c>
      <c r="J12">
        <f>'FX year-end'!J12*EXP((INDEX('Rates 2y'!$J$2:$J$14,MATCH($A12,'Rates 2y'!$A$2:$A$14,0))-INDEX('Rates 2y'!$J$2:$J$14,MATCH("USD",'Rates 2y'!$A$2:$A$14,0)))*2)</f>
        <v>17.795168909086286</v>
      </c>
      <c r="K12">
        <f>'FX year-end'!K12*EXP((INDEX('Rates 2y'!$K$2:$K$14,MATCH($A12,'Rates 2y'!$A$2:$A$14,0))-INDEX('Rates 2y'!$K$2:$K$14,MATCH("USD",'Rates 2y'!$A$2:$A$14,0)))*2)</f>
        <v>17.478149206756548</v>
      </c>
    </row>
    <row r="13">
      <c r="A13" t="inlineStr">
        <is>
          <t>SEK</t>
        </is>
      </c>
      <c r="B13">
        <f>'FX year-end'!B13*EXP((INDEX('Rates 2y'!$B$2:$B$14,MATCH($A13,'Rates 2y'!$A$2:$A$14,0))-INDEX('Rates 2y'!$B$2:$B$14,MATCH("USD",'Rates 2y'!$A$2:$A$14,0)))*2)</f>
        <v>7.845140361373955</v>
      </c>
      <c r="C13">
        <f>'FX year-end'!C13*EXP((INDEX('Rates 2y'!$C$2:$C$14,MATCH($A13,'Rates 2y'!$A$2:$A$14,0))-INDEX('Rates 2y'!$C$2:$C$14,MATCH("USD",'Rates 2y'!$A$2:$A$14,0)))*2)</f>
        <v>8.458831285131591</v>
      </c>
      <c r="D13">
        <f>'FX year-end'!D13*EXP((INDEX('Rates 2y'!$D$2:$D$14,MATCH($A13,'Rates 2y'!$A$2:$A$14,0))-INDEX('Rates 2y'!$D$2:$D$14,MATCH("USD",'Rates 2y'!$A$2:$A$14,0)))*2)</f>
        <v>8.999843582028488</v>
      </c>
      <c r="E13">
        <f>'FX year-end'!E13*EXP((INDEX('Rates 2y'!$E$2:$E$14,MATCH($A13,'Rates 2y'!$A$2:$A$14,0))-INDEX('Rates 2y'!$E$2:$E$14,MATCH("USD",'Rates 2y'!$A$2:$A$14,0)))*2)</f>
        <v>8.118648532491731</v>
      </c>
      <c r="F13">
        <f>'FX year-end'!F13*EXP((INDEX('Rates 2y'!$F$2:$F$14,MATCH($A13,'Rates 2y'!$A$2:$A$14,0))-INDEX('Rates 2y'!$F$2:$F$14,MATCH("USD",'Rates 2y'!$A$2:$A$14,0)))*2)</f>
        <v>8.969341028045912</v>
      </c>
      <c r="G13">
        <f>'FX year-end'!G13*EXP((INDEX('Rates 2y'!$G$2:$G$14,MATCH($A13,'Rates 2y'!$A$2:$A$14,0))-INDEX('Rates 2y'!$G$2:$G$14,MATCH("USD",'Rates 2y'!$A$2:$A$14,0)))*2)</f>
        <v>10.0967388197038</v>
      </c>
      <c r="H13">
        <f>'FX year-end'!H13*EXP((INDEX('Rates 2y'!$H$2:$H$14,MATCH($A13,'Rates 2y'!$A$2:$A$14,0))-INDEX('Rates 2y'!$H$2:$H$14,MATCH("USD",'Rates 2y'!$A$2:$A$14,0)))*2)</f>
        <v>9.705472541750899</v>
      </c>
      <c r="I13">
        <f>'FX year-end'!I13*EXP((INDEX('Rates 2y'!$I$2:$I$14,MATCH($A13,'Rates 2y'!$A$2:$A$14,0))-INDEX('Rates 2y'!$I$2:$I$14,MATCH("USD",'Rates 2y'!$A$2:$A$14,0)))*2)</f>
        <v>10.540861681689341</v>
      </c>
      <c r="J13">
        <f>'FX year-end'!J13*EXP((INDEX('Rates 2y'!$J$2:$J$14,MATCH($A13,'Rates 2y'!$A$2:$A$14,0))-INDEX('Rates 2y'!$J$2:$J$14,MATCH("USD",'Rates 2y'!$A$2:$A$14,0)))*2)</f>
        <v>8.908728989499378</v>
      </c>
      <c r="K13">
        <f>'FX year-end'!K13*EXP((INDEX('Rates 2y'!$K$2:$K$14,MATCH($A13,'Rates 2y'!$A$2:$A$14,0))-INDEX('Rates 2y'!$K$2:$K$14,MATCH("USD",'Rates 2y'!$A$2:$A$14,0)))*2)</f>
        <v>9.599666723137501</v>
      </c>
    </row>
    <row r="14">
      <c r="A14" t="inlineStr">
        <is>
          <t>EUR</t>
        </is>
      </c>
      <c r="B14">
        <f>'FX year-end'!B14*EXP((INDEX('Rates 2y'!$B$2:$B$14,MATCH($A14,'Rates 2y'!$A$2:$A$14,0))-INDEX('Rates 2y'!$B$2:$B$14,MATCH("USD",'Rates 2y'!$A$2:$A$14,0)))*2)</f>
        <v>0.7967188479131658</v>
      </c>
      <c r="C14">
        <f>'FX year-end'!C14*EXP((INDEX('Rates 2y'!$C$2:$C$14,MATCH($A14,'Rates 2y'!$A$2:$A$14,0))-INDEX('Rates 2y'!$C$2:$C$14,MATCH("USD",'Rates 2y'!$A$2:$A$14,0)))*2)</f>
        <v>0.8217441602289527</v>
      </c>
      <c r="D14">
        <f>'FX year-end'!D14*EXP((INDEX('Rates 2y'!$D$2:$D$14,MATCH($A14,'Rates 2y'!$A$2:$A$14,0))-INDEX('Rates 2y'!$D$2:$D$14,MATCH("USD",'Rates 2y'!$A$2:$A$14,0)))*2)</f>
        <v>0.854589684549054</v>
      </c>
      <c r="E14">
        <f>'FX year-end'!E14*EXP((INDEX('Rates 2y'!$E$2:$E$14,MATCH($A14,'Rates 2y'!$A$2:$A$14,0))-INDEX('Rates 2y'!$E$2:$E$14,MATCH("USD",'Rates 2y'!$A$2:$A$14,0)))*2)</f>
        <v>0.7996303509419284</v>
      </c>
      <c r="F14">
        <f>'FX year-end'!F14*EXP((INDEX('Rates 2y'!$F$2:$F$14,MATCH($A14,'Rates 2y'!$A$2:$A$14,0))-INDEX('Rates 2y'!$F$2:$F$14,MATCH("USD",'Rates 2y'!$A$2:$A$14,0)))*2)</f>
        <v>0.8598218362239025</v>
      </c>
      <c r="G14">
        <f>'FX year-end'!G14*EXP((INDEX('Rates 2y'!$G$2:$G$14,MATCH($A14,'Rates 2y'!$A$2:$A$14,0))-INDEX('Rates 2y'!$G$2:$G$14,MATCH("USD",'Rates 2y'!$A$2:$A$14,0)))*2)</f>
        <v>0.9070261406839302</v>
      </c>
      <c r="H14">
        <f>'FX year-end'!H14*EXP((INDEX('Rates 2y'!$H$2:$H$14,MATCH($A14,'Rates 2y'!$A$2:$A$14,0))-INDEX('Rates 2y'!$H$2:$H$14,MATCH("USD",'Rates 2y'!$A$2:$A$14,0)))*2)</f>
        <v>0.8706717515265163</v>
      </c>
      <c r="I14">
        <f>'FX year-end'!I14*EXP((INDEX('Rates 2y'!$I$2:$I$14,MATCH($A14,'Rates 2y'!$A$2:$A$14,0))-INDEX('Rates 2y'!$I$2:$I$14,MATCH("USD",'Rates 2y'!$A$2:$A$14,0)))*2)</f>
        <v>0.9207082317461266</v>
      </c>
      <c r="J14">
        <f>'FX year-end'!J14*EXP((INDEX('Rates 2y'!$J$2:$J$14,MATCH($A14,'Rates 2y'!$A$2:$A$14,0))-INDEX('Rates 2y'!$J$2:$J$14,MATCH("USD",'Rates 2y'!$A$2:$A$14,0)))*2)</f>
        <v>0.8280864894809347</v>
      </c>
      <c r="K14">
        <f>'FX year-end'!K14*EXP((INDEX('Rates 2y'!$K$2:$K$14,MATCH($A14,'Rates 2y'!$A$2:$A$14,0))-INDEX('Rates 2y'!$K$2:$K$14,MATCH("USD",'Rates 2y'!$A$2:$A$14,0)))*2)</f>
        <v>0.8542931126355717</v>
      </c>
    </row>
    <row r="15"/>
    <row r="16">
      <c r="A16" s="2" t="inlineStr">
        <is>
          <t>Covered-interest-parity forward: spot x exp((r_ccy - r_usd) x 2). Column '2017-&gt;2019' = rate agreed at end-2017 for delivery at end-2019.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Q448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32" customWidth="1" min="2" max="2"/>
    <col width="14" customWidth="1" min="5" max="5"/>
  </cols>
  <sheetData>
    <row r="1">
      <c r="A1" s="1" t="inlineStr">
        <is>
          <t>ticker</t>
        </is>
      </c>
      <c r="B1" s="1" t="inlineStr">
        <is>
          <t>company</t>
        </is>
      </c>
      <c r="C1" s="1" t="inlineStr">
        <is>
          <t>currency</t>
        </is>
      </c>
      <c r="D1" s="1" t="inlineStr">
        <is>
          <t>year</t>
        </is>
      </c>
      <c r="E1" s="1" t="inlineStr">
        <is>
          <t>last_trading_day</t>
        </is>
      </c>
      <c r="F1" s="1" t="inlineStr">
        <is>
          <t>open</t>
        </is>
      </c>
      <c r="G1" s="1" t="inlineStr">
        <is>
          <t>high</t>
        </is>
      </c>
      <c r="H1" s="1" t="inlineStr">
        <is>
          <t>low</t>
        </is>
      </c>
      <c r="I1" s="1" t="inlineStr">
        <is>
          <t>close</t>
        </is>
      </c>
      <c r="J1" s="1" t="inlineStr">
        <is>
          <t>average_close</t>
        </is>
      </c>
      <c r="K1" s="1" t="inlineStr">
        <is>
          <t>dividends_in_year</t>
        </is>
      </c>
      <c r="L1" s="1" t="inlineStr">
        <is>
          <t>dividend_yield</t>
        </is>
      </c>
      <c r="M1" s="1" t="inlineStr">
        <is>
          <t>rate_2y</t>
        </is>
      </c>
      <c r="N1" s="1" t="inlineStr">
        <is>
          <t>forward_2y_price</t>
        </is>
      </c>
      <c r="O1" s="1" t="inlineStr">
        <is>
          <t>forward_for_year</t>
        </is>
      </c>
      <c r="P1" s="1" t="inlineStr">
        <is>
          <t>actual_close_in_forward_year</t>
        </is>
      </c>
      <c r="Q1" s="1" t="inlineStr">
        <is>
          <t>forward_error</t>
        </is>
      </c>
    </row>
    <row r="2">
      <c r="A2" s="2" t="inlineStr">
        <is>
          <t>2259.HK</t>
        </is>
      </c>
      <c r="B2" s="2" t="inlineStr">
        <is>
          <t>Zijin Gold International Co Ltd</t>
        </is>
      </c>
      <c r="C2" s="2" t="inlineStr">
        <is>
          <t>HKD</t>
        </is>
      </c>
      <c r="D2" s="2" t="n">
        <v>2025</v>
      </c>
      <c r="E2" s="12" t="n">
        <v>46022</v>
      </c>
      <c r="F2" s="2" t="n">
        <v>111.5</v>
      </c>
      <c r="G2" s="2" t="n">
        <v>158.9</v>
      </c>
      <c r="H2" s="2" t="n">
        <v>111</v>
      </c>
      <c r="I2" s="2" t="n">
        <v>146.2</v>
      </c>
      <c r="J2" s="2" t="n">
        <v>139.9855</v>
      </c>
      <c r="K2" s="2" t="n">
        <v>0</v>
      </c>
      <c r="L2" s="13" t="n">
        <v>0</v>
      </c>
      <c r="M2" s="13" t="n">
        <v>0.026</v>
      </c>
      <c r="N2" s="2" t="n">
        <v>154.0035</v>
      </c>
      <c r="O2" s="2" t="n">
        <v>2027</v>
      </c>
      <c r="P2" s="2" t="n"/>
      <c r="Q2" s="13" t="n"/>
    </row>
    <row r="3">
      <c r="A3" s="2" t="inlineStr">
        <is>
          <t>2259.HK</t>
        </is>
      </c>
      <c r="B3" s="2" t="inlineStr">
        <is>
          <t>Zijin Gold International Co Ltd</t>
        </is>
      </c>
      <c r="C3" s="2" t="inlineStr">
        <is>
          <t>HKD</t>
        </is>
      </c>
      <c r="D3" s="2" t="n">
        <v>2026</v>
      </c>
      <c r="E3" s="12" t="n">
        <v>46290</v>
      </c>
      <c r="F3" s="2" t="n">
        <v>146.1</v>
      </c>
      <c r="G3" s="2" t="n">
        <v>268</v>
      </c>
      <c r="H3" s="2" t="n">
        <v>84.2</v>
      </c>
      <c r="I3" s="2" t="n">
        <v>143.1</v>
      </c>
      <c r="J3" s="2" t="n">
        <v>157.158</v>
      </c>
      <c r="K3" s="2" t="n">
        <v>3</v>
      </c>
      <c r="L3" s="13" t="n">
        <v>0.021</v>
      </c>
      <c r="M3" s="13" t="n">
        <v>0.026</v>
      </c>
      <c r="N3" s="2" t="n">
        <v>144.5485</v>
      </c>
      <c r="O3" s="2" t="n">
        <v>2028</v>
      </c>
      <c r="P3" s="2" t="n"/>
      <c r="Q3" s="13" t="n"/>
    </row>
    <row r="4">
      <c r="A4" s="2" t="inlineStr">
        <is>
          <t>600988.SS</t>
        </is>
      </c>
      <c r="B4" s="2" t="inlineStr">
        <is>
          <t>Chifeng Jilong Gold Mining Co Ltd</t>
        </is>
      </c>
      <c r="C4" s="2" t="inlineStr">
        <is>
          <t>CNY</t>
        </is>
      </c>
      <c r="D4" s="2" t="n">
        <v>2017</v>
      </c>
      <c r="E4" s="12" t="n">
        <v>43098</v>
      </c>
      <c r="F4" s="2" t="n">
        <v>15.34</v>
      </c>
      <c r="G4" s="2" t="n">
        <v>16.84</v>
      </c>
      <c r="H4" s="2" t="n">
        <v>5.16</v>
      </c>
      <c r="I4" s="2" t="n">
        <v>6.44</v>
      </c>
      <c r="J4" s="2" t="n">
        <v>12.291</v>
      </c>
      <c r="K4" s="2" t="n">
        <v>0</v>
      </c>
      <c r="L4" s="13" t="n">
        <v>0</v>
      </c>
      <c r="M4" s="13" t="n">
        <v>0.035</v>
      </c>
      <c r="N4" s="2" t="n">
        <v>6.907</v>
      </c>
      <c r="O4" s="2" t="n">
        <v>2019</v>
      </c>
      <c r="P4" s="2" t="n">
        <v>5.03</v>
      </c>
      <c r="Q4" s="13" t="n">
        <v>-0.2717</v>
      </c>
    </row>
    <row r="5">
      <c r="A5" s="2" t="inlineStr">
        <is>
          <t>600988.SS</t>
        </is>
      </c>
      <c r="B5" s="2" t="inlineStr">
        <is>
          <t>Chifeng Jilong Gold Mining Co Ltd</t>
        </is>
      </c>
      <c r="C5" s="2" t="inlineStr">
        <is>
          <t>CNY</t>
        </is>
      </c>
      <c r="D5" s="2" t="n">
        <v>2018</v>
      </c>
      <c r="E5" s="12" t="n">
        <v>43462</v>
      </c>
      <c r="F5" s="2" t="n">
        <v>6.48</v>
      </c>
      <c r="G5" s="2" t="n">
        <v>7.63</v>
      </c>
      <c r="H5" s="2" t="n">
        <v>3.85</v>
      </c>
      <c r="I5" s="2" t="n">
        <v>3.99</v>
      </c>
      <c r="J5" s="2" t="n">
        <v>5.259</v>
      </c>
      <c r="K5" s="2" t="n">
        <v>0</v>
      </c>
      <c r="L5" s="13" t="n">
        <v>0</v>
      </c>
      <c r="M5" s="13" t="n">
        <v>0.027</v>
      </c>
      <c r="N5" s="2" t="n">
        <v>4.2114</v>
      </c>
      <c r="O5" s="2" t="n">
        <v>2020</v>
      </c>
      <c r="P5" s="2" t="n">
        <v>17.91</v>
      </c>
      <c r="Q5" s="13" t="n">
        <v>3.2528</v>
      </c>
    </row>
    <row r="6">
      <c r="A6" s="2" t="inlineStr">
        <is>
          <t>600988.SS</t>
        </is>
      </c>
      <c r="B6" s="2" t="inlineStr">
        <is>
          <t>Chifeng Jilong Gold Mining Co Ltd</t>
        </is>
      </c>
      <c r="C6" s="2" t="inlineStr">
        <is>
          <t>CNY</t>
        </is>
      </c>
      <c r="D6" s="2" t="n">
        <v>2019</v>
      </c>
      <c r="E6" s="12" t="n">
        <v>43830</v>
      </c>
      <c r="F6" s="2" t="n">
        <v>3.97</v>
      </c>
      <c r="G6" s="2" t="n">
        <v>6.39</v>
      </c>
      <c r="H6" s="2" t="n">
        <v>3.76</v>
      </c>
      <c r="I6" s="2" t="n">
        <v>5.03</v>
      </c>
      <c r="J6" s="2" t="n">
        <v>4.9005</v>
      </c>
      <c r="K6" s="2" t="n">
        <v>0</v>
      </c>
      <c r="L6" s="13" t="n">
        <v>0</v>
      </c>
      <c r="M6" s="13" t="n">
        <v>0.026</v>
      </c>
      <c r="N6" s="2" t="n">
        <v>5.2985</v>
      </c>
      <c r="O6" s="2" t="n">
        <v>2021</v>
      </c>
      <c r="P6" s="2" t="n">
        <v>14.9</v>
      </c>
      <c r="Q6" s="13" t="n">
        <v>1.8121</v>
      </c>
    </row>
    <row r="7">
      <c r="A7" s="2" t="inlineStr">
        <is>
          <t>600988.SS</t>
        </is>
      </c>
      <c r="B7" s="2" t="inlineStr">
        <is>
          <t>Chifeng Jilong Gold Mining Co Ltd</t>
        </is>
      </c>
      <c r="C7" s="2" t="inlineStr">
        <is>
          <t>CNY</t>
        </is>
      </c>
      <c r="D7" s="2" t="n">
        <v>2020</v>
      </c>
      <c r="E7" s="12" t="n">
        <v>44196</v>
      </c>
      <c r="F7" s="2" t="n">
        <v>4.99</v>
      </c>
      <c r="G7" s="2" t="n">
        <v>25.4</v>
      </c>
      <c r="H7" s="2" t="n">
        <v>4.94</v>
      </c>
      <c r="I7" s="2" t="n">
        <v>17.91</v>
      </c>
      <c r="J7" s="2" t="n">
        <v>13.2228</v>
      </c>
      <c r="K7" s="2" t="n">
        <v>0</v>
      </c>
      <c r="L7" s="13" t="n">
        <v>0</v>
      </c>
      <c r="M7" s="13" t="n">
        <v>0.027</v>
      </c>
      <c r="N7" s="2" t="n">
        <v>18.9037</v>
      </c>
      <c r="O7" s="2" t="n">
        <v>2022</v>
      </c>
      <c r="P7" s="2" t="n">
        <v>18.05</v>
      </c>
      <c r="Q7" s="13" t="n">
        <v>-0.0452</v>
      </c>
    </row>
    <row r="8">
      <c r="A8" s="2" t="inlineStr">
        <is>
          <t>600988.SS</t>
        </is>
      </c>
      <c r="B8" s="2" t="inlineStr">
        <is>
          <t>Chifeng Jilong Gold Mining Co Ltd</t>
        </is>
      </c>
      <c r="C8" s="2" t="inlineStr">
        <is>
          <t>CNY</t>
        </is>
      </c>
      <c r="D8" s="2" t="n">
        <v>2021</v>
      </c>
      <c r="E8" s="12" t="n">
        <v>44561</v>
      </c>
      <c r="F8" s="2" t="n">
        <v>18.31</v>
      </c>
      <c r="G8" s="2" t="n">
        <v>19.49</v>
      </c>
      <c r="H8" s="2" t="n">
        <v>13.85</v>
      </c>
      <c r="I8" s="2" t="n">
        <v>14.9</v>
      </c>
      <c r="J8" s="2" t="n">
        <v>16.1453</v>
      </c>
      <c r="K8" s="2" t="n">
        <v>0</v>
      </c>
      <c r="L8" s="13" t="n">
        <v>0</v>
      </c>
      <c r="M8" s="13" t="n">
        <v>0.023</v>
      </c>
      <c r="N8" s="2" t="n">
        <v>15.6014</v>
      </c>
      <c r="O8" s="2" t="n">
        <v>2023</v>
      </c>
      <c r="P8" s="2" t="n">
        <v>14.01</v>
      </c>
      <c r="Q8" s="13" t="n">
        <v>-0.102</v>
      </c>
    </row>
    <row r="9">
      <c r="A9" s="2" t="inlineStr">
        <is>
          <t>600988.SS</t>
        </is>
      </c>
      <c r="B9" s="2" t="inlineStr">
        <is>
          <t>Chifeng Jilong Gold Mining Co Ltd</t>
        </is>
      </c>
      <c r="C9" s="2" t="inlineStr">
        <is>
          <t>CNY</t>
        </is>
      </c>
      <c r="D9" s="2" t="n">
        <v>2022</v>
      </c>
      <c r="E9" s="12" t="n">
        <v>44925</v>
      </c>
      <c r="F9" s="2" t="n">
        <v>14.79</v>
      </c>
      <c r="G9" s="2" t="n">
        <v>23.3</v>
      </c>
      <c r="H9" s="2" t="n">
        <v>13.5</v>
      </c>
      <c r="I9" s="2" t="n">
        <v>18.05</v>
      </c>
      <c r="J9" s="2" t="n">
        <v>17.9021</v>
      </c>
      <c r="K9" s="2" t="n">
        <v>0</v>
      </c>
      <c r="L9" s="13" t="n">
        <v>0</v>
      </c>
      <c r="M9" s="13" t="n">
        <v>0.023</v>
      </c>
      <c r="N9" s="2" t="n">
        <v>18.8997</v>
      </c>
      <c r="O9" s="2" t="n">
        <v>2024</v>
      </c>
      <c r="P9" s="2" t="n">
        <v>15.61</v>
      </c>
      <c r="Q9" s="13" t="n">
        <v>-0.1741</v>
      </c>
    </row>
    <row r="10">
      <c r="A10" s="2" t="inlineStr">
        <is>
          <t>600988.SS</t>
        </is>
      </c>
      <c r="B10" s="2" t="inlineStr">
        <is>
          <t>Chifeng Jilong Gold Mining Co Ltd</t>
        </is>
      </c>
      <c r="C10" s="2" t="inlineStr">
        <is>
          <t>CNY</t>
        </is>
      </c>
      <c r="D10" s="2" t="n">
        <v>2023</v>
      </c>
      <c r="E10" s="12" t="n">
        <v>45289</v>
      </c>
      <c r="F10" s="2" t="n">
        <v>18.07</v>
      </c>
      <c r="G10" s="2" t="n">
        <v>21.43</v>
      </c>
      <c r="H10" s="2" t="n">
        <v>12.88</v>
      </c>
      <c r="I10" s="2" t="n">
        <v>14.01</v>
      </c>
      <c r="J10" s="2" t="n">
        <v>16.106</v>
      </c>
      <c r="K10" s="2" t="n">
        <v>0</v>
      </c>
      <c r="L10" s="13" t="n">
        <v>0</v>
      </c>
      <c r="M10" s="13" t="n">
        <v>0.022</v>
      </c>
      <c r="N10" s="2" t="n">
        <v>14.6402</v>
      </c>
      <c r="O10" s="2" t="n">
        <v>2025</v>
      </c>
      <c r="P10" s="2" t="n">
        <v>31.24</v>
      </c>
      <c r="Q10" s="13" t="n">
        <v>1.1339</v>
      </c>
    </row>
    <row r="11">
      <c r="A11" s="2" t="inlineStr">
        <is>
          <t>600988.SS</t>
        </is>
      </c>
      <c r="B11" s="2" t="inlineStr">
        <is>
          <t>Chifeng Jilong Gold Mining Co Ltd</t>
        </is>
      </c>
      <c r="C11" s="2" t="inlineStr">
        <is>
          <t>CNY</t>
        </is>
      </c>
      <c r="D11" s="2" t="n">
        <v>2024</v>
      </c>
      <c r="E11" s="12" t="n">
        <v>45657</v>
      </c>
      <c r="F11" s="2" t="n">
        <v>14.02</v>
      </c>
      <c r="G11" s="2" t="n">
        <v>21.68</v>
      </c>
      <c r="H11" s="2" t="n">
        <v>11.23</v>
      </c>
      <c r="I11" s="2" t="n">
        <v>15.61</v>
      </c>
      <c r="J11" s="2" t="n">
        <v>16.9398</v>
      </c>
      <c r="K11" s="2" t="n">
        <v>0.05</v>
      </c>
      <c r="L11" s="13" t="n">
        <v>0.0032</v>
      </c>
      <c r="M11" s="13" t="n">
        <v>0.011</v>
      </c>
      <c r="N11" s="2" t="n">
        <v>15.8553</v>
      </c>
      <c r="O11" s="2" t="n">
        <v>2026</v>
      </c>
      <c r="P11" s="2" t="n">
        <v>40.28</v>
      </c>
      <c r="Q11" s="13" t="n">
        <v>1.5405</v>
      </c>
    </row>
    <row r="12">
      <c r="A12" s="2" t="inlineStr">
        <is>
          <t>600988.SS</t>
        </is>
      </c>
      <c r="B12" s="2" t="inlineStr">
        <is>
          <t>Chifeng Jilong Gold Mining Co Ltd</t>
        </is>
      </c>
      <c r="C12" s="2" t="inlineStr">
        <is>
          <t>CNY</t>
        </is>
      </c>
      <c r="D12" s="2" t="n">
        <v>2025</v>
      </c>
      <c r="E12" s="12" t="n">
        <v>46022</v>
      </c>
      <c r="F12" s="2" t="n">
        <v>15.7</v>
      </c>
      <c r="G12" s="2" t="n">
        <v>34.25</v>
      </c>
      <c r="H12" s="2" t="n">
        <v>15.65</v>
      </c>
      <c r="I12" s="2" t="n">
        <v>31.24</v>
      </c>
      <c r="J12" s="2" t="n">
        <v>25.6136</v>
      </c>
      <c r="K12" s="2" t="n">
        <v>0.16</v>
      </c>
      <c r="L12" s="13" t="n">
        <v>0.0051</v>
      </c>
      <c r="M12" s="13" t="n">
        <v>0.014</v>
      </c>
      <c r="N12" s="2" t="n">
        <v>31.7997</v>
      </c>
      <c r="O12" s="2" t="n">
        <v>2027</v>
      </c>
      <c r="P12" s="2" t="n"/>
      <c r="Q12" s="13" t="n"/>
    </row>
    <row r="13">
      <c r="A13" s="2" t="inlineStr">
        <is>
          <t>600988.SS</t>
        </is>
      </c>
      <c r="B13" s="2" t="inlineStr">
        <is>
          <t>Chifeng Jilong Gold Mining Co Ltd</t>
        </is>
      </c>
      <c r="C13" s="2" t="inlineStr">
        <is>
          <t>CNY</t>
        </is>
      </c>
      <c r="D13" s="2" t="n">
        <v>2026</v>
      </c>
      <c r="E13" s="12" t="n">
        <v>46289</v>
      </c>
      <c r="F13" s="2" t="n">
        <v>31.79</v>
      </c>
      <c r="G13" s="2" t="n">
        <v>51.99</v>
      </c>
      <c r="H13" s="2" t="n">
        <v>25</v>
      </c>
      <c r="I13" s="2" t="n">
        <v>40.28</v>
      </c>
      <c r="J13" s="2" t="n">
        <v>38.528</v>
      </c>
      <c r="K13" s="2" t="n">
        <v>0.32</v>
      </c>
      <c r="L13" s="13" t="n">
        <v>0.007900000000000001</v>
      </c>
      <c r="M13" s="13" t="n">
        <v>0.014</v>
      </c>
      <c r="N13" s="2" t="n">
        <v>40.7708</v>
      </c>
      <c r="O13" s="2" t="n">
        <v>2028</v>
      </c>
      <c r="P13" s="2" t="n"/>
      <c r="Q13" s="13" t="n"/>
    </row>
    <row r="14">
      <c r="A14" s="2" t="inlineStr">
        <is>
          <t>AAUC.TO</t>
        </is>
      </c>
      <c r="B14" s="2" t="inlineStr">
        <is>
          <t>Allied Gold Corp</t>
        </is>
      </c>
      <c r="C14" s="2" t="inlineStr">
        <is>
          <t>CAD</t>
        </is>
      </c>
      <c r="D14" s="2" t="n">
        <v>2023</v>
      </c>
      <c r="E14" s="12" t="n">
        <v>45289</v>
      </c>
      <c r="F14" s="2" t="n">
        <v>5.25</v>
      </c>
      <c r="G14" s="2" t="n">
        <v>5.9</v>
      </c>
      <c r="H14" s="2" t="n">
        <v>3.39</v>
      </c>
      <c r="I14" s="2" t="n">
        <v>3.51</v>
      </c>
      <c r="J14" s="2" t="n">
        <v>4.1607</v>
      </c>
      <c r="K14" s="2" t="n">
        <v>0</v>
      </c>
      <c r="L14" s="13" t="n">
        <v>0</v>
      </c>
      <c r="M14" s="13" t="n">
        <v>0.0388</v>
      </c>
      <c r="N14" s="2" t="n">
        <v>3.7932</v>
      </c>
      <c r="O14" s="2" t="n">
        <v>2025</v>
      </c>
      <c r="P14" s="2" t="n">
        <v>31.45</v>
      </c>
      <c r="Q14" s="13" t="n">
        <v>1.7637</v>
      </c>
    </row>
    <row r="15">
      <c r="A15" s="2" t="inlineStr">
        <is>
          <t>AAUC.TO</t>
        </is>
      </c>
      <c r="B15" s="2" t="inlineStr">
        <is>
          <t>Allied Gold Corp</t>
        </is>
      </c>
      <c r="C15" s="2" t="inlineStr">
        <is>
          <t>CAD</t>
        </is>
      </c>
      <c r="D15" s="2" t="n">
        <v>2024</v>
      </c>
      <c r="E15" s="12" t="n">
        <v>45657</v>
      </c>
      <c r="F15" s="2" t="n">
        <v>3.54</v>
      </c>
      <c r="G15" s="2" t="n">
        <v>4.5</v>
      </c>
      <c r="H15" s="2" t="n">
        <v>2.69</v>
      </c>
      <c r="I15" s="2" t="n">
        <v>3.41</v>
      </c>
      <c r="J15" s="2" t="n">
        <v>3.3269</v>
      </c>
      <c r="K15" s="2" t="n">
        <v>0</v>
      </c>
      <c r="L15" s="13" t="n">
        <v>0</v>
      </c>
      <c r="M15" s="13" t="n">
        <v>0.0293</v>
      </c>
      <c r="N15" s="2" t="n">
        <v>3.6158</v>
      </c>
      <c r="O15" s="2" t="n">
        <v>2026</v>
      </c>
      <c r="P15" s="2" t="n">
        <v>31.55</v>
      </c>
      <c r="Q15" s="13" t="n">
        <v>1.9085</v>
      </c>
    </row>
    <row r="16">
      <c r="A16" s="2" t="inlineStr">
        <is>
          <t>AAUC.TO</t>
        </is>
      </c>
      <c r="B16" s="2" t="inlineStr">
        <is>
          <t>Allied Gold Corp</t>
        </is>
      </c>
      <c r="C16" s="2" t="inlineStr">
        <is>
          <t>CAD</t>
        </is>
      </c>
      <c r="D16" s="2" t="n">
        <v>2025</v>
      </c>
      <c r="E16" s="12" t="n">
        <v>46022</v>
      </c>
      <c r="F16" s="2" t="n">
        <v>3.45</v>
      </c>
      <c r="G16" s="2" t="n">
        <v>34.58</v>
      </c>
      <c r="H16" s="2" t="n">
        <v>3.25</v>
      </c>
      <c r="I16" s="2" t="n">
        <v>31.45</v>
      </c>
      <c r="J16" s="2" t="n">
        <v>15.5623</v>
      </c>
      <c r="K16" s="2" t="n">
        <v>0</v>
      </c>
      <c r="L16" s="13" t="n">
        <v>0</v>
      </c>
      <c r="M16" s="13" t="n">
        <v>0.026</v>
      </c>
      <c r="N16" s="2" t="n">
        <v>33.1287</v>
      </c>
      <c r="O16" s="2" t="n">
        <v>2027</v>
      </c>
      <c r="P16" s="2" t="n"/>
      <c r="Q16" s="13" t="n"/>
    </row>
    <row r="17">
      <c r="A17" s="2" t="inlineStr">
        <is>
          <t>AAUC.TO</t>
        </is>
      </c>
      <c r="B17" s="2" t="inlineStr">
        <is>
          <t>Allied Gold Corp</t>
        </is>
      </c>
      <c r="C17" s="2" t="inlineStr">
        <is>
          <t>CAD</t>
        </is>
      </c>
      <c r="D17" s="2" t="n">
        <v>2026</v>
      </c>
      <c r="E17" s="12" t="n">
        <v>46290</v>
      </c>
      <c r="F17" s="2" t="n">
        <v>32.02</v>
      </c>
      <c r="G17" s="2" t="n">
        <v>43.77</v>
      </c>
      <c r="H17" s="2" t="n">
        <v>23.82</v>
      </c>
      <c r="I17" s="2" t="n">
        <v>31.55</v>
      </c>
      <c r="J17" s="2" t="n">
        <v>37.1946</v>
      </c>
      <c r="K17" s="2" t="n">
        <v>0</v>
      </c>
      <c r="L17" s="13" t="n">
        <v>0</v>
      </c>
      <c r="M17" s="13" t="n">
        <v>0.026</v>
      </c>
      <c r="N17" s="2" t="n">
        <v>33.234</v>
      </c>
      <c r="O17" s="2" t="n">
        <v>2028</v>
      </c>
      <c r="P17" s="2" t="n"/>
      <c r="Q17" s="13" t="n"/>
    </row>
    <row r="18">
      <c r="A18" s="2" t="inlineStr">
        <is>
          <t>AGI.TO</t>
        </is>
      </c>
      <c r="B18" s="2" t="inlineStr">
        <is>
          <t>Alamos Gold Inc</t>
        </is>
      </c>
      <c r="C18" s="2" t="inlineStr">
        <is>
          <t>CAD</t>
        </is>
      </c>
      <c r="D18" s="2" t="n">
        <v>2017</v>
      </c>
      <c r="E18" s="12" t="n">
        <v>43098</v>
      </c>
      <c r="F18" s="2" t="n">
        <v>9.35</v>
      </c>
      <c r="G18" s="2" t="n">
        <v>11.83</v>
      </c>
      <c r="H18" s="2" t="n">
        <v>7.53</v>
      </c>
      <c r="I18" s="2" t="n">
        <v>8.19</v>
      </c>
      <c r="J18" s="2" t="n">
        <v>9.4024</v>
      </c>
      <c r="K18" s="2" t="n">
        <v>0.025</v>
      </c>
      <c r="L18" s="13" t="n">
        <v>0.0031</v>
      </c>
      <c r="M18" s="13" t="n">
        <v>0.0169</v>
      </c>
      <c r="N18" s="2" t="n">
        <v>8.42</v>
      </c>
      <c r="O18" s="2" t="n">
        <v>2019</v>
      </c>
      <c r="P18" s="2" t="n">
        <v>7.83</v>
      </c>
      <c r="Q18" s="13" t="n">
        <v>-0.0701</v>
      </c>
    </row>
    <row r="19">
      <c r="A19" s="2" t="inlineStr">
        <is>
          <t>AGI.TO</t>
        </is>
      </c>
      <c r="B19" s="2" t="inlineStr">
        <is>
          <t>Alamos Gold Inc</t>
        </is>
      </c>
      <c r="C19" s="2" t="inlineStr">
        <is>
          <t>CAD</t>
        </is>
      </c>
      <c r="D19" s="2" t="n">
        <v>2018</v>
      </c>
      <c r="E19" s="12" t="n">
        <v>43465</v>
      </c>
      <c r="F19" s="2" t="n">
        <v>8.23</v>
      </c>
      <c r="G19" s="2" t="n">
        <v>8.49</v>
      </c>
      <c r="H19" s="2" t="n">
        <v>3.88</v>
      </c>
      <c r="I19" s="2" t="n">
        <v>4.91</v>
      </c>
      <c r="J19" s="2" t="n">
        <v>6.4414</v>
      </c>
      <c r="K19" s="2" t="n">
        <v>0.026</v>
      </c>
      <c r="L19" s="13" t="n">
        <v>0.0053</v>
      </c>
      <c r="M19" s="13" t="n">
        <v>0.0186</v>
      </c>
      <c r="N19" s="2" t="n">
        <v>5.0424</v>
      </c>
      <c r="O19" s="2" t="n">
        <v>2020</v>
      </c>
      <c r="P19" s="2" t="n">
        <v>11.12</v>
      </c>
      <c r="Q19" s="13" t="n">
        <v>1.2053</v>
      </c>
    </row>
    <row r="20">
      <c r="A20" s="2" t="inlineStr">
        <is>
          <t>AGI.TO</t>
        </is>
      </c>
      <c r="B20" s="2" t="inlineStr">
        <is>
          <t>Alamos Gold Inc</t>
        </is>
      </c>
      <c r="C20" s="2" t="inlineStr">
        <is>
          <t>CAD</t>
        </is>
      </c>
      <c r="D20" s="2" t="n">
        <v>2019</v>
      </c>
      <c r="E20" s="12" t="n">
        <v>43830</v>
      </c>
      <c r="F20" s="2" t="n">
        <v>4.91</v>
      </c>
      <c r="G20" s="2" t="n">
        <v>10.12</v>
      </c>
      <c r="H20" s="2" t="n">
        <v>4.88</v>
      </c>
      <c r="I20" s="2" t="n">
        <v>7.83</v>
      </c>
      <c r="J20" s="2" t="n">
        <v>7.182</v>
      </c>
      <c r="K20" s="2" t="n">
        <v>0.052</v>
      </c>
      <c r="L20" s="13" t="n">
        <v>0.0066</v>
      </c>
      <c r="M20" s="13" t="n">
        <v>0.017</v>
      </c>
      <c r="N20" s="2" t="n">
        <v>7.9939</v>
      </c>
      <c r="O20" s="2" t="n">
        <v>2021</v>
      </c>
      <c r="P20" s="2" t="n">
        <v>9.73</v>
      </c>
      <c r="Q20" s="13" t="n">
        <v>0.2172</v>
      </c>
    </row>
    <row r="21">
      <c r="A21" s="2" t="inlineStr">
        <is>
          <t>AGI.TO</t>
        </is>
      </c>
      <c r="B21" s="2" t="inlineStr">
        <is>
          <t>Alamos Gold Inc</t>
        </is>
      </c>
      <c r="C21" s="2" t="inlineStr">
        <is>
          <t>CAD</t>
        </is>
      </c>
      <c r="D21" s="2" t="n">
        <v>2020</v>
      </c>
      <c r="E21" s="12" t="n">
        <v>44196</v>
      </c>
      <c r="F21" s="2" t="n">
        <v>7.98</v>
      </c>
      <c r="G21" s="2" t="n">
        <v>15.52</v>
      </c>
      <c r="H21" s="2" t="n">
        <v>4.43</v>
      </c>
      <c r="I21" s="2" t="n">
        <v>11.12</v>
      </c>
      <c r="J21" s="2" t="n">
        <v>10.8784</v>
      </c>
      <c r="K21" s="2" t="n">
        <v>0.08699999999999999</v>
      </c>
      <c r="L21" s="13" t="n">
        <v>0.0078</v>
      </c>
      <c r="M21" s="13" t="n">
        <v>0.002</v>
      </c>
      <c r="N21" s="2" t="n">
        <v>10.9912</v>
      </c>
      <c r="O21" s="2" t="n">
        <v>2022</v>
      </c>
      <c r="P21" s="2" t="n">
        <v>13.69</v>
      </c>
      <c r="Q21" s="13" t="n">
        <v>0.2455</v>
      </c>
    </row>
    <row r="22">
      <c r="A22" s="2" t="inlineStr">
        <is>
          <t>AGI.TO</t>
        </is>
      </c>
      <c r="B22" s="2" t="inlineStr">
        <is>
          <t>Alamos Gold Inc</t>
        </is>
      </c>
      <c r="C22" s="2" t="inlineStr">
        <is>
          <t>CAD</t>
        </is>
      </c>
      <c r="D22" s="2" t="n">
        <v>2021</v>
      </c>
      <c r="E22" s="12" t="n">
        <v>44561</v>
      </c>
      <c r="F22" s="2" t="n">
        <v>11.66</v>
      </c>
      <c r="G22" s="2" t="n">
        <v>12.63</v>
      </c>
      <c r="H22" s="2" t="n">
        <v>8.6</v>
      </c>
      <c r="I22" s="2" t="n">
        <v>9.73</v>
      </c>
      <c r="J22" s="2" t="n">
        <v>10.0176</v>
      </c>
      <c r="K22" s="2" t="n">
        <v>0.125</v>
      </c>
      <c r="L22" s="13" t="n">
        <v>0.0128</v>
      </c>
      <c r="M22" s="13" t="n">
        <v>0.0095</v>
      </c>
      <c r="N22" s="2" t="n">
        <v>9.665100000000001</v>
      </c>
      <c r="O22" s="2" t="n">
        <v>2023</v>
      </c>
      <c r="P22" s="2" t="n">
        <v>17.82</v>
      </c>
      <c r="Q22" s="13" t="n">
        <v>0.8437</v>
      </c>
    </row>
    <row r="23">
      <c r="A23" s="2" t="inlineStr">
        <is>
          <t>AGI.TO</t>
        </is>
      </c>
      <c r="B23" s="2" t="inlineStr">
        <is>
          <t>Alamos Gold Inc</t>
        </is>
      </c>
      <c r="C23" s="2" t="inlineStr">
        <is>
          <t>CAD</t>
        </is>
      </c>
      <c r="D23" s="2" t="n">
        <v>2022</v>
      </c>
      <c r="E23" s="12" t="n">
        <v>44925</v>
      </c>
      <c r="F23" s="2" t="n">
        <v>9.539999999999999</v>
      </c>
      <c r="G23" s="2" t="n">
        <v>14.04</v>
      </c>
      <c r="H23" s="2" t="n">
        <v>8.300000000000001</v>
      </c>
      <c r="I23" s="2" t="n">
        <v>13.69</v>
      </c>
      <c r="J23" s="2" t="n">
        <v>10.2553</v>
      </c>
      <c r="K23" s="2" t="n">
        <v>0.131</v>
      </c>
      <c r="L23" s="13" t="n">
        <v>0.009599999999999999</v>
      </c>
      <c r="M23" s="13" t="n">
        <v>0.0405</v>
      </c>
      <c r="N23" s="2" t="n">
        <v>14.5636</v>
      </c>
      <c r="O23" s="2" t="n">
        <v>2024</v>
      </c>
      <c r="P23" s="2" t="n">
        <v>26.52</v>
      </c>
      <c r="Q23" s="13" t="n">
        <v>0.821</v>
      </c>
    </row>
    <row r="24">
      <c r="A24" s="2" t="inlineStr">
        <is>
          <t>AGI.TO</t>
        </is>
      </c>
      <c r="B24" s="2" t="inlineStr">
        <is>
          <t>Alamos Gold Inc</t>
        </is>
      </c>
      <c r="C24" s="2" t="inlineStr">
        <is>
          <t>CAD</t>
        </is>
      </c>
      <c r="D24" s="2" t="n">
        <v>2023</v>
      </c>
      <c r="E24" s="12" t="n">
        <v>45289</v>
      </c>
      <c r="F24" s="2" t="n">
        <v>13.98</v>
      </c>
      <c r="G24" s="2" t="n">
        <v>20.2</v>
      </c>
      <c r="H24" s="2" t="n">
        <v>13.35</v>
      </c>
      <c r="I24" s="2" t="n">
        <v>17.82</v>
      </c>
      <c r="J24" s="2" t="n">
        <v>16.4242</v>
      </c>
      <c r="K24" s="2" t="n">
        <v>0.135</v>
      </c>
      <c r="L24" s="13" t="n">
        <v>0.0076</v>
      </c>
      <c r="M24" s="13" t="n">
        <v>0.0388</v>
      </c>
      <c r="N24" s="2" t="n">
        <v>18.9683</v>
      </c>
      <c r="O24" s="2" t="n">
        <v>2025</v>
      </c>
      <c r="P24" s="2" t="n">
        <v>53</v>
      </c>
      <c r="Q24" s="13" t="n">
        <v>1.7941</v>
      </c>
    </row>
    <row r="25">
      <c r="A25" s="2" t="inlineStr">
        <is>
          <t>AGI.TO</t>
        </is>
      </c>
      <c r="B25" s="2" t="inlineStr">
        <is>
          <t>Alamos Gold Inc</t>
        </is>
      </c>
      <c r="C25" s="2" t="inlineStr">
        <is>
          <t>CAD</t>
        </is>
      </c>
      <c r="D25" s="2" t="n">
        <v>2024</v>
      </c>
      <c r="E25" s="12" t="n">
        <v>45657</v>
      </c>
      <c r="F25" s="2" t="n">
        <v>17.89</v>
      </c>
      <c r="G25" s="2" t="n">
        <v>29.66</v>
      </c>
      <c r="H25" s="2" t="n">
        <v>15.27</v>
      </c>
      <c r="I25" s="2" t="n">
        <v>26.52</v>
      </c>
      <c r="J25" s="2" t="n">
        <v>22.6529</v>
      </c>
      <c r="K25" s="2" t="n">
        <v>0.137</v>
      </c>
      <c r="L25" s="13" t="n">
        <v>0.0052</v>
      </c>
      <c r="M25" s="13" t="n">
        <v>0.0293</v>
      </c>
      <c r="N25" s="2" t="n">
        <v>27.8315</v>
      </c>
      <c r="O25" s="2" t="n">
        <v>2026</v>
      </c>
      <c r="P25" s="2" t="n">
        <v>48.83</v>
      </c>
      <c r="Q25" s="13" t="n">
        <v>0.7544999999999999</v>
      </c>
    </row>
    <row r="26">
      <c r="A26" s="2" t="inlineStr">
        <is>
          <t>AGI.TO</t>
        </is>
      </c>
      <c r="B26" s="2" t="inlineStr">
        <is>
          <t>Alamos Gold Inc</t>
        </is>
      </c>
      <c r="C26" s="2" t="inlineStr">
        <is>
          <t>CAD</t>
        </is>
      </c>
      <c r="D26" s="2" t="n">
        <v>2025</v>
      </c>
      <c r="E26" s="12" t="n">
        <v>46022</v>
      </c>
      <c r="F26" s="2" t="n">
        <v>26.99</v>
      </c>
      <c r="G26" s="2" t="n">
        <v>56.14</v>
      </c>
      <c r="H26" s="2" t="n">
        <v>26.78</v>
      </c>
      <c r="I26" s="2" t="n">
        <v>53</v>
      </c>
      <c r="J26" s="2" t="n">
        <v>39.3349</v>
      </c>
      <c r="K26" s="2" t="n">
        <v>0.14</v>
      </c>
      <c r="L26" s="13" t="n">
        <v>0.0026</v>
      </c>
      <c r="M26" s="13" t="n">
        <v>0.026</v>
      </c>
      <c r="N26" s="2" t="n">
        <v>55.5347</v>
      </c>
      <c r="O26" s="2" t="n">
        <v>2027</v>
      </c>
      <c r="P26" s="2" t="n"/>
      <c r="Q26" s="13" t="n"/>
    </row>
    <row r="27">
      <c r="A27" s="2" t="inlineStr">
        <is>
          <t>AGI.TO</t>
        </is>
      </c>
      <c r="B27" s="2" t="inlineStr">
        <is>
          <t>Alamos Gold Inc</t>
        </is>
      </c>
      <c r="C27" s="2" t="inlineStr">
        <is>
          <t>CAD</t>
        </is>
      </c>
      <c r="D27" s="2" t="n">
        <v>2026</v>
      </c>
      <c r="E27" s="12" t="n">
        <v>46290</v>
      </c>
      <c r="F27" s="2" t="n">
        <v>53.92</v>
      </c>
      <c r="G27" s="2" t="n">
        <v>75.78</v>
      </c>
      <c r="H27" s="2" t="n">
        <v>38.03</v>
      </c>
      <c r="I27" s="2" t="n">
        <v>48.83</v>
      </c>
      <c r="J27" s="2" t="n">
        <v>54.2118</v>
      </c>
      <c r="K27" s="2" t="n">
        <v>0.165</v>
      </c>
      <c r="L27" s="13" t="n">
        <v>0.0034</v>
      </c>
      <c r="M27" s="13" t="n">
        <v>0.026</v>
      </c>
      <c r="N27" s="2" t="n">
        <v>51.0899</v>
      </c>
      <c r="O27" s="2" t="n">
        <v>2028</v>
      </c>
      <c r="P27" s="2" t="n"/>
      <c r="Q27" s="13" t="n"/>
    </row>
    <row r="28">
      <c r="A28" s="2" t="inlineStr">
        <is>
          <t>ALK.AX</t>
        </is>
      </c>
      <c r="B28" s="2" t="inlineStr">
        <is>
          <t>Alkane Resources Ltd</t>
        </is>
      </c>
      <c r="C28" s="2" t="inlineStr">
        <is>
          <t>AUD</t>
        </is>
      </c>
      <c r="D28" s="2" t="n">
        <v>2017</v>
      </c>
      <c r="E28" s="12" t="n">
        <v>43098</v>
      </c>
      <c r="F28" s="2" t="n">
        <v>0.34</v>
      </c>
      <c r="G28" s="2" t="n">
        <v>0.445</v>
      </c>
      <c r="H28" s="2" t="n">
        <v>0.215</v>
      </c>
      <c r="I28" s="2" t="n">
        <v>0.33</v>
      </c>
      <c r="J28" s="2" t="n">
        <v>0.3116</v>
      </c>
      <c r="K28" s="2" t="n">
        <v>0</v>
      </c>
      <c r="L28" s="13" t="n">
        <v>0</v>
      </c>
      <c r="M28" s="13" t="n">
        <v>0.02</v>
      </c>
      <c r="N28" s="2" t="n">
        <v>0.3435</v>
      </c>
      <c r="O28" s="2" t="n">
        <v>2019</v>
      </c>
      <c r="P28" s="2" t="n">
        <v>0.5853</v>
      </c>
      <c r="Q28" s="13" t="n">
        <v>0.9653</v>
      </c>
    </row>
    <row r="29">
      <c r="A29" s="2" t="inlineStr">
        <is>
          <t>ALK.AX</t>
        </is>
      </c>
      <c r="B29" s="2" t="inlineStr">
        <is>
          <t>Alkane Resources Ltd</t>
        </is>
      </c>
      <c r="C29" s="2" t="inlineStr">
        <is>
          <t>AUD</t>
        </is>
      </c>
      <c r="D29" s="2" t="n">
        <v>2018</v>
      </c>
      <c r="E29" s="12" t="n">
        <v>43465</v>
      </c>
      <c r="F29" s="2" t="n">
        <v>0.325</v>
      </c>
      <c r="G29" s="2" t="n">
        <v>0.375</v>
      </c>
      <c r="H29" s="2" t="n">
        <v>0.18</v>
      </c>
      <c r="I29" s="2" t="n">
        <v>0.195</v>
      </c>
      <c r="J29" s="2" t="n">
        <v>0.2516</v>
      </c>
      <c r="K29" s="2" t="n">
        <v>0</v>
      </c>
      <c r="L29" s="13" t="n">
        <v>0</v>
      </c>
      <c r="M29" s="13" t="n">
        <v>0.019</v>
      </c>
      <c r="N29" s="2" t="n">
        <v>0.2026</v>
      </c>
      <c r="O29" s="2" t="n">
        <v>2020</v>
      </c>
      <c r="P29" s="2" t="n">
        <v>0.955</v>
      </c>
      <c r="Q29" s="13" t="n">
        <v>4.6717</v>
      </c>
    </row>
    <row r="30">
      <c r="A30" s="2" t="inlineStr">
        <is>
          <t>ALK.AX</t>
        </is>
      </c>
      <c r="B30" s="2" t="inlineStr">
        <is>
          <t>Alkane Resources Ltd</t>
        </is>
      </c>
      <c r="C30" s="2" t="inlineStr">
        <is>
          <t>AUD</t>
        </is>
      </c>
      <c r="D30" s="2" t="n">
        <v>2019</v>
      </c>
      <c r="E30" s="12" t="n">
        <v>43830</v>
      </c>
      <c r="F30" s="2" t="n">
        <v>0.195</v>
      </c>
      <c r="G30" s="2" t="n">
        <v>0.8646</v>
      </c>
      <c r="H30" s="2" t="n">
        <v>0.18</v>
      </c>
      <c r="I30" s="2" t="n">
        <v>0.5853</v>
      </c>
      <c r="J30" s="2" t="n">
        <v>0.4082</v>
      </c>
      <c r="K30" s="2" t="n">
        <v>0</v>
      </c>
      <c r="L30" s="13" t="n">
        <v>0</v>
      </c>
      <c r="M30" s="13" t="n">
        <v>0.008999999999999999</v>
      </c>
      <c r="N30" s="2" t="n">
        <v>0.5959</v>
      </c>
      <c r="O30" s="2" t="n">
        <v>2021</v>
      </c>
      <c r="P30" s="2" t="n">
        <v>0.915</v>
      </c>
      <c r="Q30" s="13" t="n">
        <v>0.6016</v>
      </c>
    </row>
    <row r="31">
      <c r="A31" s="2" t="inlineStr">
        <is>
          <t>ALK.AX</t>
        </is>
      </c>
      <c r="B31" s="2" t="inlineStr">
        <is>
          <t>Alkane Resources Ltd</t>
        </is>
      </c>
      <c r="C31" s="2" t="inlineStr">
        <is>
          <t>AUD</t>
        </is>
      </c>
      <c r="D31" s="2" t="n">
        <v>2020</v>
      </c>
      <c r="E31" s="12" t="n">
        <v>44196</v>
      </c>
      <c r="F31" s="2" t="n">
        <v>0.5753</v>
      </c>
      <c r="G31" s="2" t="n">
        <v>1.54</v>
      </c>
      <c r="H31" s="2" t="n">
        <v>0.4652</v>
      </c>
      <c r="I31" s="2" t="n">
        <v>0.955</v>
      </c>
      <c r="J31" s="2" t="n">
        <v>0.9965000000000001</v>
      </c>
      <c r="K31" s="2" t="n">
        <v>0</v>
      </c>
      <c r="L31" s="13" t="n">
        <v>0</v>
      </c>
      <c r="M31" s="13" t="n">
        <v>0.001</v>
      </c>
      <c r="N31" s="2" t="n">
        <v>0.9569</v>
      </c>
      <c r="O31" s="2" t="n">
        <v>2022</v>
      </c>
      <c r="P31" s="2" t="n">
        <v>0.535</v>
      </c>
      <c r="Q31" s="13" t="n">
        <v>-0.4409</v>
      </c>
    </row>
    <row r="32">
      <c r="A32" s="2" t="inlineStr">
        <is>
          <t>ALK.AX</t>
        </is>
      </c>
      <c r="B32" s="2" t="inlineStr">
        <is>
          <t>Alkane Resources Ltd</t>
        </is>
      </c>
      <c r="C32" s="2" t="inlineStr">
        <is>
          <t>AUD</t>
        </is>
      </c>
      <c r="D32" s="2" t="n">
        <v>2021</v>
      </c>
      <c r="E32" s="12" t="n">
        <v>44561</v>
      </c>
      <c r="F32" s="2" t="n">
        <v>0.965</v>
      </c>
      <c r="G32" s="2" t="n">
        <v>1.255</v>
      </c>
      <c r="H32" s="2" t="n">
        <v>0.655</v>
      </c>
      <c r="I32" s="2" t="n">
        <v>0.915</v>
      </c>
      <c r="J32" s="2" t="n">
        <v>0.8905</v>
      </c>
      <c r="K32" s="2" t="n">
        <v>0</v>
      </c>
      <c r="L32" s="13" t="n">
        <v>0</v>
      </c>
      <c r="M32" s="13" t="n">
        <v>0.006</v>
      </c>
      <c r="N32" s="2" t="n">
        <v>0.926</v>
      </c>
      <c r="O32" s="2" t="n">
        <v>2023</v>
      </c>
      <c r="P32" s="2" t="n">
        <v>0.655</v>
      </c>
      <c r="Q32" s="13" t="n">
        <v>-0.2927</v>
      </c>
    </row>
    <row r="33">
      <c r="A33" s="2" t="inlineStr">
        <is>
          <t>ALK.AX</t>
        </is>
      </c>
      <c r="B33" s="2" t="inlineStr">
        <is>
          <t>Alkane Resources Ltd</t>
        </is>
      </c>
      <c r="C33" s="2" t="inlineStr">
        <is>
          <t>AUD</t>
        </is>
      </c>
      <c r="D33" s="2" t="n">
        <v>2022</v>
      </c>
      <c r="E33" s="12" t="n">
        <v>44925</v>
      </c>
      <c r="F33" s="2" t="n">
        <v>0.92</v>
      </c>
      <c r="G33" s="2" t="n">
        <v>1.31</v>
      </c>
      <c r="H33" s="2" t="n">
        <v>0.525</v>
      </c>
      <c r="I33" s="2" t="n">
        <v>0.535</v>
      </c>
      <c r="J33" s="2" t="n">
        <v>0.8290999999999999</v>
      </c>
      <c r="K33" s="2" t="n">
        <v>0</v>
      </c>
      <c r="L33" s="13" t="n">
        <v>0</v>
      </c>
      <c r="M33" s="13" t="n">
        <v>0.035</v>
      </c>
      <c r="N33" s="2" t="n">
        <v>0.5738</v>
      </c>
      <c r="O33" s="2" t="n">
        <v>2024</v>
      </c>
      <c r="P33" s="2" t="n">
        <v>0.51</v>
      </c>
      <c r="Q33" s="13" t="n">
        <v>-0.1112</v>
      </c>
    </row>
    <row r="34">
      <c r="A34" s="2" t="inlineStr">
        <is>
          <t>ALK.AX</t>
        </is>
      </c>
      <c r="B34" s="2" t="inlineStr">
        <is>
          <t>Alkane Resources Ltd</t>
        </is>
      </c>
      <c r="C34" s="2" t="inlineStr">
        <is>
          <t>AUD</t>
        </is>
      </c>
      <c r="D34" s="2" t="n">
        <v>2023</v>
      </c>
      <c r="E34" s="12" t="n">
        <v>45289</v>
      </c>
      <c r="F34" s="2" t="n">
        <v>0.545</v>
      </c>
      <c r="G34" s="2" t="n">
        <v>0.955</v>
      </c>
      <c r="H34" s="2" t="n">
        <v>0.535</v>
      </c>
      <c r="I34" s="2" t="n">
        <v>0.655</v>
      </c>
      <c r="J34" s="2" t="n">
        <v>0.6995</v>
      </c>
      <c r="K34" s="2" t="n">
        <v>0</v>
      </c>
      <c r="L34" s="13" t="n">
        <v>0</v>
      </c>
      <c r="M34" s="13" t="n">
        <v>0.037</v>
      </c>
      <c r="N34" s="2" t="n">
        <v>0.7053</v>
      </c>
      <c r="O34" s="2" t="n">
        <v>2025</v>
      </c>
      <c r="P34" s="2" t="n">
        <v>1.345</v>
      </c>
      <c r="Q34" s="13" t="n">
        <v>0.907</v>
      </c>
    </row>
    <row r="35">
      <c r="A35" s="2" t="inlineStr">
        <is>
          <t>ALK.AX</t>
        </is>
      </c>
      <c r="B35" s="2" t="inlineStr">
        <is>
          <t>Alkane Resources Ltd</t>
        </is>
      </c>
      <c r="C35" s="2" t="inlineStr">
        <is>
          <t>AUD</t>
        </is>
      </c>
      <c r="D35" s="2" t="n">
        <v>2024</v>
      </c>
      <c r="E35" s="12" t="n">
        <v>45657</v>
      </c>
      <c r="F35" s="2" t="n">
        <v>0.655</v>
      </c>
      <c r="G35" s="2" t="n">
        <v>0.705</v>
      </c>
      <c r="H35" s="2" t="n">
        <v>0.38</v>
      </c>
      <c r="I35" s="2" t="n">
        <v>0.51</v>
      </c>
      <c r="J35" s="2" t="n">
        <v>0.5299</v>
      </c>
      <c r="K35" s="2" t="n">
        <v>0</v>
      </c>
      <c r="L35" s="13" t="n">
        <v>0</v>
      </c>
      <c r="M35" s="13" t="n">
        <v>0.0385</v>
      </c>
      <c r="N35" s="2" t="n">
        <v>0.5508</v>
      </c>
      <c r="O35" s="2" t="n">
        <v>2026</v>
      </c>
      <c r="P35" s="2" t="n">
        <v>1.895</v>
      </c>
      <c r="Q35" s="13" t="n">
        <v>2.4403</v>
      </c>
    </row>
    <row r="36">
      <c r="A36" s="2" t="inlineStr">
        <is>
          <t>ALK.AX</t>
        </is>
      </c>
      <c r="B36" s="2" t="inlineStr">
        <is>
          <t>Alkane Resources Ltd</t>
        </is>
      </c>
      <c r="C36" s="2" t="inlineStr">
        <is>
          <t>AUD</t>
        </is>
      </c>
      <c r="D36" s="2" t="n">
        <v>2025</v>
      </c>
      <c r="E36" s="12" t="n">
        <v>46022</v>
      </c>
      <c r="F36" s="2" t="n">
        <v>0.51</v>
      </c>
      <c r="G36" s="2" t="n">
        <v>1.425</v>
      </c>
      <c r="H36" s="2" t="n">
        <v>0.46</v>
      </c>
      <c r="I36" s="2" t="n">
        <v>1.345</v>
      </c>
      <c r="J36" s="2" t="n">
        <v>0.8317</v>
      </c>
      <c r="K36" s="2" t="n">
        <v>0</v>
      </c>
      <c r="L36" s="13" t="n">
        <v>0</v>
      </c>
      <c r="M36" s="13" t="n">
        <v>0.039</v>
      </c>
      <c r="N36" s="2" t="n">
        <v>1.4541</v>
      </c>
      <c r="O36" s="2" t="n">
        <v>2027</v>
      </c>
      <c r="P36" s="2" t="n"/>
      <c r="Q36" s="13" t="n"/>
    </row>
    <row r="37">
      <c r="A37" s="2" t="inlineStr">
        <is>
          <t>ALK.AX</t>
        </is>
      </c>
      <c r="B37" s="2" t="inlineStr">
        <is>
          <t>Alkane Resources Ltd</t>
        </is>
      </c>
      <c r="C37" s="2" t="inlineStr">
        <is>
          <t>AUD</t>
        </is>
      </c>
      <c r="D37" s="2" t="n">
        <v>2026</v>
      </c>
      <c r="E37" s="12" t="n">
        <v>46290</v>
      </c>
      <c r="F37" s="2" t="n">
        <v>1.33</v>
      </c>
      <c r="G37" s="2" t="n">
        <v>2.015</v>
      </c>
      <c r="H37" s="2" t="n">
        <v>1.265</v>
      </c>
      <c r="I37" s="2" t="n">
        <v>1.895</v>
      </c>
      <c r="J37" s="2" t="n">
        <v>1.5824</v>
      </c>
      <c r="K37" s="2" t="n">
        <v>0.02</v>
      </c>
      <c r="L37" s="13" t="n">
        <v>0.0106</v>
      </c>
      <c r="M37" s="13" t="n">
        <v>0.039</v>
      </c>
      <c r="N37" s="2" t="n">
        <v>2.0059</v>
      </c>
      <c r="O37" s="2" t="n">
        <v>2028</v>
      </c>
      <c r="P37" s="2" t="n"/>
      <c r="Q37" s="13" t="n"/>
    </row>
    <row r="38">
      <c r="A38" s="2" t="inlineStr">
        <is>
          <t>AMRQ.L</t>
        </is>
      </c>
      <c r="B38" s="2" t="inlineStr">
        <is>
          <t>Amaroq Minerals Ltd</t>
        </is>
      </c>
      <c r="C38" s="2" t="inlineStr">
        <is>
          <t>GBp</t>
        </is>
      </c>
      <c r="D38" s="2" t="n">
        <v>2020</v>
      </c>
      <c r="E38" s="12" t="n">
        <v>44196</v>
      </c>
      <c r="F38" s="2" t="n">
        <v>49.5</v>
      </c>
      <c r="G38" s="2" t="n">
        <v>53</v>
      </c>
      <c r="H38" s="2" t="n">
        <v>39</v>
      </c>
      <c r="I38" s="2" t="n">
        <v>44.5</v>
      </c>
      <c r="J38" s="2" t="n">
        <v>45.6729</v>
      </c>
      <c r="K38" s="2" t="n">
        <v>0</v>
      </c>
      <c r="L38" s="13" t="n">
        <v>0</v>
      </c>
      <c r="M38" s="13" t="n">
        <v>-0.0015</v>
      </c>
      <c r="N38" s="2" t="n">
        <v>44.3667</v>
      </c>
      <c r="O38" s="2" t="n">
        <v>2022</v>
      </c>
      <c r="P38" s="2" t="n">
        <v>41.5</v>
      </c>
      <c r="Q38" s="13" t="n">
        <v>-0.0646</v>
      </c>
    </row>
    <row r="39">
      <c r="A39" s="2" t="inlineStr">
        <is>
          <t>AMRQ.L</t>
        </is>
      </c>
      <c r="B39" s="2" t="inlineStr">
        <is>
          <t>Amaroq Minerals Ltd</t>
        </is>
      </c>
      <c r="C39" s="2" t="inlineStr">
        <is>
          <t>GBp</t>
        </is>
      </c>
      <c r="D39" s="2" t="n">
        <v>2021</v>
      </c>
      <c r="E39" s="12" t="n">
        <v>44561</v>
      </c>
      <c r="F39" s="2" t="n">
        <v>44.5</v>
      </c>
      <c r="G39" s="2" t="n">
        <v>59</v>
      </c>
      <c r="H39" s="2" t="n">
        <v>23.6</v>
      </c>
      <c r="I39" s="2" t="n">
        <v>34.5</v>
      </c>
      <c r="J39" s="2" t="n">
        <v>31.7702</v>
      </c>
      <c r="K39" s="2" t="n">
        <v>0</v>
      </c>
      <c r="L39" s="13" t="n">
        <v>0</v>
      </c>
      <c r="M39" s="13" t="n">
        <v>0.007</v>
      </c>
      <c r="N39" s="2" t="n">
        <v>34.9864</v>
      </c>
      <c r="O39" s="2" t="n">
        <v>2023</v>
      </c>
      <c r="P39" s="2" t="n">
        <v>63.5</v>
      </c>
      <c r="Q39" s="13" t="n">
        <v>0.8149999999999999</v>
      </c>
    </row>
    <row r="40">
      <c r="A40" s="2" t="inlineStr">
        <is>
          <t>AMRQ.L</t>
        </is>
      </c>
      <c r="B40" s="2" t="inlineStr">
        <is>
          <t>Amaroq Minerals Ltd</t>
        </is>
      </c>
      <c r="C40" s="2" t="inlineStr">
        <is>
          <t>GBp</t>
        </is>
      </c>
      <c r="D40" s="2" t="n">
        <v>2022</v>
      </c>
      <c r="E40" s="12" t="n">
        <v>44925</v>
      </c>
      <c r="F40" s="2" t="n">
        <v>34.5</v>
      </c>
      <c r="G40" s="2" t="n">
        <v>49</v>
      </c>
      <c r="H40" s="2" t="n">
        <v>27.16</v>
      </c>
      <c r="I40" s="2" t="n">
        <v>41.5</v>
      </c>
      <c r="J40" s="2" t="n">
        <v>37.6426</v>
      </c>
      <c r="K40" s="2" t="n">
        <v>0</v>
      </c>
      <c r="L40" s="13" t="n">
        <v>0</v>
      </c>
      <c r="M40" s="13" t="n">
        <v>0.036</v>
      </c>
      <c r="N40" s="2" t="n">
        <v>44.5982</v>
      </c>
      <c r="O40" s="2" t="n">
        <v>2024</v>
      </c>
      <c r="P40" s="2" t="n">
        <v>102</v>
      </c>
      <c r="Q40" s="13" t="n">
        <v>1.2871</v>
      </c>
    </row>
    <row r="41">
      <c r="A41" s="2" t="inlineStr">
        <is>
          <t>AMRQ.L</t>
        </is>
      </c>
      <c r="B41" s="2" t="inlineStr">
        <is>
          <t>Amaroq Minerals Ltd</t>
        </is>
      </c>
      <c r="C41" s="2" t="inlineStr">
        <is>
          <t>GBp</t>
        </is>
      </c>
      <c r="D41" s="2" t="n">
        <v>2023</v>
      </c>
      <c r="E41" s="12" t="n">
        <v>45289</v>
      </c>
      <c r="F41" s="2" t="n">
        <v>41.5</v>
      </c>
      <c r="G41" s="2" t="n">
        <v>66.5</v>
      </c>
      <c r="H41" s="2" t="n">
        <v>36.411</v>
      </c>
      <c r="I41" s="2" t="n">
        <v>63.5</v>
      </c>
      <c r="J41" s="2" t="n">
        <v>48.0446</v>
      </c>
      <c r="K41" s="2" t="n">
        <v>0</v>
      </c>
      <c r="L41" s="13" t="n">
        <v>0</v>
      </c>
      <c r="M41" s="13" t="n">
        <v>0.04</v>
      </c>
      <c r="N41" s="2" t="n">
        <v>68.78870000000001</v>
      </c>
      <c r="O41" s="2" t="n">
        <v>2025</v>
      </c>
      <c r="P41" s="2" t="n">
        <v>109</v>
      </c>
      <c r="Q41" s="13" t="n">
        <v>0.5846</v>
      </c>
    </row>
    <row r="42">
      <c r="A42" s="2" t="inlineStr">
        <is>
          <t>AMRQ.L</t>
        </is>
      </c>
      <c r="B42" s="2" t="inlineStr">
        <is>
          <t>Amaroq Minerals Ltd</t>
        </is>
      </c>
      <c r="C42" s="2" t="inlineStr">
        <is>
          <t>GBp</t>
        </is>
      </c>
      <c r="D42" s="2" t="n">
        <v>2024</v>
      </c>
      <c r="E42" s="12" t="n">
        <v>45657</v>
      </c>
      <c r="F42" s="2" t="n">
        <v>63.5</v>
      </c>
      <c r="G42" s="2" t="n">
        <v>103</v>
      </c>
      <c r="H42" s="2" t="n">
        <v>56</v>
      </c>
      <c r="I42" s="2" t="n">
        <v>102</v>
      </c>
      <c r="J42" s="2" t="n">
        <v>73.6862</v>
      </c>
      <c r="K42" s="2" t="n">
        <v>0</v>
      </c>
      <c r="L42" s="13" t="n">
        <v>0</v>
      </c>
      <c r="M42" s="13" t="n">
        <v>0.044</v>
      </c>
      <c r="N42" s="2" t="n">
        <v>111.3828</v>
      </c>
      <c r="O42" s="2" t="n">
        <v>2026</v>
      </c>
      <c r="P42" s="2" t="n">
        <v>119.5</v>
      </c>
      <c r="Q42" s="13" t="n">
        <v>0.07290000000000001</v>
      </c>
    </row>
    <row r="43">
      <c r="A43" s="2" t="inlineStr">
        <is>
          <t>AMRQ.L</t>
        </is>
      </c>
      <c r="B43" s="2" t="inlineStr">
        <is>
          <t>Amaroq Minerals Ltd</t>
        </is>
      </c>
      <c r="C43" s="2" t="inlineStr">
        <is>
          <t>GBp</t>
        </is>
      </c>
      <c r="D43" s="2" t="n">
        <v>2025</v>
      </c>
      <c r="E43" s="12" t="n">
        <v>46022</v>
      </c>
      <c r="F43" s="2" t="n">
        <v>102</v>
      </c>
      <c r="G43" s="2" t="n">
        <v>121.5</v>
      </c>
      <c r="H43" s="2" t="n">
        <v>60</v>
      </c>
      <c r="I43" s="2" t="n">
        <v>109</v>
      </c>
      <c r="J43" s="2" t="n">
        <v>87.79649999999999</v>
      </c>
      <c r="K43" s="2" t="n">
        <v>0</v>
      </c>
      <c r="L43" s="13" t="n">
        <v>0</v>
      </c>
      <c r="M43" s="13" t="n">
        <v>0.0375</v>
      </c>
      <c r="N43" s="2" t="n">
        <v>117.4894</v>
      </c>
      <c r="O43" s="2" t="n">
        <v>2027</v>
      </c>
      <c r="P43" s="2" t="n"/>
      <c r="Q43" s="13" t="n"/>
    </row>
    <row r="44">
      <c r="A44" s="2" t="inlineStr">
        <is>
          <t>AMRQ.L</t>
        </is>
      </c>
      <c r="B44" s="2" t="inlineStr">
        <is>
          <t>Amaroq Minerals Ltd</t>
        </is>
      </c>
      <c r="C44" s="2" t="inlineStr">
        <is>
          <t>GBp</t>
        </is>
      </c>
      <c r="D44" s="2" t="n">
        <v>2026</v>
      </c>
      <c r="E44" s="12" t="n">
        <v>46290</v>
      </c>
      <c r="F44" s="2" t="n">
        <v>108</v>
      </c>
      <c r="G44" s="2" t="n">
        <v>155</v>
      </c>
      <c r="H44" s="2" t="n">
        <v>80</v>
      </c>
      <c r="I44" s="2" t="n">
        <v>119.5</v>
      </c>
      <c r="J44" s="2" t="n">
        <v>103.7859</v>
      </c>
      <c r="K44" s="2" t="n">
        <v>0</v>
      </c>
      <c r="L44" s="13" t="n">
        <v>0</v>
      </c>
      <c r="M44" s="13" t="n">
        <v>0.0375</v>
      </c>
      <c r="N44" s="2" t="n">
        <v>128.8072</v>
      </c>
      <c r="O44" s="2" t="n">
        <v>2028</v>
      </c>
      <c r="P44" s="2" t="n"/>
      <c r="Q44" s="13" t="n"/>
    </row>
    <row r="45">
      <c r="A45" s="2" t="inlineStr">
        <is>
          <t>AR.TO</t>
        </is>
      </c>
      <c r="B45" s="2" t="inlineStr">
        <is>
          <t>Argonaut Gold Inc</t>
        </is>
      </c>
      <c r="C45" s="2" t="inlineStr">
        <is>
          <t>CAD</t>
        </is>
      </c>
      <c r="D45" s="2" t="n">
        <v>2017</v>
      </c>
      <c r="E45" s="2" t="inlineStr">
        <is>
          <t>2017-12-29</t>
        </is>
      </c>
      <c r="F45" s="2" t="n"/>
      <c r="G45" s="2" t="n"/>
      <c r="H45" s="2" t="n"/>
      <c r="I45" s="2" t="n">
        <v>2.4</v>
      </c>
      <c r="J45" s="2" t="n"/>
      <c r="K45" s="2" t="n"/>
      <c r="L45" s="13" t="n"/>
      <c r="M45" s="13" t="n">
        <v>0.0169</v>
      </c>
      <c r="N45" s="2" t="n">
        <v>2.4825</v>
      </c>
      <c r="O45" s="2" t="n">
        <v>2019</v>
      </c>
      <c r="P45" s="2" t="n">
        <v>1.95</v>
      </c>
      <c r="Q45" s="13" t="n">
        <v>-0.2145</v>
      </c>
    </row>
    <row r="46">
      <c r="A46" s="2" t="inlineStr">
        <is>
          <t>AR.TO</t>
        </is>
      </c>
      <c r="B46" s="2" t="inlineStr">
        <is>
          <t>Argonaut Gold Inc</t>
        </is>
      </c>
      <c r="C46" s="2" t="inlineStr">
        <is>
          <t>CAD</t>
        </is>
      </c>
      <c r="D46" s="2" t="n">
        <v>2018</v>
      </c>
      <c r="E46" s="2" t="inlineStr">
        <is>
          <t>2018-12-31</t>
        </is>
      </c>
      <c r="F46" s="2" t="n"/>
      <c r="G46" s="2" t="n"/>
      <c r="H46" s="2" t="n"/>
      <c r="I46" s="2" t="n">
        <v>1.56</v>
      </c>
      <c r="J46" s="2" t="n"/>
      <c r="K46" s="2" t="n"/>
      <c r="L46" s="13" t="n"/>
      <c r="M46" s="13" t="n">
        <v>0.0186</v>
      </c>
      <c r="N46" s="2" t="n">
        <v>1.6191</v>
      </c>
      <c r="O46" s="2" t="n">
        <v>2020</v>
      </c>
      <c r="P46" s="2" t="n">
        <v>2.74</v>
      </c>
      <c r="Q46" s="13" t="n">
        <v>0.6923</v>
      </c>
    </row>
    <row r="47">
      <c r="A47" s="2" t="inlineStr">
        <is>
          <t>AR.TO</t>
        </is>
      </c>
      <c r="B47" s="2" t="inlineStr">
        <is>
          <t>Argonaut Gold Inc</t>
        </is>
      </c>
      <c r="C47" s="2" t="inlineStr">
        <is>
          <t>CAD</t>
        </is>
      </c>
      <c r="D47" s="2" t="n">
        <v>2019</v>
      </c>
      <c r="E47" s="2" t="inlineStr">
        <is>
          <t>2019-12-31</t>
        </is>
      </c>
      <c r="F47" s="2" t="n"/>
      <c r="G47" s="2" t="n"/>
      <c r="H47" s="2" t="n"/>
      <c r="I47" s="2" t="n">
        <v>1.95</v>
      </c>
      <c r="J47" s="2" t="n"/>
      <c r="K47" s="2" t="n"/>
      <c r="L47" s="13" t="n"/>
      <c r="M47" s="13" t="n">
        <v>0.017</v>
      </c>
      <c r="N47" s="2" t="n">
        <v>2.0174</v>
      </c>
      <c r="O47" s="2" t="n">
        <v>2021</v>
      </c>
      <c r="P47" s="2" t="n">
        <v>2.4</v>
      </c>
      <c r="Q47" s="13" t="n">
        <v>0.1896</v>
      </c>
    </row>
    <row r="48">
      <c r="A48" s="2" t="inlineStr">
        <is>
          <t>AR.TO</t>
        </is>
      </c>
      <c r="B48" s="2" t="inlineStr">
        <is>
          <t>Argonaut Gold Inc</t>
        </is>
      </c>
      <c r="C48" s="2" t="inlineStr">
        <is>
          <t>CAD</t>
        </is>
      </c>
      <c r="D48" s="2" t="n">
        <v>2020</v>
      </c>
      <c r="E48" s="2" t="inlineStr">
        <is>
          <t>2020-12-31</t>
        </is>
      </c>
      <c r="F48" s="2" t="n"/>
      <c r="G48" s="2" t="n"/>
      <c r="H48" s="2" t="n"/>
      <c r="I48" s="2" t="n">
        <v>2.74</v>
      </c>
      <c r="J48" s="2" t="n"/>
      <c r="K48" s="2" t="n"/>
      <c r="L48" s="13" t="n"/>
      <c r="M48" s="13" t="n">
        <v>0.002</v>
      </c>
      <c r="N48" s="2" t="n">
        <v>2.751</v>
      </c>
      <c r="O48" s="2" t="n">
        <v>2022</v>
      </c>
      <c r="P48" s="2" t="n">
        <v>0.52</v>
      </c>
      <c r="Q48" s="13" t="n">
        <v>-0.8110000000000001</v>
      </c>
    </row>
    <row r="49">
      <c r="A49" s="2" t="inlineStr">
        <is>
          <t>AR.TO</t>
        </is>
      </c>
      <c r="B49" s="2" t="inlineStr">
        <is>
          <t>Argonaut Gold Inc</t>
        </is>
      </c>
      <c r="C49" s="2" t="inlineStr">
        <is>
          <t>CAD</t>
        </is>
      </c>
      <c r="D49" s="2" t="n">
        <v>2021</v>
      </c>
      <c r="E49" s="2" t="inlineStr">
        <is>
          <t>2021-12-31</t>
        </is>
      </c>
      <c r="F49" s="2" t="n"/>
      <c r="G49" s="2" t="n"/>
      <c r="H49" s="2" t="n"/>
      <c r="I49" s="2" t="n">
        <v>2.4</v>
      </c>
      <c r="J49" s="2" t="n"/>
      <c r="K49" s="2" t="n"/>
      <c r="L49" s="13" t="n"/>
      <c r="M49" s="13" t="n">
        <v>0.0095</v>
      </c>
      <c r="N49" s="2" t="n">
        <v>2.446</v>
      </c>
      <c r="O49" s="2" t="n">
        <v>2023</v>
      </c>
      <c r="P49" s="2" t="n">
        <v>0.47</v>
      </c>
      <c r="Q49" s="13" t="n">
        <v>-0.8079</v>
      </c>
    </row>
    <row r="50">
      <c r="A50" s="2" t="inlineStr">
        <is>
          <t>AR.TO</t>
        </is>
      </c>
      <c r="B50" s="2" t="inlineStr">
        <is>
          <t>Argonaut Gold Inc</t>
        </is>
      </c>
      <c r="C50" s="2" t="inlineStr">
        <is>
          <t>CAD</t>
        </is>
      </c>
      <c r="D50" s="2" t="n">
        <v>2022</v>
      </c>
      <c r="E50" s="2" t="inlineStr">
        <is>
          <t>2022-12-30</t>
        </is>
      </c>
      <c r="F50" s="2" t="n"/>
      <c r="G50" s="2" t="n"/>
      <c r="H50" s="2" t="n"/>
      <c r="I50" s="2" t="n">
        <v>0.52</v>
      </c>
      <c r="J50" s="2" t="n"/>
      <c r="K50" s="2" t="n"/>
      <c r="L50" s="13" t="n"/>
      <c r="M50" s="13" t="n">
        <v>0.0405</v>
      </c>
      <c r="N50" s="2" t="n">
        <v>0.5639</v>
      </c>
      <c r="O50" s="2" t="n">
        <v>2024</v>
      </c>
      <c r="P50" s="2" t="n">
        <v>0.52</v>
      </c>
      <c r="Q50" s="13" t="n">
        <v>-0.07779999999999999</v>
      </c>
    </row>
    <row r="51">
      <c r="A51" s="2" t="inlineStr">
        <is>
          <t>AR.TO</t>
        </is>
      </c>
      <c r="B51" s="2" t="inlineStr">
        <is>
          <t>Argonaut Gold Inc</t>
        </is>
      </c>
      <c r="C51" s="2" t="inlineStr">
        <is>
          <t>CAD</t>
        </is>
      </c>
      <c r="D51" s="2" t="n">
        <v>2023</v>
      </c>
      <c r="E51" s="2" t="inlineStr">
        <is>
          <t>2023-12-29</t>
        </is>
      </c>
      <c r="F51" s="2" t="n"/>
      <c r="G51" s="2" t="n"/>
      <c r="H51" s="2" t="n"/>
      <c r="I51" s="2" t="n">
        <v>0.47</v>
      </c>
      <c r="J51" s="2" t="n"/>
      <c r="K51" s="2" t="n"/>
      <c r="L51" s="13" t="n"/>
      <c r="M51" s="13" t="n">
        <v>0.0388</v>
      </c>
      <c r="N51" s="2" t="n">
        <v>0.5079</v>
      </c>
      <c r="O51" s="2" t="n">
        <v>2025</v>
      </c>
      <c r="P51" s="2" t="n"/>
      <c r="Q51" s="13" t="n"/>
    </row>
    <row r="52">
      <c r="A52" s="2" t="inlineStr">
        <is>
          <t>AR.TO</t>
        </is>
      </c>
      <c r="B52" s="2" t="inlineStr">
        <is>
          <t>Argonaut Gold Inc</t>
        </is>
      </c>
      <c r="C52" s="2" t="inlineStr">
        <is>
          <t>CAD</t>
        </is>
      </c>
      <c r="D52" s="2" t="n">
        <v>2024</v>
      </c>
      <c r="E52" s="2" t="inlineStr">
        <is>
          <t>2024-07-16</t>
        </is>
      </c>
      <c r="F52" s="2" t="n"/>
      <c r="G52" s="2" t="n"/>
      <c r="H52" s="2" t="n"/>
      <c r="I52" s="2" t="n">
        <v>0.52</v>
      </c>
      <c r="J52" s="2" t="n"/>
      <c r="K52" s="2" t="n"/>
      <c r="L52" s="13" t="n"/>
      <c r="M52" s="13" t="n">
        <v>0.0293</v>
      </c>
      <c r="N52" s="2" t="n">
        <v>0.5514</v>
      </c>
      <c r="O52" s="2" t="n">
        <v>2026</v>
      </c>
      <c r="P52" s="2" t="n"/>
      <c r="Q52" s="13" t="n"/>
    </row>
    <row r="53">
      <c r="A53" s="2" t="inlineStr">
        <is>
          <t>ASE.V</t>
        </is>
      </c>
      <c r="B53" s="2" t="inlineStr">
        <is>
          <t>Asante Gold Corp</t>
        </is>
      </c>
      <c r="C53" s="2" t="inlineStr">
        <is>
          <t>CAD</t>
        </is>
      </c>
      <c r="D53" s="2" t="n">
        <v>2017</v>
      </c>
      <c r="E53" s="12" t="n">
        <v>43098</v>
      </c>
      <c r="F53" s="2" t="n">
        <v>0.2</v>
      </c>
      <c r="G53" s="2" t="n">
        <v>0.2</v>
      </c>
      <c r="H53" s="2" t="n">
        <v>0.055</v>
      </c>
      <c r="I53" s="2" t="n">
        <v>0.075</v>
      </c>
      <c r="J53" s="2" t="n">
        <v>0.1219</v>
      </c>
      <c r="K53" s="2" t="n">
        <v>0</v>
      </c>
      <c r="L53" s="13" t="n">
        <v>0</v>
      </c>
      <c r="M53" s="13" t="n">
        <v>0.0169</v>
      </c>
      <c r="N53" s="2" t="n">
        <v>0.0776</v>
      </c>
      <c r="O53" s="2" t="n">
        <v>2019</v>
      </c>
      <c r="P53" s="2" t="n">
        <v>0.045</v>
      </c>
      <c r="Q53" s="13" t="n">
        <v>-0.4199</v>
      </c>
    </row>
    <row r="54">
      <c r="A54" s="2" t="inlineStr">
        <is>
          <t>ASE.V</t>
        </is>
      </c>
      <c r="B54" s="2" t="inlineStr">
        <is>
          <t>Asante Gold Corp</t>
        </is>
      </c>
      <c r="C54" s="2" t="inlineStr">
        <is>
          <t>CAD</t>
        </is>
      </c>
      <c r="D54" s="2" t="n">
        <v>2018</v>
      </c>
      <c r="E54" s="12" t="n">
        <v>43465</v>
      </c>
      <c r="F54" s="2" t="n">
        <v>0.07000000000000001</v>
      </c>
      <c r="G54" s="2" t="n">
        <v>0.08</v>
      </c>
      <c r="H54" s="2" t="n">
        <v>0.025</v>
      </c>
      <c r="I54" s="2" t="n">
        <v>0.03</v>
      </c>
      <c r="J54" s="2" t="n">
        <v>0.0487</v>
      </c>
      <c r="K54" s="2" t="n">
        <v>0</v>
      </c>
      <c r="L54" s="13" t="n">
        <v>0</v>
      </c>
      <c r="M54" s="13" t="n">
        <v>0.0186</v>
      </c>
      <c r="N54" s="2" t="n">
        <v>0.0311</v>
      </c>
      <c r="O54" s="2" t="n">
        <v>2020</v>
      </c>
      <c r="P54" s="2" t="n">
        <v>0.11</v>
      </c>
      <c r="Q54" s="13" t="n">
        <v>2.5328</v>
      </c>
    </row>
    <row r="55">
      <c r="A55" s="2" t="inlineStr">
        <is>
          <t>ASE.V</t>
        </is>
      </c>
      <c r="B55" s="2" t="inlineStr">
        <is>
          <t>Asante Gold Corp</t>
        </is>
      </c>
      <c r="C55" s="2" t="inlineStr">
        <is>
          <t>CAD</t>
        </is>
      </c>
      <c r="D55" s="2" t="n">
        <v>2019</v>
      </c>
      <c r="E55" s="12" t="n">
        <v>43830</v>
      </c>
      <c r="F55" s="2" t="n">
        <v>0.03</v>
      </c>
      <c r="G55" s="2" t="n">
        <v>0.08</v>
      </c>
      <c r="H55" s="2" t="n">
        <v>0.025</v>
      </c>
      <c r="I55" s="2" t="n">
        <v>0.045</v>
      </c>
      <c r="J55" s="2" t="n">
        <v>0.0525</v>
      </c>
      <c r="K55" s="2" t="n">
        <v>0</v>
      </c>
      <c r="L55" s="13" t="n">
        <v>0</v>
      </c>
      <c r="M55" s="13" t="n">
        <v>0.017</v>
      </c>
      <c r="N55" s="2" t="n">
        <v>0.0466</v>
      </c>
      <c r="O55" s="2" t="n">
        <v>2021</v>
      </c>
      <c r="P55" s="2" t="n">
        <v>1.22</v>
      </c>
      <c r="Q55" s="13" t="n">
        <v>25.2048</v>
      </c>
    </row>
    <row r="56">
      <c r="A56" s="2" t="inlineStr">
        <is>
          <t>ASE.V</t>
        </is>
      </c>
      <c r="B56" s="2" t="inlineStr">
        <is>
          <t>Asante Gold Corp</t>
        </is>
      </c>
      <c r="C56" s="2" t="inlineStr">
        <is>
          <t>CAD</t>
        </is>
      </c>
      <c r="D56" s="2" t="n">
        <v>2020</v>
      </c>
      <c r="E56" s="12" t="n">
        <v>44196</v>
      </c>
      <c r="F56" s="2" t="n">
        <v>0.05</v>
      </c>
      <c r="G56" s="2" t="n">
        <v>0.135</v>
      </c>
      <c r="H56" s="2" t="n">
        <v>0.02</v>
      </c>
      <c r="I56" s="2" t="n">
        <v>0.11</v>
      </c>
      <c r="J56" s="2" t="n">
        <v>0.068</v>
      </c>
      <c r="K56" s="2" t="n">
        <v>0</v>
      </c>
      <c r="L56" s="13" t="n">
        <v>0</v>
      </c>
      <c r="M56" s="13" t="n">
        <v>0.002</v>
      </c>
      <c r="N56" s="2" t="n">
        <v>0.1104</v>
      </c>
      <c r="O56" s="2" t="n">
        <v>2022</v>
      </c>
      <c r="P56" s="2" t="n">
        <v>1.37</v>
      </c>
      <c r="Q56" s="13" t="n">
        <v>11.4048</v>
      </c>
    </row>
    <row r="57">
      <c r="A57" s="2" t="inlineStr">
        <is>
          <t>ASE.V</t>
        </is>
      </c>
      <c r="B57" s="2" t="inlineStr">
        <is>
          <t>Asante Gold Corp</t>
        </is>
      </c>
      <c r="C57" s="2" t="inlineStr">
        <is>
          <t>CAD</t>
        </is>
      </c>
      <c r="D57" s="2" t="n">
        <v>2021</v>
      </c>
      <c r="E57" s="12" t="n">
        <v>44561</v>
      </c>
      <c r="F57" s="2" t="n">
        <v>0.12</v>
      </c>
      <c r="G57" s="2" t="n">
        <v>1.5</v>
      </c>
      <c r="H57" s="2" t="n">
        <v>0.08500000000000001</v>
      </c>
      <c r="I57" s="2" t="n">
        <v>1.22</v>
      </c>
      <c r="J57" s="2" t="n">
        <v>0.6118</v>
      </c>
      <c r="K57" s="2" t="n">
        <v>0</v>
      </c>
      <c r="L57" s="13" t="n">
        <v>0</v>
      </c>
      <c r="M57" s="13" t="n">
        <v>0.0095</v>
      </c>
      <c r="N57" s="2" t="n">
        <v>1.2434</v>
      </c>
      <c r="O57" s="2" t="n">
        <v>2023</v>
      </c>
      <c r="P57" s="2" t="n">
        <v>1.42</v>
      </c>
      <c r="Q57" s="13" t="n">
        <v>0.142</v>
      </c>
    </row>
    <row r="58">
      <c r="A58" s="2" t="inlineStr">
        <is>
          <t>ASE.V</t>
        </is>
      </c>
      <c r="B58" s="2" t="inlineStr">
        <is>
          <t>Asante Gold Corp</t>
        </is>
      </c>
      <c r="C58" s="2" t="inlineStr">
        <is>
          <t>CAD</t>
        </is>
      </c>
      <c r="D58" s="2" t="n">
        <v>2022</v>
      </c>
      <c r="E58" s="12" t="n">
        <v>44925</v>
      </c>
      <c r="F58" s="2" t="n">
        <v>1.24</v>
      </c>
      <c r="G58" s="2" t="n">
        <v>2.29</v>
      </c>
      <c r="H58" s="2" t="n">
        <v>0.9399999999999999</v>
      </c>
      <c r="I58" s="2" t="n">
        <v>1.37</v>
      </c>
      <c r="J58" s="2" t="n">
        <v>1.4466</v>
      </c>
      <c r="K58" s="2" t="n">
        <v>0</v>
      </c>
      <c r="L58" s="13" t="n">
        <v>0</v>
      </c>
      <c r="M58" s="13" t="n">
        <v>0.0405</v>
      </c>
      <c r="N58" s="2" t="n">
        <v>1.4856</v>
      </c>
      <c r="O58" s="2" t="n">
        <v>2024</v>
      </c>
      <c r="P58" s="2" t="n">
        <v>1.05</v>
      </c>
      <c r="Q58" s="13" t="n">
        <v>-0.2932</v>
      </c>
    </row>
    <row r="59">
      <c r="A59" s="2" t="inlineStr">
        <is>
          <t>ASE.V</t>
        </is>
      </c>
      <c r="B59" s="2" t="inlineStr">
        <is>
          <t>Asante Gold Corp</t>
        </is>
      </c>
      <c r="C59" s="2" t="inlineStr">
        <is>
          <t>CAD</t>
        </is>
      </c>
      <c r="D59" s="2" t="n">
        <v>2023</v>
      </c>
      <c r="E59" s="12" t="n">
        <v>45289</v>
      </c>
      <c r="F59" s="2" t="n">
        <v>1.39</v>
      </c>
      <c r="G59" s="2" t="n">
        <v>2.21</v>
      </c>
      <c r="H59" s="2" t="n">
        <v>1.2</v>
      </c>
      <c r="I59" s="2" t="n">
        <v>1.42</v>
      </c>
      <c r="J59" s="2" t="n">
        <v>1.6276</v>
      </c>
      <c r="K59" s="2" t="n">
        <v>0</v>
      </c>
      <c r="L59" s="13" t="n">
        <v>0</v>
      </c>
      <c r="M59" s="13" t="n">
        <v>0.0388</v>
      </c>
      <c r="N59" s="2" t="n">
        <v>1.5346</v>
      </c>
      <c r="O59" s="2" t="n">
        <v>2025</v>
      </c>
      <c r="P59" s="2" t="n">
        <v>1.65</v>
      </c>
      <c r="Q59" s="13" t="n">
        <v>0.0752</v>
      </c>
    </row>
    <row r="60">
      <c r="A60" s="2" t="inlineStr">
        <is>
          <t>ASE.V</t>
        </is>
      </c>
      <c r="B60" s="2" t="inlineStr">
        <is>
          <t>Asante Gold Corp</t>
        </is>
      </c>
      <c r="C60" s="2" t="inlineStr">
        <is>
          <t>CAD</t>
        </is>
      </c>
      <c r="D60" s="2" t="n">
        <v>2024</v>
      </c>
      <c r="E60" s="12" t="n">
        <v>45657</v>
      </c>
      <c r="F60" s="2" t="n">
        <v>1.415</v>
      </c>
      <c r="G60" s="2" t="n">
        <v>1.53</v>
      </c>
      <c r="H60" s="2" t="n">
        <v>0.83</v>
      </c>
      <c r="I60" s="2" t="n">
        <v>1.05</v>
      </c>
      <c r="J60" s="2" t="n">
        <v>1.2393</v>
      </c>
      <c r="K60" s="2" t="n">
        <v>0</v>
      </c>
      <c r="L60" s="13" t="n">
        <v>0</v>
      </c>
      <c r="M60" s="13" t="n">
        <v>0.0293</v>
      </c>
      <c r="N60" s="2" t="n">
        <v>1.1134</v>
      </c>
      <c r="O60" s="2" t="n">
        <v>2026</v>
      </c>
      <c r="P60" s="2" t="n">
        <v>0.86</v>
      </c>
      <c r="Q60" s="13" t="n">
        <v>-0.2276</v>
      </c>
    </row>
    <row r="61">
      <c r="A61" s="2" t="inlineStr">
        <is>
          <t>ASE.V</t>
        </is>
      </c>
      <c r="B61" s="2" t="inlineStr">
        <is>
          <t>Asante Gold Corp</t>
        </is>
      </c>
      <c r="C61" s="2" t="inlineStr">
        <is>
          <t>CAD</t>
        </is>
      </c>
      <c r="D61" s="2" t="n">
        <v>2025</v>
      </c>
      <c r="E61" s="12" t="n">
        <v>46022</v>
      </c>
      <c r="F61" s="2" t="n">
        <v>1.03</v>
      </c>
      <c r="G61" s="2" t="n">
        <v>2.62</v>
      </c>
      <c r="H61" s="2" t="n">
        <v>0.83</v>
      </c>
      <c r="I61" s="2" t="n">
        <v>1.65</v>
      </c>
      <c r="J61" s="2" t="n">
        <v>1.5335</v>
      </c>
      <c r="K61" s="2" t="n">
        <v>0</v>
      </c>
      <c r="L61" s="13" t="n">
        <v>0</v>
      </c>
      <c r="M61" s="13" t="n">
        <v>0.026</v>
      </c>
      <c r="N61" s="2" t="n">
        <v>1.7381</v>
      </c>
      <c r="O61" s="2" t="n">
        <v>2027</v>
      </c>
      <c r="P61" s="2" t="n"/>
      <c r="Q61" s="13" t="n"/>
    </row>
    <row r="62">
      <c r="A62" s="2" t="inlineStr">
        <is>
          <t>ASE.V</t>
        </is>
      </c>
      <c r="B62" s="2" t="inlineStr">
        <is>
          <t>Asante Gold Corp</t>
        </is>
      </c>
      <c r="C62" s="2" t="inlineStr">
        <is>
          <t>CAD</t>
        </is>
      </c>
      <c r="D62" s="2" t="n">
        <v>2026</v>
      </c>
      <c r="E62" s="12" t="n">
        <v>46290</v>
      </c>
      <c r="F62" s="2" t="n">
        <v>1.66</v>
      </c>
      <c r="G62" s="2" t="n">
        <v>2.13</v>
      </c>
      <c r="H62" s="2" t="n">
        <v>0.62</v>
      </c>
      <c r="I62" s="2" t="n">
        <v>0.86</v>
      </c>
      <c r="J62" s="2" t="n">
        <v>1.2165</v>
      </c>
      <c r="K62" s="2" t="n">
        <v>0</v>
      </c>
      <c r="L62" s="13" t="n">
        <v>0</v>
      </c>
      <c r="M62" s="13" t="n">
        <v>0.026</v>
      </c>
      <c r="N62" s="2" t="n">
        <v>0.9059</v>
      </c>
      <c r="O62" s="2" t="n">
        <v>2028</v>
      </c>
      <c r="P62" s="2" t="n"/>
      <c r="Q62" s="13" t="n"/>
    </row>
    <row r="63">
      <c r="A63" s="2" t="inlineStr">
        <is>
          <t>AU</t>
        </is>
      </c>
      <c r="B63" s="2" t="inlineStr">
        <is>
          <t>AngloGold Ashanti plc</t>
        </is>
      </c>
      <c r="C63" s="2" t="inlineStr">
        <is>
          <t>USD</t>
        </is>
      </c>
      <c r="D63" s="2" t="n">
        <v>2017</v>
      </c>
      <c r="E63" s="12" t="n">
        <v>43098</v>
      </c>
      <c r="F63" s="2" t="n">
        <v>10.79</v>
      </c>
      <c r="G63" s="2" t="n">
        <v>13.68</v>
      </c>
      <c r="H63" s="2" t="n">
        <v>8.859999999999999</v>
      </c>
      <c r="I63" s="2" t="n">
        <v>10.19</v>
      </c>
      <c r="J63" s="2" t="n">
        <v>10.5943</v>
      </c>
      <c r="K63" s="2" t="n">
        <v>0.099</v>
      </c>
      <c r="L63" s="13" t="n">
        <v>0.0097</v>
      </c>
      <c r="M63" s="13" t="n">
        <v>0.0189</v>
      </c>
      <c r="N63" s="2" t="n">
        <v>10.3789</v>
      </c>
      <c r="O63" s="2" t="n">
        <v>2019</v>
      </c>
      <c r="P63" s="2" t="n">
        <v>22.34</v>
      </c>
      <c r="Q63" s="13" t="n">
        <v>1.1524</v>
      </c>
    </row>
    <row r="64">
      <c r="A64" s="2" t="inlineStr">
        <is>
          <t>AU</t>
        </is>
      </c>
      <c r="B64" s="2" t="inlineStr">
        <is>
          <t>AngloGold Ashanti plc</t>
        </is>
      </c>
      <c r="C64" s="2" t="inlineStr">
        <is>
          <t>USD</t>
        </is>
      </c>
      <c r="D64" s="2" t="n">
        <v>2018</v>
      </c>
      <c r="E64" s="12" t="n">
        <v>43465</v>
      </c>
      <c r="F64" s="2" t="n">
        <v>10.44</v>
      </c>
      <c r="G64" s="2" t="n">
        <v>12.91</v>
      </c>
      <c r="H64" s="2" t="n">
        <v>7.08</v>
      </c>
      <c r="I64" s="2" t="n">
        <v>12.55</v>
      </c>
      <c r="J64" s="2" t="n">
        <v>9.354100000000001</v>
      </c>
      <c r="K64" s="2" t="n">
        <v>0.06</v>
      </c>
      <c r="L64" s="13" t="n">
        <v>0.0048</v>
      </c>
      <c r="M64" s="13" t="n">
        <v>0.0249</v>
      </c>
      <c r="N64" s="2" t="n">
        <v>13.0653</v>
      </c>
      <c r="O64" s="2" t="n">
        <v>2020</v>
      </c>
      <c r="P64" s="2" t="n">
        <v>22.62</v>
      </c>
      <c r="Q64" s="13" t="n">
        <v>0.7313</v>
      </c>
    </row>
    <row r="65">
      <c r="A65" s="2" t="inlineStr">
        <is>
          <t>AU</t>
        </is>
      </c>
      <c r="B65" s="2" t="inlineStr">
        <is>
          <t>AngloGold Ashanti plc</t>
        </is>
      </c>
      <c r="C65" s="2" t="inlineStr">
        <is>
          <t>USD</t>
        </is>
      </c>
      <c r="D65" s="2" t="n">
        <v>2019</v>
      </c>
      <c r="E65" s="12" t="n">
        <v>43830</v>
      </c>
      <c r="F65" s="2" t="n">
        <v>12.62</v>
      </c>
      <c r="G65" s="2" t="n">
        <v>23.85</v>
      </c>
      <c r="H65" s="2" t="n">
        <v>11.29</v>
      </c>
      <c r="I65" s="2" t="n">
        <v>22.34</v>
      </c>
      <c r="J65" s="2" t="n">
        <v>16.7642</v>
      </c>
      <c r="K65" s="2" t="n">
        <v>0.068</v>
      </c>
      <c r="L65" s="13" t="n">
        <v>0.003</v>
      </c>
      <c r="M65" s="13" t="n">
        <v>0.0158</v>
      </c>
      <c r="N65" s="2" t="n">
        <v>22.9173</v>
      </c>
      <c r="O65" s="2" t="n">
        <v>2021</v>
      </c>
      <c r="P65" s="2" t="n">
        <v>20.98</v>
      </c>
      <c r="Q65" s="13" t="n">
        <v>-0.08450000000000001</v>
      </c>
    </row>
    <row r="66">
      <c r="A66" s="2" t="inlineStr">
        <is>
          <t>AU</t>
        </is>
      </c>
      <c r="B66" s="2" t="inlineStr">
        <is>
          <t>AngloGold Ashanti plc</t>
        </is>
      </c>
      <c r="C66" s="2" t="inlineStr">
        <is>
          <t>USD</t>
        </is>
      </c>
      <c r="D66" s="2" t="n">
        <v>2020</v>
      </c>
      <c r="E66" s="12" t="n">
        <v>44196</v>
      </c>
      <c r="F66" s="2" t="n">
        <v>22.5</v>
      </c>
      <c r="G66" s="2" t="n">
        <v>38.5</v>
      </c>
      <c r="H66" s="2" t="n">
        <v>12.66</v>
      </c>
      <c r="I66" s="2" t="n">
        <v>22.62</v>
      </c>
      <c r="J66" s="2" t="n">
        <v>24.5965</v>
      </c>
      <c r="K66" s="2" t="n">
        <v>0.11</v>
      </c>
      <c r="L66" s="13" t="n">
        <v>0.0049</v>
      </c>
      <c r="M66" s="13" t="n">
        <v>0.0013</v>
      </c>
      <c r="N66" s="2" t="n">
        <v>22.4594</v>
      </c>
      <c r="O66" s="2" t="n">
        <v>2022</v>
      </c>
      <c r="P66" s="2" t="n">
        <v>19.42</v>
      </c>
      <c r="Q66" s="13" t="n">
        <v>-0.1353</v>
      </c>
    </row>
    <row r="67">
      <c r="A67" s="2" t="inlineStr">
        <is>
          <t>AU</t>
        </is>
      </c>
      <c r="B67" s="2" t="inlineStr">
        <is>
          <t>AngloGold Ashanti plc</t>
        </is>
      </c>
      <c r="C67" s="2" t="inlineStr">
        <is>
          <t>USD</t>
        </is>
      </c>
      <c r="D67" s="2" t="n">
        <v>2021</v>
      </c>
      <c r="E67" s="12" t="n">
        <v>44561</v>
      </c>
      <c r="F67" s="2" t="n">
        <v>24.7</v>
      </c>
      <c r="G67" s="2" t="n">
        <v>26.77</v>
      </c>
      <c r="H67" s="2" t="n">
        <v>14.57</v>
      </c>
      <c r="I67" s="2" t="n">
        <v>20.98</v>
      </c>
      <c r="J67" s="2" t="n">
        <v>20.2724</v>
      </c>
      <c r="K67" s="2" t="n">
        <v>0.54</v>
      </c>
      <c r="L67" s="13" t="n">
        <v>0.0257</v>
      </c>
      <c r="M67" s="13" t="n">
        <v>0.0073</v>
      </c>
      <c r="N67" s="2" t="n">
        <v>20.2204</v>
      </c>
      <c r="O67" s="2" t="n">
        <v>2023</v>
      </c>
      <c r="P67" s="2" t="n">
        <v>18.69</v>
      </c>
      <c r="Q67" s="13" t="n">
        <v>-0.0757</v>
      </c>
    </row>
    <row r="68">
      <c r="A68" s="2" t="inlineStr">
        <is>
          <t>AU</t>
        </is>
      </c>
      <c r="B68" s="2" t="inlineStr">
        <is>
          <t>AngloGold Ashanti plc</t>
        </is>
      </c>
      <c r="C68" s="2" t="inlineStr">
        <is>
          <t>USD</t>
        </is>
      </c>
      <c r="D68" s="2" t="n">
        <v>2022</v>
      </c>
      <c r="E68" s="12" t="n">
        <v>44925</v>
      </c>
      <c r="F68" s="2" t="n">
        <v>20.48</v>
      </c>
      <c r="G68" s="2" t="n">
        <v>26.96</v>
      </c>
      <c r="H68" s="2" t="n">
        <v>11.94</v>
      </c>
      <c r="I68" s="2" t="n">
        <v>19.42</v>
      </c>
      <c r="J68" s="2" t="n">
        <v>17.7999</v>
      </c>
      <c r="K68" s="2" t="n">
        <v>0.439</v>
      </c>
      <c r="L68" s="13" t="n">
        <v>0.0226</v>
      </c>
      <c r="M68" s="13" t="n">
        <v>0.0443</v>
      </c>
      <c r="N68" s="2" t="n">
        <v>20.2812</v>
      </c>
      <c r="O68" s="2" t="n">
        <v>2024</v>
      </c>
      <c r="P68" s="2" t="n">
        <v>23.08</v>
      </c>
      <c r="Q68" s="13" t="n">
        <v>0.138</v>
      </c>
    </row>
    <row r="69">
      <c r="A69" s="2" t="inlineStr">
        <is>
          <t>AU</t>
        </is>
      </c>
      <c r="B69" s="2" t="inlineStr">
        <is>
          <t>AngloGold Ashanti plc</t>
        </is>
      </c>
      <c r="C69" s="2" t="inlineStr">
        <is>
          <t>USD</t>
        </is>
      </c>
      <c r="D69" s="2" t="n">
        <v>2023</v>
      </c>
      <c r="E69" s="12" t="n">
        <v>45289</v>
      </c>
      <c r="F69" s="2" t="n">
        <v>19.93</v>
      </c>
      <c r="G69" s="2" t="n">
        <v>30.27</v>
      </c>
      <c r="H69" s="2" t="n">
        <v>14.91</v>
      </c>
      <c r="I69" s="2" t="n">
        <v>18.69</v>
      </c>
      <c r="J69" s="2" t="n">
        <v>20.5786</v>
      </c>
      <c r="K69" s="2" t="n">
        <v>0.214</v>
      </c>
      <c r="L69" s="13" t="n">
        <v>0.0114</v>
      </c>
      <c r="M69" s="13" t="n">
        <v>0.0425</v>
      </c>
      <c r="N69" s="2" t="n">
        <v>19.8874</v>
      </c>
      <c r="O69" s="2" t="n">
        <v>2025</v>
      </c>
      <c r="P69" s="2" t="n">
        <v>85.28</v>
      </c>
      <c r="Q69" s="13" t="n">
        <v>3.2881</v>
      </c>
    </row>
    <row r="70">
      <c r="A70" s="2" t="inlineStr">
        <is>
          <t>AU</t>
        </is>
      </c>
      <c r="B70" s="2" t="inlineStr">
        <is>
          <t>AngloGold Ashanti plc</t>
        </is>
      </c>
      <c r="C70" s="2" t="inlineStr">
        <is>
          <t>USD</t>
        </is>
      </c>
      <c r="D70" s="2" t="n">
        <v>2024</v>
      </c>
      <c r="E70" s="12" t="n">
        <v>45657</v>
      </c>
      <c r="F70" s="2" t="n">
        <v>18.77</v>
      </c>
      <c r="G70" s="2" t="n">
        <v>32.57</v>
      </c>
      <c r="H70" s="2" t="n">
        <v>15.8</v>
      </c>
      <c r="I70" s="2" t="n">
        <v>23.08</v>
      </c>
      <c r="J70" s="2" t="n">
        <v>24.4219</v>
      </c>
      <c r="K70" s="2" t="n">
        <v>0.6</v>
      </c>
      <c r="L70" s="13" t="n">
        <v>0.026</v>
      </c>
      <c r="M70" s="13" t="n">
        <v>0.0424</v>
      </c>
      <c r="N70" s="2" t="n">
        <v>23.8497</v>
      </c>
      <c r="O70" s="2" t="n">
        <v>2026</v>
      </c>
      <c r="P70" s="2" t="n">
        <v>99.03</v>
      </c>
      <c r="Q70" s="13" t="n">
        <v>3.1522</v>
      </c>
    </row>
    <row r="71">
      <c r="A71" s="2" t="inlineStr">
        <is>
          <t>AU</t>
        </is>
      </c>
      <c r="B71" s="2" t="inlineStr">
        <is>
          <t>AngloGold Ashanti plc</t>
        </is>
      </c>
      <c r="C71" s="2" t="inlineStr">
        <is>
          <t>USD</t>
        </is>
      </c>
      <c r="D71" s="2" t="n">
        <v>2025</v>
      </c>
      <c r="E71" s="12" t="n">
        <v>46022</v>
      </c>
      <c r="F71" s="2" t="n">
        <v>23.72</v>
      </c>
      <c r="G71" s="2" t="n">
        <v>91.65000000000001</v>
      </c>
      <c r="H71" s="2" t="n">
        <v>23.53</v>
      </c>
      <c r="I71" s="2" t="n">
        <v>85.28</v>
      </c>
      <c r="J71" s="2" t="n">
        <v>52.3262</v>
      </c>
      <c r="K71" s="2" t="n">
        <v>2.525</v>
      </c>
      <c r="L71" s="13" t="n">
        <v>0.0296</v>
      </c>
      <c r="M71" s="13" t="n">
        <v>0.0348</v>
      </c>
      <c r="N71" s="2" t="n">
        <v>86.17010000000001</v>
      </c>
      <c r="O71" s="2" t="n">
        <v>2027</v>
      </c>
      <c r="P71" s="2" t="n"/>
      <c r="Q71" s="13" t="n"/>
    </row>
    <row r="72">
      <c r="A72" s="2" t="inlineStr">
        <is>
          <t>AU</t>
        </is>
      </c>
      <c r="B72" s="2" t="inlineStr">
        <is>
          <t>AngloGold Ashanti plc</t>
        </is>
      </c>
      <c r="C72" s="2" t="inlineStr">
        <is>
          <t>USD</t>
        </is>
      </c>
      <c r="D72" s="2" t="n">
        <v>2026</v>
      </c>
      <c r="E72" s="12" t="n">
        <v>46290</v>
      </c>
      <c r="F72" s="2" t="n">
        <v>87.12</v>
      </c>
      <c r="G72" s="2" t="n">
        <v>129.14</v>
      </c>
      <c r="H72" s="2" t="n">
        <v>73.40000000000001</v>
      </c>
      <c r="I72" s="2" t="n">
        <v>99.03</v>
      </c>
      <c r="J72" s="2" t="n">
        <v>97.5111</v>
      </c>
      <c r="K72" s="2" t="n">
        <v>3.61</v>
      </c>
      <c r="L72" s="13" t="n">
        <v>0.0365</v>
      </c>
      <c r="M72" s="13" t="n">
        <v>0.0348</v>
      </c>
      <c r="N72" s="2" t="n">
        <v>98.703</v>
      </c>
      <c r="O72" s="2" t="n">
        <v>2028</v>
      </c>
      <c r="P72" s="2" t="n"/>
      <c r="Q72" s="13" t="n"/>
    </row>
    <row r="73">
      <c r="A73" s="2" t="inlineStr">
        <is>
          <t>AUMB.V</t>
        </is>
      </c>
      <c r="B73" s="2" t="inlineStr">
        <is>
          <t>1911 Gold Corp</t>
        </is>
      </c>
      <c r="C73" s="2" t="inlineStr">
        <is>
          <t>CAD</t>
        </is>
      </c>
      <c r="D73" s="2" t="n">
        <v>2018</v>
      </c>
      <c r="E73" s="12" t="n">
        <v>43465</v>
      </c>
      <c r="F73" s="2" t="n">
        <v>0.6</v>
      </c>
      <c r="G73" s="2" t="n">
        <v>0.6899999999999999</v>
      </c>
      <c r="H73" s="2" t="n">
        <v>0.25</v>
      </c>
      <c r="I73" s="2" t="n">
        <v>0.29</v>
      </c>
      <c r="J73" s="2" t="n">
        <v>0.3279</v>
      </c>
      <c r="K73" s="2" t="n">
        <v>0</v>
      </c>
      <c r="L73" s="13" t="n">
        <v>0</v>
      </c>
      <c r="M73" s="13" t="n">
        <v>0.0186</v>
      </c>
      <c r="N73" s="2" t="n">
        <v>0.301</v>
      </c>
      <c r="O73" s="2" t="n">
        <v>2020</v>
      </c>
      <c r="P73" s="2" t="n">
        <v>0.51</v>
      </c>
      <c r="Q73" s="13" t="n">
        <v>0.6944</v>
      </c>
    </row>
    <row r="74">
      <c r="A74" s="2" t="inlineStr">
        <is>
          <t>AUMB.V</t>
        </is>
      </c>
      <c r="B74" s="2" t="inlineStr">
        <is>
          <t>1911 Gold Corp</t>
        </is>
      </c>
      <c r="C74" s="2" t="inlineStr">
        <is>
          <t>CAD</t>
        </is>
      </c>
      <c r="D74" s="2" t="n">
        <v>2019</v>
      </c>
      <c r="E74" s="12" t="n">
        <v>43830</v>
      </c>
      <c r="F74" s="2" t="n">
        <v>0.28</v>
      </c>
      <c r="G74" s="2" t="n">
        <v>0.37</v>
      </c>
      <c r="H74" s="2" t="n">
        <v>0.215</v>
      </c>
      <c r="I74" s="2" t="n">
        <v>0.25</v>
      </c>
      <c r="J74" s="2" t="n">
        <v>0.2843</v>
      </c>
      <c r="K74" s="2" t="n">
        <v>0</v>
      </c>
      <c r="L74" s="13" t="n">
        <v>0</v>
      </c>
      <c r="M74" s="13" t="n">
        <v>0.017</v>
      </c>
      <c r="N74" s="2" t="n">
        <v>0.2586</v>
      </c>
      <c r="O74" s="2" t="n">
        <v>2021</v>
      </c>
      <c r="P74" s="2" t="n">
        <v>0.305</v>
      </c>
      <c r="Q74" s="13" t="n">
        <v>0.1792</v>
      </c>
    </row>
    <row r="75">
      <c r="A75" s="2" t="inlineStr">
        <is>
          <t>AUMB.V</t>
        </is>
      </c>
      <c r="B75" s="2" t="inlineStr">
        <is>
          <t>1911 Gold Corp</t>
        </is>
      </c>
      <c r="C75" s="2" t="inlineStr">
        <is>
          <t>CAD</t>
        </is>
      </c>
      <c r="D75" s="2" t="n">
        <v>2020</v>
      </c>
      <c r="E75" s="12" t="n">
        <v>44196</v>
      </c>
      <c r="F75" s="2" t="n">
        <v>0.26</v>
      </c>
      <c r="G75" s="2" t="n">
        <v>0.98</v>
      </c>
      <c r="H75" s="2" t="n">
        <v>0.23</v>
      </c>
      <c r="I75" s="2" t="n">
        <v>0.51</v>
      </c>
      <c r="J75" s="2" t="n">
        <v>0.5123</v>
      </c>
      <c r="K75" s="2" t="n">
        <v>0</v>
      </c>
      <c r="L75" s="13" t="n">
        <v>0</v>
      </c>
      <c r="M75" s="13" t="n">
        <v>0.002</v>
      </c>
      <c r="N75" s="2" t="n">
        <v>0.512</v>
      </c>
      <c r="O75" s="2" t="n">
        <v>2022</v>
      </c>
      <c r="P75" s="2" t="n">
        <v>0.16</v>
      </c>
      <c r="Q75" s="13" t="n">
        <v>-0.6875</v>
      </c>
    </row>
    <row r="76">
      <c r="A76" s="2" t="inlineStr">
        <is>
          <t>AUMB.V</t>
        </is>
      </c>
      <c r="B76" s="2" t="inlineStr">
        <is>
          <t>1911 Gold Corp</t>
        </is>
      </c>
      <c r="C76" s="2" t="inlineStr">
        <is>
          <t>CAD</t>
        </is>
      </c>
      <c r="D76" s="2" t="n">
        <v>2021</v>
      </c>
      <c r="E76" s="12" t="n">
        <v>44561</v>
      </c>
      <c r="F76" s="2" t="n">
        <v>0.53</v>
      </c>
      <c r="G76" s="2" t="n">
        <v>0.72</v>
      </c>
      <c r="H76" s="2" t="n">
        <v>0.26</v>
      </c>
      <c r="I76" s="2" t="n">
        <v>0.305</v>
      </c>
      <c r="J76" s="2" t="n">
        <v>0.4397</v>
      </c>
      <c r="K76" s="2" t="n">
        <v>0</v>
      </c>
      <c r="L76" s="13" t="n">
        <v>0</v>
      </c>
      <c r="M76" s="13" t="n">
        <v>0.0095</v>
      </c>
      <c r="N76" s="2" t="n">
        <v>0.3109</v>
      </c>
      <c r="O76" s="2" t="n">
        <v>2023</v>
      </c>
      <c r="P76" s="2" t="n">
        <v>0.075</v>
      </c>
      <c r="Q76" s="13" t="n">
        <v>-0.7587</v>
      </c>
    </row>
    <row r="77">
      <c r="A77" s="2" t="inlineStr">
        <is>
          <t>AUMB.V</t>
        </is>
      </c>
      <c r="B77" s="2" t="inlineStr">
        <is>
          <t>1911 Gold Corp</t>
        </is>
      </c>
      <c r="C77" s="2" t="inlineStr">
        <is>
          <t>CAD</t>
        </is>
      </c>
      <c r="D77" s="2" t="n">
        <v>2022</v>
      </c>
      <c r="E77" s="12" t="n">
        <v>44925</v>
      </c>
      <c r="F77" s="2" t="n">
        <v>0.325</v>
      </c>
      <c r="G77" s="2" t="n">
        <v>0.415</v>
      </c>
      <c r="H77" s="2" t="n">
        <v>0.08</v>
      </c>
      <c r="I77" s="2" t="n">
        <v>0.16</v>
      </c>
      <c r="J77" s="2" t="n">
        <v>0.2186</v>
      </c>
      <c r="K77" s="2" t="n">
        <v>0</v>
      </c>
      <c r="L77" s="13" t="n">
        <v>0</v>
      </c>
      <c r="M77" s="13" t="n">
        <v>0.0405</v>
      </c>
      <c r="N77" s="2" t="n">
        <v>0.1735</v>
      </c>
      <c r="O77" s="2" t="n">
        <v>2024</v>
      </c>
      <c r="P77" s="2" t="n">
        <v>0.155</v>
      </c>
      <c r="Q77" s="13" t="n">
        <v>-0.1066</v>
      </c>
    </row>
    <row r="78">
      <c r="A78" s="2" t="inlineStr">
        <is>
          <t>AUMB.V</t>
        </is>
      </c>
      <c r="B78" s="2" t="inlineStr">
        <is>
          <t>1911 Gold Corp</t>
        </is>
      </c>
      <c r="C78" s="2" t="inlineStr">
        <is>
          <t>CAD</t>
        </is>
      </c>
      <c r="D78" s="2" t="n">
        <v>2023</v>
      </c>
      <c r="E78" s="12" t="n">
        <v>45289</v>
      </c>
      <c r="F78" s="2" t="n">
        <v>0.17</v>
      </c>
      <c r="G78" s="2" t="n">
        <v>0.185</v>
      </c>
      <c r="H78" s="2" t="n">
        <v>0.06</v>
      </c>
      <c r="I78" s="2" t="n">
        <v>0.075</v>
      </c>
      <c r="J78" s="2" t="n">
        <v>0.1022</v>
      </c>
      <c r="K78" s="2" t="n">
        <v>0</v>
      </c>
      <c r="L78" s="13" t="n">
        <v>0</v>
      </c>
      <c r="M78" s="13" t="n">
        <v>0.0388</v>
      </c>
      <c r="N78" s="2" t="n">
        <v>0.08110000000000001</v>
      </c>
      <c r="O78" s="2" t="n">
        <v>2025</v>
      </c>
      <c r="P78" s="2" t="n">
        <v>0.88</v>
      </c>
      <c r="Q78" s="13" t="n">
        <v>9.8573</v>
      </c>
    </row>
    <row r="79">
      <c r="A79" s="2" t="inlineStr">
        <is>
          <t>AUMB.V</t>
        </is>
      </c>
      <c r="B79" s="2" t="inlineStr">
        <is>
          <t>1911 Gold Corp</t>
        </is>
      </c>
      <c r="C79" s="2" t="inlineStr">
        <is>
          <t>CAD</t>
        </is>
      </c>
      <c r="D79" s="2" t="n">
        <v>2024</v>
      </c>
      <c r="E79" s="12" t="n">
        <v>45657</v>
      </c>
      <c r="F79" s="2" t="n">
        <v>0.075</v>
      </c>
      <c r="G79" s="2" t="n">
        <v>0.24</v>
      </c>
      <c r="H79" s="2" t="n">
        <v>0.06</v>
      </c>
      <c r="I79" s="2" t="n">
        <v>0.155</v>
      </c>
      <c r="J79" s="2" t="n">
        <v>0.1196</v>
      </c>
      <c r="K79" s="2" t="n">
        <v>0</v>
      </c>
      <c r="L79" s="13" t="n">
        <v>0</v>
      </c>
      <c r="M79" s="13" t="n">
        <v>0.0293</v>
      </c>
      <c r="N79" s="2" t="n">
        <v>0.1644</v>
      </c>
      <c r="O79" s="2" t="n">
        <v>2026</v>
      </c>
      <c r="P79" s="2" t="n">
        <v>0.83</v>
      </c>
      <c r="Q79" s="13" t="n">
        <v>4.0501</v>
      </c>
    </row>
    <row r="80">
      <c r="A80" s="2" t="inlineStr">
        <is>
          <t>AUMB.V</t>
        </is>
      </c>
      <c r="B80" s="2" t="inlineStr">
        <is>
          <t>1911 Gold Corp</t>
        </is>
      </c>
      <c r="C80" s="2" t="inlineStr">
        <is>
          <t>CAD</t>
        </is>
      </c>
      <c r="D80" s="2" t="n">
        <v>2025</v>
      </c>
      <c r="E80" s="12" t="n">
        <v>46022</v>
      </c>
      <c r="F80" s="2" t="n">
        <v>0.155</v>
      </c>
      <c r="G80" s="2" t="n">
        <v>1.54</v>
      </c>
      <c r="H80" s="2" t="n">
        <v>0.14</v>
      </c>
      <c r="I80" s="2" t="n">
        <v>0.88</v>
      </c>
      <c r="J80" s="2" t="n">
        <v>0.4315</v>
      </c>
      <c r="K80" s="2" t="n">
        <v>0</v>
      </c>
      <c r="L80" s="13" t="n">
        <v>0</v>
      </c>
      <c r="M80" s="13" t="n">
        <v>0.026</v>
      </c>
      <c r="N80" s="2" t="n">
        <v>0.927</v>
      </c>
      <c r="O80" s="2" t="n">
        <v>2027</v>
      </c>
      <c r="P80" s="2" t="n"/>
      <c r="Q80" s="13" t="n"/>
    </row>
    <row r="81">
      <c r="A81" s="2" t="inlineStr">
        <is>
          <t>AUMB.V</t>
        </is>
      </c>
      <c r="B81" s="2" t="inlineStr">
        <is>
          <t>1911 Gold Corp</t>
        </is>
      </c>
      <c r="C81" s="2" t="inlineStr">
        <is>
          <t>CAD</t>
        </is>
      </c>
      <c r="D81" s="2" t="n">
        <v>2026</v>
      </c>
      <c r="E81" s="12" t="n">
        <v>46290</v>
      </c>
      <c r="F81" s="2" t="n">
        <v>0.93</v>
      </c>
      <c r="G81" s="2" t="n">
        <v>1.5</v>
      </c>
      <c r="H81" s="2" t="n">
        <v>0.555</v>
      </c>
      <c r="I81" s="2" t="n">
        <v>0.83</v>
      </c>
      <c r="J81" s="2" t="n">
        <v>0.8752</v>
      </c>
      <c r="K81" s="2" t="n">
        <v>0</v>
      </c>
      <c r="L81" s="13" t="n">
        <v>0</v>
      </c>
      <c r="M81" s="13" t="n">
        <v>0.026</v>
      </c>
      <c r="N81" s="2" t="n">
        <v>0.8743</v>
      </c>
      <c r="O81" s="2" t="n">
        <v>2028</v>
      </c>
      <c r="P81" s="2" t="n"/>
      <c r="Q81" s="13" t="n"/>
    </row>
    <row r="82">
      <c r="A82" s="2" t="inlineStr">
        <is>
          <t>BGL.AX</t>
        </is>
      </c>
      <c r="B82" s="2" t="inlineStr">
        <is>
          <t>Bellevue Gold Ltd</t>
        </is>
      </c>
      <c r="C82" s="2" t="inlineStr">
        <is>
          <t>AUD</t>
        </is>
      </c>
      <c r="D82" s="2" t="n">
        <v>2017</v>
      </c>
      <c r="E82" s="12" t="n">
        <v>43098</v>
      </c>
      <c r="F82" s="2" t="n">
        <v>0.022</v>
      </c>
      <c r="G82" s="2" t="n">
        <v>0.3</v>
      </c>
      <c r="H82" s="2" t="n">
        <v>0.022</v>
      </c>
      <c r="I82" s="2" t="n">
        <v>0.265</v>
      </c>
      <c r="J82" s="2" t="n">
        <v>0.0746</v>
      </c>
      <c r="K82" s="2" t="n">
        <v>0</v>
      </c>
      <c r="L82" s="13" t="n">
        <v>0</v>
      </c>
      <c r="M82" s="13" t="n">
        <v>0.02</v>
      </c>
      <c r="N82" s="2" t="n">
        <v>0.2758</v>
      </c>
      <c r="O82" s="2" t="n">
        <v>2019</v>
      </c>
      <c r="P82" s="2" t="n">
        <v>0.535</v>
      </c>
      <c r="Q82" s="13" t="n">
        <v>0.9397</v>
      </c>
    </row>
    <row r="83">
      <c r="A83" s="2" t="inlineStr">
        <is>
          <t>BGL.AX</t>
        </is>
      </c>
      <c r="B83" s="2" t="inlineStr">
        <is>
          <t>Bellevue Gold Ltd</t>
        </is>
      </c>
      <c r="C83" s="2" t="inlineStr">
        <is>
          <t>AUD</t>
        </is>
      </c>
      <c r="D83" s="2" t="n">
        <v>2018</v>
      </c>
      <c r="E83" s="12" t="n">
        <v>43465</v>
      </c>
      <c r="F83" s="2" t="n">
        <v>0.27</v>
      </c>
      <c r="G83" s="2" t="n">
        <v>0.527</v>
      </c>
      <c r="H83" s="2" t="n">
        <v>0.12</v>
      </c>
      <c r="I83" s="2" t="n">
        <v>0.41</v>
      </c>
      <c r="J83" s="2" t="n">
        <v>0.2451</v>
      </c>
      <c r="K83" s="2" t="n">
        <v>0</v>
      </c>
      <c r="L83" s="13" t="n">
        <v>0</v>
      </c>
      <c r="M83" s="13" t="n">
        <v>0.019</v>
      </c>
      <c r="N83" s="2" t="n">
        <v>0.4259</v>
      </c>
      <c r="O83" s="2" t="n">
        <v>2020</v>
      </c>
      <c r="P83" s="2" t="n">
        <v>1.12</v>
      </c>
      <c r="Q83" s="13" t="n">
        <v>1.6298</v>
      </c>
    </row>
    <row r="84">
      <c r="A84" s="2" t="inlineStr">
        <is>
          <t>BGL.AX</t>
        </is>
      </c>
      <c r="B84" s="2" t="inlineStr">
        <is>
          <t>Bellevue Gold Ltd</t>
        </is>
      </c>
      <c r="C84" s="2" t="inlineStr">
        <is>
          <t>AUD</t>
        </is>
      </c>
      <c r="D84" s="2" t="n">
        <v>2019</v>
      </c>
      <c r="E84" s="12" t="n">
        <v>43830</v>
      </c>
      <c r="F84" s="2" t="n">
        <v>0.415</v>
      </c>
      <c r="G84" s="2" t="n">
        <v>0.735</v>
      </c>
      <c r="H84" s="2" t="n">
        <v>0.41</v>
      </c>
      <c r="I84" s="2" t="n">
        <v>0.535</v>
      </c>
      <c r="J84" s="2" t="n">
        <v>0.572</v>
      </c>
      <c r="K84" s="2" t="n">
        <v>0</v>
      </c>
      <c r="L84" s="13" t="n">
        <v>0</v>
      </c>
      <c r="M84" s="13" t="n">
        <v>0.008999999999999999</v>
      </c>
      <c r="N84" s="2" t="n">
        <v>0.5447</v>
      </c>
      <c r="O84" s="2" t="n">
        <v>2021</v>
      </c>
      <c r="P84" s="2" t="n">
        <v>0.845</v>
      </c>
      <c r="Q84" s="13" t="n">
        <v>0.5513</v>
      </c>
    </row>
    <row r="85">
      <c r="A85" s="2" t="inlineStr">
        <is>
          <t>BGL.AX</t>
        </is>
      </c>
      <c r="B85" s="2" t="inlineStr">
        <is>
          <t>Bellevue Gold Ltd</t>
        </is>
      </c>
      <c r="C85" s="2" t="inlineStr">
        <is>
          <t>AUD</t>
        </is>
      </c>
      <c r="D85" s="2" t="n">
        <v>2020</v>
      </c>
      <c r="E85" s="12" t="n">
        <v>44196</v>
      </c>
      <c r="F85" s="2" t="n">
        <v>0.54</v>
      </c>
      <c r="G85" s="2" t="n">
        <v>1.49</v>
      </c>
      <c r="H85" s="2" t="n">
        <v>0.285</v>
      </c>
      <c r="I85" s="2" t="n">
        <v>1.12</v>
      </c>
      <c r="J85" s="2" t="n">
        <v>0.8842</v>
      </c>
      <c r="K85" s="2" t="n">
        <v>0</v>
      </c>
      <c r="L85" s="13" t="n">
        <v>0</v>
      </c>
      <c r="M85" s="13" t="n">
        <v>0.001</v>
      </c>
      <c r="N85" s="2" t="n">
        <v>1.1222</v>
      </c>
      <c r="O85" s="2" t="n">
        <v>2022</v>
      </c>
      <c r="P85" s="2" t="n">
        <v>1.13</v>
      </c>
      <c r="Q85" s="13" t="n">
        <v>0.0069</v>
      </c>
    </row>
    <row r="86">
      <c r="A86" s="2" t="inlineStr">
        <is>
          <t>BGL.AX</t>
        </is>
      </c>
      <c r="B86" s="2" t="inlineStr">
        <is>
          <t>Bellevue Gold Ltd</t>
        </is>
      </c>
      <c r="C86" s="2" t="inlineStr">
        <is>
          <t>AUD</t>
        </is>
      </c>
      <c r="D86" s="2" t="n">
        <v>2021</v>
      </c>
      <c r="E86" s="12" t="n">
        <v>44561</v>
      </c>
      <c r="F86" s="2" t="n">
        <v>1.12</v>
      </c>
      <c r="G86" s="2" t="n">
        <v>1.205</v>
      </c>
      <c r="H86" s="2" t="n">
        <v>0.6475</v>
      </c>
      <c r="I86" s="2" t="n">
        <v>0.845</v>
      </c>
      <c r="J86" s="2" t="n">
        <v>0.9039</v>
      </c>
      <c r="K86" s="2" t="n">
        <v>0</v>
      </c>
      <c r="L86" s="13" t="n">
        <v>0</v>
      </c>
      <c r="M86" s="13" t="n">
        <v>0.006</v>
      </c>
      <c r="N86" s="2" t="n">
        <v>0.8552</v>
      </c>
      <c r="O86" s="2" t="n">
        <v>2023</v>
      </c>
      <c r="P86" s="2" t="n">
        <v>1.675</v>
      </c>
      <c r="Q86" s="13" t="n">
        <v>0.9586</v>
      </c>
    </row>
    <row r="87">
      <c r="A87" s="2" t="inlineStr">
        <is>
          <t>BGL.AX</t>
        </is>
      </c>
      <c r="B87" s="2" t="inlineStr">
        <is>
          <t>Bellevue Gold Ltd</t>
        </is>
      </c>
      <c r="C87" s="2" t="inlineStr">
        <is>
          <t>AUD</t>
        </is>
      </c>
      <c r="D87" s="2" t="n">
        <v>2022</v>
      </c>
      <c r="E87" s="12" t="n">
        <v>44925</v>
      </c>
      <c r="F87" s="2" t="n">
        <v>0.85</v>
      </c>
      <c r="G87" s="2" t="n">
        <v>1.235</v>
      </c>
      <c r="H87" s="2" t="n">
        <v>0.62</v>
      </c>
      <c r="I87" s="2" t="n">
        <v>1.13</v>
      </c>
      <c r="J87" s="2" t="n">
        <v>0.8577</v>
      </c>
      <c r="K87" s="2" t="n">
        <v>0</v>
      </c>
      <c r="L87" s="13" t="n">
        <v>0</v>
      </c>
      <c r="M87" s="13" t="n">
        <v>0.035</v>
      </c>
      <c r="N87" s="2" t="n">
        <v>1.2119</v>
      </c>
      <c r="O87" s="2" t="n">
        <v>2024</v>
      </c>
      <c r="P87" s="2" t="n">
        <v>1.125</v>
      </c>
      <c r="Q87" s="13" t="n">
        <v>-0.0717</v>
      </c>
    </row>
    <row r="88">
      <c r="A88" s="2" t="inlineStr">
        <is>
          <t>BGL.AX</t>
        </is>
      </c>
      <c r="B88" s="2" t="inlineStr">
        <is>
          <t>Bellevue Gold Ltd</t>
        </is>
      </c>
      <c r="C88" s="2" t="inlineStr">
        <is>
          <t>AUD</t>
        </is>
      </c>
      <c r="D88" s="2" t="n">
        <v>2023</v>
      </c>
      <c r="E88" s="12" t="n">
        <v>45289</v>
      </c>
      <c r="F88" s="2" t="n">
        <v>1.13</v>
      </c>
      <c r="G88" s="2" t="n">
        <v>1.84</v>
      </c>
      <c r="H88" s="2" t="n">
        <v>0.98</v>
      </c>
      <c r="I88" s="2" t="n">
        <v>1.675</v>
      </c>
      <c r="J88" s="2" t="n">
        <v>1.3877</v>
      </c>
      <c r="K88" s="2" t="n">
        <v>0</v>
      </c>
      <c r="L88" s="13" t="n">
        <v>0</v>
      </c>
      <c r="M88" s="13" t="n">
        <v>0.037</v>
      </c>
      <c r="N88" s="2" t="n">
        <v>1.8037</v>
      </c>
      <c r="O88" s="2" t="n">
        <v>2025</v>
      </c>
      <c r="P88" s="2" t="n">
        <v>1.705</v>
      </c>
      <c r="Q88" s="13" t="n">
        <v>-0.0547</v>
      </c>
    </row>
    <row r="89">
      <c r="A89" s="2" t="inlineStr">
        <is>
          <t>BGL.AX</t>
        </is>
      </c>
      <c r="B89" s="2" t="inlineStr">
        <is>
          <t>Bellevue Gold Ltd</t>
        </is>
      </c>
      <c r="C89" s="2" t="inlineStr">
        <is>
          <t>AUD</t>
        </is>
      </c>
      <c r="D89" s="2" t="n">
        <v>2024</v>
      </c>
      <c r="E89" s="12" t="n">
        <v>45657</v>
      </c>
      <c r="F89" s="2" t="n">
        <v>1.665</v>
      </c>
      <c r="G89" s="2" t="n">
        <v>2.1</v>
      </c>
      <c r="H89" s="2" t="n">
        <v>1.085</v>
      </c>
      <c r="I89" s="2" t="n">
        <v>1.125</v>
      </c>
      <c r="J89" s="2" t="n">
        <v>1.5426</v>
      </c>
      <c r="K89" s="2" t="n">
        <v>0</v>
      </c>
      <c r="L89" s="13" t="n">
        <v>0</v>
      </c>
      <c r="M89" s="13" t="n">
        <v>0.0385</v>
      </c>
      <c r="N89" s="2" t="n">
        <v>1.215</v>
      </c>
      <c r="O89" s="2" t="n">
        <v>2026</v>
      </c>
      <c r="P89" s="2" t="n">
        <v>1.595</v>
      </c>
      <c r="Q89" s="13" t="n">
        <v>0.3127</v>
      </c>
    </row>
    <row r="90">
      <c r="A90" s="2" t="inlineStr">
        <is>
          <t>BGL.AX</t>
        </is>
      </c>
      <c r="B90" s="2" t="inlineStr">
        <is>
          <t>Bellevue Gold Ltd</t>
        </is>
      </c>
      <c r="C90" s="2" t="inlineStr">
        <is>
          <t>AUD</t>
        </is>
      </c>
      <c r="D90" s="2" t="n">
        <v>2025</v>
      </c>
      <c r="E90" s="12" t="n">
        <v>46022</v>
      </c>
      <c r="F90" s="2" t="n">
        <v>1.13</v>
      </c>
      <c r="G90" s="2" t="n">
        <v>1.76</v>
      </c>
      <c r="H90" s="2" t="n">
        <v>0.775</v>
      </c>
      <c r="I90" s="2" t="n">
        <v>1.705</v>
      </c>
      <c r="J90" s="2" t="n">
        <v>1.0968</v>
      </c>
      <c r="K90" s="2" t="n">
        <v>0</v>
      </c>
      <c r="L90" s="13" t="n">
        <v>0</v>
      </c>
      <c r="M90" s="13" t="n">
        <v>0.039</v>
      </c>
      <c r="N90" s="2" t="n">
        <v>1.8433</v>
      </c>
      <c r="O90" s="2" t="n">
        <v>2027</v>
      </c>
      <c r="P90" s="2" t="n"/>
      <c r="Q90" s="13" t="n"/>
    </row>
    <row r="91">
      <c r="A91" s="2" t="inlineStr">
        <is>
          <t>BGL.AX</t>
        </is>
      </c>
      <c r="B91" s="2" t="inlineStr">
        <is>
          <t>Bellevue Gold Ltd</t>
        </is>
      </c>
      <c r="C91" s="2" t="inlineStr">
        <is>
          <t>AUD</t>
        </is>
      </c>
      <c r="D91" s="2" t="n">
        <v>2026</v>
      </c>
      <c r="E91" s="12" t="n">
        <v>46290</v>
      </c>
      <c r="F91" s="2" t="n">
        <v>1.69</v>
      </c>
      <c r="G91" s="2" t="n">
        <v>2</v>
      </c>
      <c r="H91" s="2" t="n">
        <v>1.16</v>
      </c>
      <c r="I91" s="2" t="n">
        <v>1.595</v>
      </c>
      <c r="J91" s="2" t="n">
        <v>1.5708</v>
      </c>
      <c r="K91" s="2" t="n">
        <v>0</v>
      </c>
      <c r="L91" s="13" t="n">
        <v>0</v>
      </c>
      <c r="M91" s="13" t="n">
        <v>0.039</v>
      </c>
      <c r="N91" s="2" t="n">
        <v>1.7244</v>
      </c>
      <c r="O91" s="2" t="n">
        <v>2028</v>
      </c>
      <c r="P91" s="2" t="n"/>
      <c r="Q91" s="13" t="n"/>
    </row>
    <row r="92">
      <c r="A92" s="2" t="inlineStr">
        <is>
          <t>BTO.TO</t>
        </is>
      </c>
      <c r="B92" s="2" t="inlineStr">
        <is>
          <t>B2Gold Corp</t>
        </is>
      </c>
      <c r="C92" s="2" t="inlineStr">
        <is>
          <t>CAD</t>
        </is>
      </c>
      <c r="D92" s="2" t="n">
        <v>2017</v>
      </c>
      <c r="E92" s="12" t="n">
        <v>43098</v>
      </c>
      <c r="F92" s="2" t="n">
        <v>3.24</v>
      </c>
      <c r="G92" s="2" t="n">
        <v>4.64</v>
      </c>
      <c r="H92" s="2" t="n">
        <v>2.96</v>
      </c>
      <c r="I92" s="2" t="n">
        <v>3.88</v>
      </c>
      <c r="J92" s="2" t="n">
        <v>3.5614</v>
      </c>
      <c r="K92" s="2" t="n">
        <v>0</v>
      </c>
      <c r="L92" s="13" t="n">
        <v>0</v>
      </c>
      <c r="M92" s="13" t="n">
        <v>0.0169</v>
      </c>
      <c r="N92" s="2" t="n">
        <v>4.0134</v>
      </c>
      <c r="O92" s="2" t="n">
        <v>2019</v>
      </c>
      <c r="P92" s="2" t="n">
        <v>5.21</v>
      </c>
      <c r="Q92" s="13" t="n">
        <v>0.2982</v>
      </c>
    </row>
    <row r="93">
      <c r="A93" s="2" t="inlineStr">
        <is>
          <t>BTO.TO</t>
        </is>
      </c>
      <c r="B93" s="2" t="inlineStr">
        <is>
          <t>B2Gold Corp</t>
        </is>
      </c>
      <c r="C93" s="2" t="inlineStr">
        <is>
          <t>CAD</t>
        </is>
      </c>
      <c r="D93" s="2" t="n">
        <v>2018</v>
      </c>
      <c r="E93" s="12" t="n">
        <v>43465</v>
      </c>
      <c r="F93" s="2" t="n">
        <v>3.94</v>
      </c>
      <c r="G93" s="2" t="n">
        <v>4.06</v>
      </c>
      <c r="H93" s="2" t="n">
        <v>2.77</v>
      </c>
      <c r="I93" s="2" t="n">
        <v>3.99</v>
      </c>
      <c r="J93" s="2" t="n">
        <v>3.4521</v>
      </c>
      <c r="K93" s="2" t="n">
        <v>0</v>
      </c>
      <c r="L93" s="13" t="n">
        <v>0</v>
      </c>
      <c r="M93" s="13" t="n">
        <v>0.0186</v>
      </c>
      <c r="N93" s="2" t="n">
        <v>4.1412</v>
      </c>
      <c r="O93" s="2" t="n">
        <v>2020</v>
      </c>
      <c r="P93" s="2" t="n">
        <v>7.13</v>
      </c>
      <c r="Q93" s="13" t="n">
        <v>0.7217</v>
      </c>
    </row>
    <row r="94">
      <c r="A94" s="2" t="inlineStr">
        <is>
          <t>BTO.TO</t>
        </is>
      </c>
      <c r="B94" s="2" t="inlineStr">
        <is>
          <t>B2Gold Corp</t>
        </is>
      </c>
      <c r="C94" s="2" t="inlineStr">
        <is>
          <t>CAD</t>
        </is>
      </c>
      <c r="D94" s="2" t="n">
        <v>2019</v>
      </c>
      <c r="E94" s="12" t="n">
        <v>43830</v>
      </c>
      <c r="F94" s="2" t="n">
        <v>3.98</v>
      </c>
      <c r="G94" s="2" t="n">
        <v>5.36</v>
      </c>
      <c r="H94" s="2" t="n">
        <v>3.24</v>
      </c>
      <c r="I94" s="2" t="n">
        <v>5.21</v>
      </c>
      <c r="J94" s="2" t="n">
        <v>4.1794</v>
      </c>
      <c r="K94" s="2" t="n">
        <v>0.013</v>
      </c>
      <c r="L94" s="13" t="n">
        <v>0.0025</v>
      </c>
      <c r="M94" s="13" t="n">
        <v>0.017</v>
      </c>
      <c r="N94" s="2" t="n">
        <v>5.3634</v>
      </c>
      <c r="O94" s="2" t="n">
        <v>2021</v>
      </c>
      <c r="P94" s="2" t="n">
        <v>4.98</v>
      </c>
      <c r="Q94" s="13" t="n">
        <v>-0.07149999999999999</v>
      </c>
    </row>
    <row r="95">
      <c r="A95" s="2" t="inlineStr">
        <is>
          <t>BTO.TO</t>
        </is>
      </c>
      <c r="B95" s="2" t="inlineStr">
        <is>
          <t>B2Gold Corp</t>
        </is>
      </c>
      <c r="C95" s="2" t="inlineStr">
        <is>
          <t>CAD</t>
        </is>
      </c>
      <c r="D95" s="2" t="n">
        <v>2020</v>
      </c>
      <c r="E95" s="12" t="n">
        <v>44196</v>
      </c>
      <c r="F95" s="2" t="n">
        <v>5.25</v>
      </c>
      <c r="G95" s="2" t="n">
        <v>9.99</v>
      </c>
      <c r="H95" s="2" t="n">
        <v>3.12</v>
      </c>
      <c r="I95" s="2" t="n">
        <v>7.13</v>
      </c>
      <c r="J95" s="2" t="n">
        <v>7.2142</v>
      </c>
      <c r="K95" s="2" t="n">
        <v>0.144</v>
      </c>
      <c r="L95" s="13" t="n">
        <v>0.0202</v>
      </c>
      <c r="M95" s="13" t="n">
        <v>0.002</v>
      </c>
      <c r="N95" s="2" t="n">
        <v>6.8752</v>
      </c>
      <c r="O95" s="2" t="n">
        <v>2022</v>
      </c>
      <c r="P95" s="2" t="n">
        <v>4.81</v>
      </c>
      <c r="Q95" s="13" t="n">
        <v>-0.3004</v>
      </c>
    </row>
    <row r="96">
      <c r="A96" s="2" t="inlineStr">
        <is>
          <t>BTO.TO</t>
        </is>
      </c>
      <c r="B96" s="2" t="inlineStr">
        <is>
          <t>B2Gold Corp</t>
        </is>
      </c>
      <c r="C96" s="2" t="inlineStr">
        <is>
          <t>CAD</t>
        </is>
      </c>
      <c r="D96" s="2" t="n">
        <v>2021</v>
      </c>
      <c r="E96" s="12" t="n">
        <v>44561</v>
      </c>
      <c r="F96" s="2" t="n">
        <v>7.42</v>
      </c>
      <c r="G96" s="2" t="n">
        <v>7.67</v>
      </c>
      <c r="H96" s="2" t="n">
        <v>4.21</v>
      </c>
      <c r="I96" s="2" t="n">
        <v>4.98</v>
      </c>
      <c r="J96" s="2" t="n">
        <v>5.5197</v>
      </c>
      <c r="K96" s="2" t="n">
        <v>0.203</v>
      </c>
      <c r="L96" s="13" t="n">
        <v>0.0408</v>
      </c>
      <c r="M96" s="13" t="n">
        <v>0.0095</v>
      </c>
      <c r="N96" s="2" t="n">
        <v>4.6782</v>
      </c>
      <c r="O96" s="2" t="n">
        <v>2023</v>
      </c>
      <c r="P96" s="2" t="n">
        <v>4.19</v>
      </c>
      <c r="Q96" s="13" t="n">
        <v>-0.1043</v>
      </c>
    </row>
    <row r="97">
      <c r="A97" s="2" t="inlineStr">
        <is>
          <t>BTO.TO</t>
        </is>
      </c>
      <c r="B97" s="2" t="inlineStr">
        <is>
          <t>B2Gold Corp</t>
        </is>
      </c>
      <c r="C97" s="2" t="inlineStr">
        <is>
          <t>CAD</t>
        </is>
      </c>
      <c r="D97" s="2" t="n">
        <v>2022</v>
      </c>
      <c r="E97" s="12" t="n">
        <v>44925</v>
      </c>
      <c r="F97" s="2" t="n">
        <v>4.96</v>
      </c>
      <c r="G97" s="2" t="n">
        <v>6.39</v>
      </c>
      <c r="H97" s="2" t="n">
        <v>3.84</v>
      </c>
      <c r="I97" s="2" t="n">
        <v>4.81</v>
      </c>
      <c r="J97" s="2" t="n">
        <v>4.8</v>
      </c>
      <c r="K97" s="2" t="n">
        <v>0.21</v>
      </c>
      <c r="L97" s="13" t="n">
        <v>0.0437</v>
      </c>
      <c r="M97" s="13" t="n">
        <v>0.0405</v>
      </c>
      <c r="N97" s="2" t="n">
        <v>4.7797</v>
      </c>
      <c r="O97" s="2" t="n">
        <v>2024</v>
      </c>
      <c r="P97" s="2" t="n">
        <v>3.52</v>
      </c>
      <c r="Q97" s="13" t="n">
        <v>-0.2636</v>
      </c>
    </row>
    <row r="98">
      <c r="A98" s="2" t="inlineStr">
        <is>
          <t>BTO.TO</t>
        </is>
      </c>
      <c r="B98" s="2" t="inlineStr">
        <is>
          <t>B2Gold Corp</t>
        </is>
      </c>
      <c r="C98" s="2" t="inlineStr">
        <is>
          <t>CAD</t>
        </is>
      </c>
      <c r="D98" s="2" t="n">
        <v>2023</v>
      </c>
      <c r="E98" s="12" t="n">
        <v>45289</v>
      </c>
      <c r="F98" s="2" t="n">
        <v>4.91</v>
      </c>
      <c r="G98" s="2" t="n">
        <v>5.87</v>
      </c>
      <c r="H98" s="2" t="n">
        <v>3.81</v>
      </c>
      <c r="I98" s="2" t="n">
        <v>4.19</v>
      </c>
      <c r="J98" s="2" t="n">
        <v>4.7372</v>
      </c>
      <c r="K98" s="2" t="n">
        <v>0.215</v>
      </c>
      <c r="L98" s="13" t="n">
        <v>0.0513</v>
      </c>
      <c r="M98" s="13" t="n">
        <v>0.0388</v>
      </c>
      <c r="N98" s="2" t="n">
        <v>4.0864</v>
      </c>
      <c r="O98" s="2" t="n">
        <v>2025</v>
      </c>
      <c r="P98" s="2" t="n">
        <v>6.18</v>
      </c>
      <c r="Q98" s="13" t="n">
        <v>0.5123</v>
      </c>
    </row>
    <row r="99">
      <c r="A99" s="2" t="inlineStr">
        <is>
          <t>BTO.TO</t>
        </is>
      </c>
      <c r="B99" s="2" t="inlineStr">
        <is>
          <t>B2Gold Corp</t>
        </is>
      </c>
      <c r="C99" s="2" t="inlineStr">
        <is>
          <t>CAD</t>
        </is>
      </c>
      <c r="D99" s="2" t="n">
        <v>2024</v>
      </c>
      <c r="E99" s="12" t="n">
        <v>45657</v>
      </c>
      <c r="F99" s="2" t="n">
        <v>4.2</v>
      </c>
      <c r="G99" s="2" t="n">
        <v>4.84</v>
      </c>
      <c r="H99" s="2" t="n">
        <v>3.18</v>
      </c>
      <c r="I99" s="2" t="n">
        <v>3.52</v>
      </c>
      <c r="J99" s="2" t="n">
        <v>3.8498</v>
      </c>
      <c r="K99" s="2" t="n">
        <v>0.219</v>
      </c>
      <c r="L99" s="13" t="n">
        <v>0.0622</v>
      </c>
      <c r="M99" s="13" t="n">
        <v>0.0293</v>
      </c>
      <c r="N99" s="2" t="n">
        <v>3.2957</v>
      </c>
      <c r="O99" s="2" t="n">
        <v>2026</v>
      </c>
      <c r="P99" s="2" t="n">
        <v>7.73</v>
      </c>
      <c r="Q99" s="13" t="n">
        <v>1.3455</v>
      </c>
    </row>
    <row r="100">
      <c r="A100" s="2" t="inlineStr">
        <is>
          <t>BTO.TO</t>
        </is>
      </c>
      <c r="B100" s="2" t="inlineStr">
        <is>
          <t>B2Gold Corp</t>
        </is>
      </c>
      <c r="C100" s="2" t="inlineStr">
        <is>
          <t>CAD</t>
        </is>
      </c>
      <c r="D100" s="2" t="n">
        <v>2025</v>
      </c>
      <c r="E100" s="12" t="n">
        <v>46022</v>
      </c>
      <c r="F100" s="2" t="n">
        <v>3.6</v>
      </c>
      <c r="G100" s="2" t="n">
        <v>8.35</v>
      </c>
      <c r="H100" s="2" t="n">
        <v>3.16</v>
      </c>
      <c r="I100" s="2" t="n">
        <v>6.18</v>
      </c>
      <c r="J100" s="2" t="n">
        <v>5.0809</v>
      </c>
      <c r="K100" s="2" t="n">
        <v>0.112</v>
      </c>
      <c r="L100" s="13" t="n">
        <v>0.0181</v>
      </c>
      <c r="M100" s="13" t="n">
        <v>0.026</v>
      </c>
      <c r="N100" s="2" t="n">
        <v>6.2781</v>
      </c>
      <c r="O100" s="2" t="n">
        <v>2027</v>
      </c>
      <c r="P100" s="2" t="n"/>
      <c r="Q100" s="13" t="n"/>
    </row>
    <row r="101">
      <c r="A101" s="2" t="inlineStr">
        <is>
          <t>BTO.TO</t>
        </is>
      </c>
      <c r="B101" s="2" t="inlineStr">
        <is>
          <t>B2Gold Corp</t>
        </is>
      </c>
      <c r="C101" s="2" t="inlineStr">
        <is>
          <t>CAD</t>
        </is>
      </c>
      <c r="D101" s="2" t="n">
        <v>2026</v>
      </c>
      <c r="E101" s="12" t="n">
        <v>46290</v>
      </c>
      <c r="F101" s="2" t="n">
        <v>6.27</v>
      </c>
      <c r="G101" s="2" t="n">
        <v>8.6</v>
      </c>
      <c r="H101" s="2" t="n">
        <v>5.02</v>
      </c>
      <c r="I101" s="2" t="n">
        <v>7.73</v>
      </c>
      <c r="J101" s="2" t="n">
        <v>6.6194</v>
      </c>
      <c r="K101" s="2" t="n">
        <v>0.083</v>
      </c>
      <c r="L101" s="13" t="n">
        <v>0.0107</v>
      </c>
      <c r="M101" s="13" t="n">
        <v>0.026</v>
      </c>
      <c r="N101" s="2" t="n">
        <v>7.9696</v>
      </c>
      <c r="O101" s="2" t="n">
        <v>2028</v>
      </c>
      <c r="P101" s="2" t="n"/>
      <c r="Q101" s="13" t="n"/>
    </row>
    <row r="102">
      <c r="A102" s="2" t="inlineStr">
        <is>
          <t>CERT.V</t>
        </is>
      </c>
      <c r="B102" s="2" t="inlineStr">
        <is>
          <t>Cerrado Gold Inc</t>
        </is>
      </c>
      <c r="C102" s="2" t="inlineStr">
        <is>
          <t>CAD</t>
        </is>
      </c>
      <c r="D102" s="2" t="n">
        <v>2020</v>
      </c>
      <c r="E102" s="12" t="n">
        <v>44196</v>
      </c>
      <c r="F102" s="2" t="n">
        <v>0.1</v>
      </c>
      <c r="G102" s="2" t="n">
        <v>0.1</v>
      </c>
      <c r="H102" s="2" t="n">
        <v>0.05</v>
      </c>
      <c r="I102" s="2" t="n">
        <v>0.05</v>
      </c>
      <c r="J102" s="2" t="n">
        <v>0.0507</v>
      </c>
      <c r="K102" s="2" t="n">
        <v>0</v>
      </c>
      <c r="L102" s="13" t="n">
        <v>0</v>
      </c>
      <c r="M102" s="13" t="n">
        <v>0.002</v>
      </c>
      <c r="N102" s="2" t="n">
        <v>0.0502</v>
      </c>
      <c r="O102" s="2" t="n">
        <v>2022</v>
      </c>
      <c r="P102" s="2" t="n">
        <v>0.88</v>
      </c>
      <c r="Q102" s="13" t="n">
        <v>16.5297</v>
      </c>
    </row>
    <row r="103">
      <c r="A103" s="2" t="inlineStr">
        <is>
          <t>CERT.V</t>
        </is>
      </c>
      <c r="B103" s="2" t="inlineStr">
        <is>
          <t>Cerrado Gold Inc</t>
        </is>
      </c>
      <c r="C103" s="2" t="inlineStr">
        <is>
          <t>CAD</t>
        </is>
      </c>
      <c r="D103" s="2" t="n">
        <v>2021</v>
      </c>
      <c r="E103" s="12" t="n">
        <v>44561</v>
      </c>
      <c r="F103" s="2" t="n">
        <v>0.05</v>
      </c>
      <c r="G103" s="2" t="n">
        <v>1.89</v>
      </c>
      <c r="H103" s="2" t="n">
        <v>0.05</v>
      </c>
      <c r="I103" s="2" t="n">
        <v>1.41</v>
      </c>
      <c r="J103" s="2" t="n">
        <v>1.2265</v>
      </c>
      <c r="K103" s="2" t="n">
        <v>0</v>
      </c>
      <c r="L103" s="13" t="n">
        <v>0</v>
      </c>
      <c r="M103" s="13" t="n">
        <v>0.0095</v>
      </c>
      <c r="N103" s="2" t="n">
        <v>1.437</v>
      </c>
      <c r="O103" s="2" t="n">
        <v>2023</v>
      </c>
      <c r="P103" s="2" t="n">
        <v>0.6</v>
      </c>
      <c r="Q103" s="13" t="n">
        <v>-0.5825</v>
      </c>
    </row>
    <row r="104">
      <c r="A104" s="2" t="inlineStr">
        <is>
          <t>CERT.V</t>
        </is>
      </c>
      <c r="B104" s="2" t="inlineStr">
        <is>
          <t>Cerrado Gold Inc</t>
        </is>
      </c>
      <c r="C104" s="2" t="inlineStr">
        <is>
          <t>CAD</t>
        </is>
      </c>
      <c r="D104" s="2" t="n">
        <v>2022</v>
      </c>
      <c r="E104" s="12" t="n">
        <v>44925</v>
      </c>
      <c r="F104" s="2" t="n">
        <v>1.43</v>
      </c>
      <c r="G104" s="2" t="n">
        <v>1.96</v>
      </c>
      <c r="H104" s="2" t="n">
        <v>0.6899999999999999</v>
      </c>
      <c r="I104" s="2" t="n">
        <v>0.88</v>
      </c>
      <c r="J104" s="2" t="n">
        <v>1.2786</v>
      </c>
      <c r="K104" s="2" t="n">
        <v>0</v>
      </c>
      <c r="L104" s="13" t="n">
        <v>0</v>
      </c>
      <c r="M104" s="13" t="n">
        <v>0.0405</v>
      </c>
      <c r="N104" s="2" t="n">
        <v>0.9542</v>
      </c>
      <c r="O104" s="2" t="n">
        <v>2024</v>
      </c>
      <c r="P104" s="2" t="n">
        <v>0.385</v>
      </c>
      <c r="Q104" s="13" t="n">
        <v>-0.5965</v>
      </c>
    </row>
    <row r="105">
      <c r="A105" s="2" t="inlineStr">
        <is>
          <t>CERT.V</t>
        </is>
      </c>
      <c r="B105" s="2" t="inlineStr">
        <is>
          <t>Cerrado Gold Inc</t>
        </is>
      </c>
      <c r="C105" s="2" t="inlineStr">
        <is>
          <t>CAD</t>
        </is>
      </c>
      <c r="D105" s="2" t="n">
        <v>2023</v>
      </c>
      <c r="E105" s="12" t="n">
        <v>45289</v>
      </c>
      <c r="F105" s="2" t="n">
        <v>0.88</v>
      </c>
      <c r="G105" s="2" t="n">
        <v>1.09</v>
      </c>
      <c r="H105" s="2" t="n">
        <v>0.49</v>
      </c>
      <c r="I105" s="2" t="n">
        <v>0.6</v>
      </c>
      <c r="J105" s="2" t="n">
        <v>0.776</v>
      </c>
      <c r="K105" s="2" t="n">
        <v>0</v>
      </c>
      <c r="L105" s="13" t="n">
        <v>0</v>
      </c>
      <c r="M105" s="13" t="n">
        <v>0.0388</v>
      </c>
      <c r="N105" s="2" t="n">
        <v>0.6484</v>
      </c>
      <c r="O105" s="2" t="n">
        <v>2025</v>
      </c>
      <c r="P105" s="2" t="n">
        <v>1.65</v>
      </c>
      <c r="Q105" s="13" t="n">
        <v>1.5447</v>
      </c>
    </row>
    <row r="106">
      <c r="A106" s="2" t="inlineStr">
        <is>
          <t>CERT.V</t>
        </is>
      </c>
      <c r="B106" s="2" t="inlineStr">
        <is>
          <t>Cerrado Gold Inc</t>
        </is>
      </c>
      <c r="C106" s="2" t="inlineStr">
        <is>
          <t>CAD</t>
        </is>
      </c>
      <c r="D106" s="2" t="n">
        <v>2024</v>
      </c>
      <c r="E106" s="12" t="n">
        <v>45657</v>
      </c>
      <c r="F106" s="2" t="n">
        <v>0.61</v>
      </c>
      <c r="G106" s="2" t="n">
        <v>0.62</v>
      </c>
      <c r="H106" s="2" t="n">
        <v>0.15</v>
      </c>
      <c r="I106" s="2" t="n">
        <v>0.385</v>
      </c>
      <c r="J106" s="2" t="n">
        <v>0.2755</v>
      </c>
      <c r="K106" s="2" t="n">
        <v>0</v>
      </c>
      <c r="L106" s="13" t="n">
        <v>0</v>
      </c>
      <c r="M106" s="13" t="n">
        <v>0.0293</v>
      </c>
      <c r="N106" s="2" t="n">
        <v>0.4082</v>
      </c>
      <c r="O106" s="2" t="n">
        <v>2026</v>
      </c>
      <c r="P106" s="2" t="n">
        <v>2.42</v>
      </c>
      <c r="Q106" s="13" t="n">
        <v>4.928</v>
      </c>
    </row>
    <row r="107">
      <c r="A107" s="2" t="inlineStr">
        <is>
          <t>CERT.V</t>
        </is>
      </c>
      <c r="B107" s="2" t="inlineStr">
        <is>
          <t>Cerrado Gold Inc</t>
        </is>
      </c>
      <c r="C107" s="2" t="inlineStr">
        <is>
          <t>CAD</t>
        </is>
      </c>
      <c r="D107" s="2" t="n">
        <v>2025</v>
      </c>
      <c r="E107" s="12" t="n">
        <v>46022</v>
      </c>
      <c r="F107" s="2" t="n">
        <v>0.385</v>
      </c>
      <c r="G107" s="2" t="n">
        <v>1.83</v>
      </c>
      <c r="H107" s="2" t="n">
        <v>0.34</v>
      </c>
      <c r="I107" s="2" t="n">
        <v>1.65</v>
      </c>
      <c r="J107" s="2" t="n">
        <v>0.8794</v>
      </c>
      <c r="K107" s="2" t="n">
        <v>0</v>
      </c>
      <c r="L107" s="13" t="n">
        <v>0</v>
      </c>
      <c r="M107" s="13" t="n">
        <v>0.026</v>
      </c>
      <c r="N107" s="2" t="n">
        <v>1.7381</v>
      </c>
      <c r="O107" s="2" t="n">
        <v>2027</v>
      </c>
      <c r="P107" s="2" t="n"/>
      <c r="Q107" s="13" t="n"/>
    </row>
    <row r="108">
      <c r="A108" s="2" t="inlineStr">
        <is>
          <t>CERT.V</t>
        </is>
      </c>
      <c r="B108" s="2" t="inlineStr">
        <is>
          <t>Cerrado Gold Inc</t>
        </is>
      </c>
      <c r="C108" s="2" t="inlineStr">
        <is>
          <t>CAD</t>
        </is>
      </c>
      <c r="D108" s="2" t="n">
        <v>2026</v>
      </c>
      <c r="E108" s="12" t="n">
        <v>46290</v>
      </c>
      <c r="F108" s="2" t="n">
        <v>1.69</v>
      </c>
      <c r="G108" s="2" t="n">
        <v>2.83</v>
      </c>
      <c r="H108" s="2" t="n">
        <v>1.305</v>
      </c>
      <c r="I108" s="2" t="n">
        <v>2.42</v>
      </c>
      <c r="J108" s="2" t="n">
        <v>1.9016</v>
      </c>
      <c r="K108" s="2" t="n">
        <v>0</v>
      </c>
      <c r="L108" s="13" t="n">
        <v>0</v>
      </c>
      <c r="M108" s="13" t="n">
        <v>0.026</v>
      </c>
      <c r="N108" s="2" t="n">
        <v>2.5492</v>
      </c>
      <c r="O108" s="2" t="n">
        <v>2028</v>
      </c>
      <c r="P108" s="2" t="n"/>
      <c r="Q108" s="13" t="n"/>
    </row>
    <row r="109">
      <c r="A109" s="2" t="inlineStr">
        <is>
          <t>CG.TO</t>
        </is>
      </c>
      <c r="B109" s="2" t="inlineStr">
        <is>
          <t>Centerra Gold Inc</t>
        </is>
      </c>
      <c r="C109" s="2" t="inlineStr">
        <is>
          <t>CAD</t>
        </is>
      </c>
      <c r="D109" s="2" t="n">
        <v>2017</v>
      </c>
      <c r="E109" s="12" t="n">
        <v>43098</v>
      </c>
      <c r="F109" s="2" t="n">
        <v>6.32</v>
      </c>
      <c r="G109" s="2" t="n">
        <v>9.35</v>
      </c>
      <c r="H109" s="2" t="n">
        <v>6.02</v>
      </c>
      <c r="I109" s="2" t="n">
        <v>6.44</v>
      </c>
      <c r="J109" s="2" t="n">
        <v>7.4127</v>
      </c>
      <c r="K109" s="2" t="n">
        <v>0</v>
      </c>
      <c r="L109" s="13" t="n">
        <v>0</v>
      </c>
      <c r="M109" s="13" t="n">
        <v>0.0169</v>
      </c>
      <c r="N109" s="2" t="n">
        <v>6.6614</v>
      </c>
      <c r="O109" s="2" t="n">
        <v>2019</v>
      </c>
      <c r="P109" s="2" t="n">
        <v>10.33</v>
      </c>
      <c r="Q109" s="13" t="n">
        <v>0.5507</v>
      </c>
    </row>
    <row r="110">
      <c r="A110" s="2" t="inlineStr">
        <is>
          <t>CG.TO</t>
        </is>
      </c>
      <c r="B110" s="2" t="inlineStr">
        <is>
          <t>Centerra Gold Inc</t>
        </is>
      </c>
      <c r="C110" s="2" t="inlineStr">
        <is>
          <t>CAD</t>
        </is>
      </c>
      <c r="D110" s="2" t="n">
        <v>2018</v>
      </c>
      <c r="E110" s="12" t="n">
        <v>43465</v>
      </c>
      <c r="F110" s="2" t="n">
        <v>6.49</v>
      </c>
      <c r="G110" s="2" t="n">
        <v>8.210000000000001</v>
      </c>
      <c r="H110" s="2" t="n">
        <v>4.76</v>
      </c>
      <c r="I110" s="2" t="n">
        <v>5.86</v>
      </c>
      <c r="J110" s="2" t="n">
        <v>6.2762</v>
      </c>
      <c r="K110" s="2" t="n">
        <v>0</v>
      </c>
      <c r="L110" s="13" t="n">
        <v>0</v>
      </c>
      <c r="M110" s="13" t="n">
        <v>0.0186</v>
      </c>
      <c r="N110" s="2" t="n">
        <v>6.0821</v>
      </c>
      <c r="O110" s="2" t="n">
        <v>2020</v>
      </c>
      <c r="P110" s="2" t="n">
        <v>14.74</v>
      </c>
      <c r="Q110" s="13" t="n">
        <v>1.4235</v>
      </c>
    </row>
    <row r="111">
      <c r="A111" s="2" t="inlineStr">
        <is>
          <t>CG.TO</t>
        </is>
      </c>
      <c r="B111" s="2" t="inlineStr">
        <is>
          <t>Centerra Gold Inc</t>
        </is>
      </c>
      <c r="C111" s="2" t="inlineStr">
        <is>
          <t>CAD</t>
        </is>
      </c>
      <c r="D111" s="2" t="n">
        <v>2019</v>
      </c>
      <c r="E111" s="12" t="n">
        <v>43830</v>
      </c>
      <c r="F111" s="2" t="n">
        <v>5.84</v>
      </c>
      <c r="G111" s="2" t="n">
        <v>13</v>
      </c>
      <c r="H111" s="2" t="n">
        <v>5.64</v>
      </c>
      <c r="I111" s="2" t="n">
        <v>10.33</v>
      </c>
      <c r="J111" s="2" t="n">
        <v>9.130599999999999</v>
      </c>
      <c r="K111" s="2" t="n">
        <v>0</v>
      </c>
      <c r="L111" s="13" t="n">
        <v>0</v>
      </c>
      <c r="M111" s="13" t="n">
        <v>0.017</v>
      </c>
      <c r="N111" s="2" t="n">
        <v>10.6873</v>
      </c>
      <c r="O111" s="2" t="n">
        <v>2021</v>
      </c>
      <c r="P111" s="2" t="n">
        <v>9.75</v>
      </c>
      <c r="Q111" s="13" t="n">
        <v>-0.0877</v>
      </c>
    </row>
    <row r="112">
      <c r="A112" s="2" t="inlineStr">
        <is>
          <t>CG.TO</t>
        </is>
      </c>
      <c r="B112" s="2" t="inlineStr">
        <is>
          <t>Centerra Gold Inc</t>
        </is>
      </c>
      <c r="C112" s="2" t="inlineStr">
        <is>
          <t>CAD</t>
        </is>
      </c>
      <c r="D112" s="2" t="n">
        <v>2020</v>
      </c>
      <c r="E112" s="12" t="n">
        <v>44196</v>
      </c>
      <c r="F112" s="2" t="n">
        <v>10.4</v>
      </c>
      <c r="G112" s="2" t="n">
        <v>19.59</v>
      </c>
      <c r="H112" s="2" t="n">
        <v>5.52</v>
      </c>
      <c r="I112" s="2" t="n">
        <v>14.74</v>
      </c>
      <c r="J112" s="2" t="n">
        <v>12.8498</v>
      </c>
      <c r="K112" s="2" t="n">
        <v>0.18</v>
      </c>
      <c r="L112" s="13" t="n">
        <v>0.0122</v>
      </c>
      <c r="M112" s="13" t="n">
        <v>0.002</v>
      </c>
      <c r="N112" s="2" t="n">
        <v>14.442</v>
      </c>
      <c r="O112" s="2" t="n">
        <v>2022</v>
      </c>
      <c r="P112" s="2" t="n">
        <v>7.01</v>
      </c>
      <c r="Q112" s="13" t="n">
        <v>-0.5145999999999999</v>
      </c>
    </row>
    <row r="113">
      <c r="A113" s="2" t="inlineStr">
        <is>
          <t>CG.TO</t>
        </is>
      </c>
      <c r="B113" s="2" t="inlineStr">
        <is>
          <t>Centerra Gold Inc</t>
        </is>
      </c>
      <c r="C113" s="2" t="inlineStr">
        <is>
          <t>CAD</t>
        </is>
      </c>
      <c r="D113" s="2" t="n">
        <v>2021</v>
      </c>
      <c r="E113" s="12" t="n">
        <v>44561</v>
      </c>
      <c r="F113" s="2" t="n">
        <v>15.35</v>
      </c>
      <c r="G113" s="2" t="n">
        <v>16</v>
      </c>
      <c r="H113" s="2" t="n">
        <v>8.210000000000001</v>
      </c>
      <c r="I113" s="2" t="n">
        <v>9.75</v>
      </c>
      <c r="J113" s="2" t="n">
        <v>10.6182</v>
      </c>
      <c r="K113" s="2" t="n">
        <v>0.24</v>
      </c>
      <c r="L113" s="13" t="n">
        <v>0.0246</v>
      </c>
      <c r="M113" s="13" t="n">
        <v>0.0095</v>
      </c>
      <c r="N113" s="2" t="n">
        <v>9.4597</v>
      </c>
      <c r="O113" s="2" t="n">
        <v>2023</v>
      </c>
      <c r="P113" s="2" t="n">
        <v>7.91</v>
      </c>
      <c r="Q113" s="13" t="n">
        <v>-0.1638</v>
      </c>
    </row>
    <row r="114">
      <c r="A114" s="2" t="inlineStr">
        <is>
          <t>CG.TO</t>
        </is>
      </c>
      <c r="B114" s="2" t="inlineStr">
        <is>
          <t>Centerra Gold Inc</t>
        </is>
      </c>
      <c r="C114" s="2" t="inlineStr">
        <is>
          <t>CAD</t>
        </is>
      </c>
      <c r="D114" s="2" t="n">
        <v>2022</v>
      </c>
      <c r="E114" s="12" t="n">
        <v>44925</v>
      </c>
      <c r="F114" s="2" t="n">
        <v>10.46</v>
      </c>
      <c r="G114" s="2" t="n">
        <v>13.52</v>
      </c>
      <c r="H114" s="2" t="n">
        <v>5.18</v>
      </c>
      <c r="I114" s="2" t="n">
        <v>7.01</v>
      </c>
      <c r="J114" s="2" t="n">
        <v>8.8935</v>
      </c>
      <c r="K114" s="2" t="n">
        <v>0.28</v>
      </c>
      <c r="L114" s="13" t="n">
        <v>0.0399</v>
      </c>
      <c r="M114" s="13" t="n">
        <v>0.0405</v>
      </c>
      <c r="N114" s="2" t="n">
        <v>7.0178</v>
      </c>
      <c r="O114" s="2" t="n">
        <v>2024</v>
      </c>
      <c r="P114" s="2" t="n">
        <v>8.18</v>
      </c>
      <c r="Q114" s="13" t="n">
        <v>0.1656</v>
      </c>
    </row>
    <row r="115">
      <c r="A115" s="2" t="inlineStr">
        <is>
          <t>CG.TO</t>
        </is>
      </c>
      <c r="B115" s="2" t="inlineStr">
        <is>
          <t>Centerra Gold Inc</t>
        </is>
      </c>
      <c r="C115" s="2" t="inlineStr">
        <is>
          <t>CAD</t>
        </is>
      </c>
      <c r="D115" s="2" t="n">
        <v>2023</v>
      </c>
      <c r="E115" s="12" t="n">
        <v>45289</v>
      </c>
      <c r="F115" s="2" t="n">
        <v>7.15</v>
      </c>
      <c r="G115" s="2" t="n">
        <v>10.28</v>
      </c>
      <c r="H115" s="2" t="n">
        <v>6.17</v>
      </c>
      <c r="I115" s="2" t="n">
        <v>7.91</v>
      </c>
      <c r="J115" s="2" t="n">
        <v>8.0634</v>
      </c>
      <c r="K115" s="2" t="n">
        <v>0.28</v>
      </c>
      <c r="L115" s="13" t="n">
        <v>0.0354</v>
      </c>
      <c r="M115" s="13" t="n">
        <v>0.0388</v>
      </c>
      <c r="N115" s="2" t="n">
        <v>7.964</v>
      </c>
      <c r="O115" s="2" t="n">
        <v>2025</v>
      </c>
      <c r="P115" s="2" t="n">
        <v>19.76</v>
      </c>
      <c r="Q115" s="13" t="n">
        <v>1.4812</v>
      </c>
    </row>
    <row r="116">
      <c r="A116" s="2" t="inlineStr">
        <is>
          <t>CG.TO</t>
        </is>
      </c>
      <c r="B116" s="2" t="inlineStr">
        <is>
          <t>Centerra Gold Inc</t>
        </is>
      </c>
      <c r="C116" s="2" t="inlineStr">
        <is>
          <t>CAD</t>
        </is>
      </c>
      <c r="D116" s="2" t="n">
        <v>2024</v>
      </c>
      <c r="E116" s="12" t="n">
        <v>45657</v>
      </c>
      <c r="F116" s="2" t="n">
        <v>7.91</v>
      </c>
      <c r="G116" s="2" t="n">
        <v>10.59</v>
      </c>
      <c r="H116" s="2" t="n">
        <v>6.07</v>
      </c>
      <c r="I116" s="2" t="n">
        <v>8.18</v>
      </c>
      <c r="J116" s="2" t="n">
        <v>8.667299999999999</v>
      </c>
      <c r="K116" s="2" t="n">
        <v>0.28</v>
      </c>
      <c r="L116" s="13" t="n">
        <v>0.0342</v>
      </c>
      <c r="M116" s="13" t="n">
        <v>0.0293</v>
      </c>
      <c r="N116" s="2" t="n">
        <v>8.0997</v>
      </c>
      <c r="O116" s="2" t="n">
        <v>2026</v>
      </c>
      <c r="P116" s="2" t="n">
        <v>31.89</v>
      </c>
      <c r="Q116" s="13" t="n">
        <v>2.9372</v>
      </c>
    </row>
    <row r="117">
      <c r="A117" s="2" t="inlineStr">
        <is>
          <t>CG.TO</t>
        </is>
      </c>
      <c r="B117" s="2" t="inlineStr">
        <is>
          <t>Centerra Gold Inc</t>
        </is>
      </c>
      <c r="C117" s="2" t="inlineStr">
        <is>
          <t>CAD</t>
        </is>
      </c>
      <c r="D117" s="2" t="n">
        <v>2025</v>
      </c>
      <c r="E117" s="12" t="n">
        <v>46022</v>
      </c>
      <c r="F117" s="2" t="n">
        <v>8.300000000000001</v>
      </c>
      <c r="G117" s="2" t="n">
        <v>21.27</v>
      </c>
      <c r="H117" s="2" t="n">
        <v>7.72</v>
      </c>
      <c r="I117" s="2" t="n">
        <v>19.76</v>
      </c>
      <c r="J117" s="2" t="n">
        <v>11.6731</v>
      </c>
      <c r="K117" s="2" t="n">
        <v>0.28</v>
      </c>
      <c r="L117" s="13" t="n">
        <v>0.0142</v>
      </c>
      <c r="M117" s="13" t="n">
        <v>0.026</v>
      </c>
      <c r="N117" s="2" t="n">
        <v>20.2331</v>
      </c>
      <c r="O117" s="2" t="n">
        <v>2027</v>
      </c>
      <c r="P117" s="2" t="n"/>
      <c r="Q117" s="13" t="n"/>
    </row>
    <row r="118">
      <c r="A118" s="2" t="inlineStr">
        <is>
          <t>CG.TO</t>
        </is>
      </c>
      <c r="B118" s="2" t="inlineStr">
        <is>
          <t>Centerra Gold Inc</t>
        </is>
      </c>
      <c r="C118" s="2" t="inlineStr">
        <is>
          <t>CAD</t>
        </is>
      </c>
      <c r="D118" s="2" t="n">
        <v>2026</v>
      </c>
      <c r="E118" s="12" t="n">
        <v>46290</v>
      </c>
      <c r="F118" s="2" t="n">
        <v>19.99</v>
      </c>
      <c r="G118" s="2" t="n">
        <v>33.94</v>
      </c>
      <c r="H118" s="2" t="n">
        <v>18.88</v>
      </c>
      <c r="I118" s="2" t="n">
        <v>31.89</v>
      </c>
      <c r="J118" s="2" t="n">
        <v>25.5234</v>
      </c>
      <c r="K118" s="2" t="n">
        <v>0.21</v>
      </c>
      <c r="L118" s="13" t="n">
        <v>0.0066</v>
      </c>
      <c r="M118" s="13" t="n">
        <v>0.026</v>
      </c>
      <c r="N118" s="2" t="n">
        <v>33.1526</v>
      </c>
      <c r="O118" s="2" t="n">
        <v>2028</v>
      </c>
      <c r="P118" s="2" t="n"/>
      <c r="Q118" s="13" t="n"/>
    </row>
    <row r="119">
      <c r="A119" s="2" t="inlineStr">
        <is>
          <t>CXB.TO</t>
        </is>
      </c>
      <c r="B119" s="2" t="inlineStr">
        <is>
          <t>Calibre Mining Corp</t>
        </is>
      </c>
      <c r="C119" s="2" t="inlineStr">
        <is>
          <t>CAD</t>
        </is>
      </c>
      <c r="D119" s="2" t="n">
        <v>2017</v>
      </c>
      <c r="E119" s="2" t="inlineStr">
        <is>
          <t>2017-12-29</t>
        </is>
      </c>
      <c r="F119" s="2" t="n"/>
      <c r="G119" s="2" t="n"/>
      <c r="H119" s="2" t="n"/>
      <c r="I119" s="2" t="n">
        <v>1.3</v>
      </c>
      <c r="J119" s="2" t="n"/>
      <c r="K119" s="2" t="n"/>
      <c r="L119" s="13" t="n"/>
      <c r="M119" s="13" t="n">
        <v>0.0169</v>
      </c>
      <c r="N119" s="2" t="n">
        <v>1.3447</v>
      </c>
      <c r="O119" s="2" t="n">
        <v>2019</v>
      </c>
      <c r="P119" s="2" t="n">
        <v>0.9399999999999999</v>
      </c>
      <c r="Q119" s="13" t="n">
        <v>-0.301</v>
      </c>
    </row>
    <row r="120">
      <c r="A120" s="2" t="inlineStr">
        <is>
          <t>CXB.TO</t>
        </is>
      </c>
      <c r="B120" s="2" t="inlineStr">
        <is>
          <t>Calibre Mining Corp</t>
        </is>
      </c>
      <c r="C120" s="2" t="inlineStr">
        <is>
          <t>CAD</t>
        </is>
      </c>
      <c r="D120" s="2" t="n">
        <v>2018</v>
      </c>
      <c r="E120" s="2" t="inlineStr">
        <is>
          <t>2018-12-31</t>
        </is>
      </c>
      <c r="F120" s="2" t="n"/>
      <c r="G120" s="2" t="n"/>
      <c r="H120" s="2" t="n"/>
      <c r="I120" s="2" t="n">
        <v>0.365</v>
      </c>
      <c r="J120" s="2" t="n"/>
      <c r="K120" s="2" t="n"/>
      <c r="L120" s="13" t="n"/>
      <c r="M120" s="13" t="n">
        <v>0.0186</v>
      </c>
      <c r="N120" s="2" t="n">
        <v>0.3788</v>
      </c>
      <c r="O120" s="2" t="n">
        <v>2020</v>
      </c>
      <c r="P120" s="2" t="n">
        <v>2.42</v>
      </c>
      <c r="Q120" s="13" t="n">
        <v>5.388</v>
      </c>
    </row>
    <row r="121">
      <c r="A121" s="2" t="inlineStr">
        <is>
          <t>CXB.TO</t>
        </is>
      </c>
      <c r="B121" s="2" t="inlineStr">
        <is>
          <t>Calibre Mining Corp</t>
        </is>
      </c>
      <c r="C121" s="2" t="inlineStr">
        <is>
          <t>CAD</t>
        </is>
      </c>
      <c r="D121" s="2" t="n">
        <v>2019</v>
      </c>
      <c r="E121" s="2" t="inlineStr">
        <is>
          <t>2019-12-31</t>
        </is>
      </c>
      <c r="F121" s="2" t="n"/>
      <c r="G121" s="2" t="n"/>
      <c r="H121" s="2" t="n"/>
      <c r="I121" s="2" t="n">
        <v>0.9399999999999999</v>
      </c>
      <c r="J121" s="2" t="n"/>
      <c r="K121" s="2" t="n"/>
      <c r="L121" s="13" t="n"/>
      <c r="M121" s="13" t="n">
        <v>0.017</v>
      </c>
      <c r="N121" s="2" t="n">
        <v>0.9725</v>
      </c>
      <c r="O121" s="2" t="n">
        <v>2021</v>
      </c>
      <c r="P121" s="2" t="n">
        <v>1.34</v>
      </c>
      <c r="Q121" s="13" t="n">
        <v>0.3779</v>
      </c>
    </row>
    <row r="122">
      <c r="A122" s="2" t="inlineStr">
        <is>
          <t>CXB.TO</t>
        </is>
      </c>
      <c r="B122" s="2" t="inlineStr">
        <is>
          <t>Calibre Mining Corp</t>
        </is>
      </c>
      <c r="C122" s="2" t="inlineStr">
        <is>
          <t>CAD</t>
        </is>
      </c>
      <c r="D122" s="2" t="n">
        <v>2020</v>
      </c>
      <c r="E122" s="2" t="inlineStr">
        <is>
          <t>2020-12-31</t>
        </is>
      </c>
      <c r="F122" s="2" t="n"/>
      <c r="G122" s="2" t="n"/>
      <c r="H122" s="2" t="n"/>
      <c r="I122" s="2" t="n">
        <v>2.42</v>
      </c>
      <c r="J122" s="2" t="n"/>
      <c r="K122" s="2" t="n"/>
      <c r="L122" s="13" t="n"/>
      <c r="M122" s="13" t="n">
        <v>0.002</v>
      </c>
      <c r="N122" s="2" t="n">
        <v>2.4297</v>
      </c>
      <c r="O122" s="2" t="n">
        <v>2022</v>
      </c>
      <c r="P122" s="2" t="n">
        <v>0.9</v>
      </c>
      <c r="Q122" s="13" t="n">
        <v>-0.6296</v>
      </c>
    </row>
    <row r="123">
      <c r="A123" s="2" t="inlineStr">
        <is>
          <t>CXB.TO</t>
        </is>
      </c>
      <c r="B123" s="2" t="inlineStr">
        <is>
          <t>Calibre Mining Corp</t>
        </is>
      </c>
      <c r="C123" s="2" t="inlineStr">
        <is>
          <t>CAD</t>
        </is>
      </c>
      <c r="D123" s="2" t="n">
        <v>2021</v>
      </c>
      <c r="E123" s="2" t="inlineStr">
        <is>
          <t>2021-12-31</t>
        </is>
      </c>
      <c r="F123" s="2" t="n"/>
      <c r="G123" s="2" t="n"/>
      <c r="H123" s="2" t="n"/>
      <c r="I123" s="2" t="n">
        <v>1.34</v>
      </c>
      <c r="J123" s="2" t="n"/>
      <c r="K123" s="2" t="n"/>
      <c r="L123" s="13" t="n"/>
      <c r="M123" s="13" t="n">
        <v>0.0095</v>
      </c>
      <c r="N123" s="2" t="n">
        <v>1.3657</v>
      </c>
      <c r="O123" s="2" t="n">
        <v>2023</v>
      </c>
      <c r="P123" s="2" t="n">
        <v>1.36</v>
      </c>
      <c r="Q123" s="13" t="n">
        <v>-0.0042</v>
      </c>
    </row>
    <row r="124">
      <c r="A124" s="2" t="inlineStr">
        <is>
          <t>CXB.TO</t>
        </is>
      </c>
      <c r="B124" s="2" t="inlineStr">
        <is>
          <t>Calibre Mining Corp</t>
        </is>
      </c>
      <c r="C124" s="2" t="inlineStr">
        <is>
          <t>CAD</t>
        </is>
      </c>
      <c r="D124" s="2" t="n">
        <v>2022</v>
      </c>
      <c r="E124" s="2" t="inlineStr">
        <is>
          <t>2022-12-30</t>
        </is>
      </c>
      <c r="F124" s="2" t="n"/>
      <c r="G124" s="2" t="n"/>
      <c r="H124" s="2" t="n"/>
      <c r="I124" s="2" t="n">
        <v>0.9</v>
      </c>
      <c r="J124" s="2" t="n"/>
      <c r="K124" s="2" t="n"/>
      <c r="L124" s="13" t="n"/>
      <c r="M124" s="13" t="n">
        <v>0.0405</v>
      </c>
      <c r="N124" s="2" t="n">
        <v>0.9759</v>
      </c>
      <c r="O124" s="2" t="n">
        <v>2024</v>
      </c>
      <c r="P124" s="2" t="n">
        <v>2.15</v>
      </c>
      <c r="Q124" s="13" t="n">
        <v>1.203</v>
      </c>
    </row>
    <row r="125">
      <c r="A125" s="2" t="inlineStr">
        <is>
          <t>CXB.TO</t>
        </is>
      </c>
      <c r="B125" s="2" t="inlineStr">
        <is>
          <t>Calibre Mining Corp</t>
        </is>
      </c>
      <c r="C125" s="2" t="inlineStr">
        <is>
          <t>CAD</t>
        </is>
      </c>
      <c r="D125" s="2" t="n">
        <v>2023</v>
      </c>
      <c r="E125" s="2" t="inlineStr">
        <is>
          <t>2023-12-29</t>
        </is>
      </c>
      <c r="F125" s="2" t="n"/>
      <c r="G125" s="2" t="n"/>
      <c r="H125" s="2" t="n"/>
      <c r="I125" s="2" t="n">
        <v>1.36</v>
      </c>
      <c r="J125" s="2" t="n"/>
      <c r="K125" s="2" t="n"/>
      <c r="L125" s="13" t="n"/>
      <c r="M125" s="13" t="n">
        <v>0.0388</v>
      </c>
      <c r="N125" s="2" t="n">
        <v>1.4697</v>
      </c>
      <c r="O125" s="2" t="n">
        <v>2025</v>
      </c>
      <c r="P125" s="2" t="n">
        <v>2.99</v>
      </c>
      <c r="Q125" s="13" t="n">
        <v>1.0344</v>
      </c>
    </row>
    <row r="126">
      <c r="A126" s="2" t="inlineStr">
        <is>
          <t>CXB.TO</t>
        </is>
      </c>
      <c r="B126" s="2" t="inlineStr">
        <is>
          <t>Calibre Mining Corp</t>
        </is>
      </c>
      <c r="C126" s="2" t="inlineStr">
        <is>
          <t>CAD</t>
        </is>
      </c>
      <c r="D126" s="2" t="n">
        <v>2024</v>
      </c>
      <c r="E126" s="2" t="inlineStr">
        <is>
          <t>2024-12-31</t>
        </is>
      </c>
      <c r="F126" s="2" t="n"/>
      <c r="G126" s="2" t="n"/>
      <c r="H126" s="2" t="n"/>
      <c r="I126" s="2" t="n">
        <v>2.15</v>
      </c>
      <c r="J126" s="2" t="n"/>
      <c r="K126" s="2" t="n"/>
      <c r="L126" s="13" t="n"/>
      <c r="M126" s="13" t="n">
        <v>0.0293</v>
      </c>
      <c r="N126" s="2" t="n">
        <v>2.2798</v>
      </c>
      <c r="O126" s="2" t="n">
        <v>2026</v>
      </c>
      <c r="P126" s="2" t="n"/>
      <c r="Q126" s="13" t="n"/>
    </row>
    <row r="127">
      <c r="A127" s="2" t="inlineStr">
        <is>
          <t>CXB.TO</t>
        </is>
      </c>
      <c r="B127" s="2" t="inlineStr">
        <is>
          <t>Calibre Mining Corp</t>
        </is>
      </c>
      <c r="C127" s="2" t="inlineStr">
        <is>
          <t>CAD</t>
        </is>
      </c>
      <c r="D127" s="2" t="n">
        <v>2025</v>
      </c>
      <c r="E127" s="2" t="inlineStr">
        <is>
          <t>2025-06-18</t>
        </is>
      </c>
      <c r="F127" s="2" t="n"/>
      <c r="G127" s="2" t="n"/>
      <c r="H127" s="2" t="n"/>
      <c r="I127" s="2" t="n">
        <v>2.99</v>
      </c>
      <c r="J127" s="2" t="n"/>
      <c r="K127" s="2" t="n"/>
      <c r="L127" s="13" t="n"/>
      <c r="M127" s="13" t="n">
        <v>0.026</v>
      </c>
      <c r="N127" s="2" t="n">
        <v>3.1496</v>
      </c>
      <c r="O127" s="2" t="n">
        <v>2027</v>
      </c>
      <c r="P127" s="2" t="n"/>
      <c r="Q127" s="13" t="n"/>
    </row>
    <row r="128">
      <c r="A128" s="2" t="inlineStr">
        <is>
          <t>CYL.AX</t>
        </is>
      </c>
      <c r="B128" s="2" t="inlineStr">
        <is>
          <t>Catalyst Metals Ltd</t>
        </is>
      </c>
      <c r="C128" s="2" t="inlineStr">
        <is>
          <t>AUD</t>
        </is>
      </c>
      <c r="D128" s="2" t="n">
        <v>2017</v>
      </c>
      <c r="E128" s="12" t="n">
        <v>43098</v>
      </c>
      <c r="F128" s="2" t="n">
        <v>0.46</v>
      </c>
      <c r="G128" s="2" t="n">
        <v>1.4</v>
      </c>
      <c r="H128" s="2" t="n">
        <v>0.43</v>
      </c>
      <c r="I128" s="2" t="n">
        <v>1.23</v>
      </c>
      <c r="J128" s="2" t="n">
        <v>0.6381</v>
      </c>
      <c r="K128" s="2" t="n">
        <v>0</v>
      </c>
      <c r="L128" s="13" t="n">
        <v>0</v>
      </c>
      <c r="M128" s="13" t="n">
        <v>0.02</v>
      </c>
      <c r="N128" s="2" t="n">
        <v>1.2802</v>
      </c>
      <c r="O128" s="2" t="n">
        <v>2019</v>
      </c>
      <c r="P128" s="2" t="n">
        <v>2.82</v>
      </c>
      <c r="Q128" s="13" t="n">
        <v>1.2028</v>
      </c>
    </row>
    <row r="129">
      <c r="A129" s="2" t="inlineStr">
        <is>
          <t>CYL.AX</t>
        </is>
      </c>
      <c r="B129" s="2" t="inlineStr">
        <is>
          <t>Catalyst Metals Ltd</t>
        </is>
      </c>
      <c r="C129" s="2" t="inlineStr">
        <is>
          <t>AUD</t>
        </is>
      </c>
      <c r="D129" s="2" t="n">
        <v>2018</v>
      </c>
      <c r="E129" s="12" t="n">
        <v>43465</v>
      </c>
      <c r="F129" s="2" t="n">
        <v>1.2</v>
      </c>
      <c r="G129" s="2" t="n">
        <v>2</v>
      </c>
      <c r="H129" s="2" t="n">
        <v>1.09</v>
      </c>
      <c r="I129" s="2" t="n">
        <v>1.75</v>
      </c>
      <c r="J129" s="2" t="n">
        <v>1.4054</v>
      </c>
      <c r="K129" s="2" t="n">
        <v>0</v>
      </c>
      <c r="L129" s="13" t="n">
        <v>0</v>
      </c>
      <c r="M129" s="13" t="n">
        <v>0.019</v>
      </c>
      <c r="N129" s="2" t="n">
        <v>1.8178</v>
      </c>
      <c r="O129" s="2" t="n">
        <v>2020</v>
      </c>
      <c r="P129" s="2" t="n">
        <v>2.12</v>
      </c>
      <c r="Q129" s="13" t="n">
        <v>0.1663</v>
      </c>
    </row>
    <row r="130">
      <c r="A130" s="2" t="inlineStr">
        <is>
          <t>CYL.AX</t>
        </is>
      </c>
      <c r="B130" s="2" t="inlineStr">
        <is>
          <t>Catalyst Metals Ltd</t>
        </is>
      </c>
      <c r="C130" s="2" t="inlineStr">
        <is>
          <t>AUD</t>
        </is>
      </c>
      <c r="D130" s="2" t="n">
        <v>2019</v>
      </c>
      <c r="E130" s="12" t="n">
        <v>43830</v>
      </c>
      <c r="F130" s="2" t="n">
        <v>1.74</v>
      </c>
      <c r="G130" s="2" t="n">
        <v>3.3</v>
      </c>
      <c r="H130" s="2" t="n">
        <v>1.55</v>
      </c>
      <c r="I130" s="2" t="n">
        <v>2.82</v>
      </c>
      <c r="J130" s="2" t="n">
        <v>2.2188</v>
      </c>
      <c r="K130" s="2" t="n">
        <v>0</v>
      </c>
      <c r="L130" s="13" t="n">
        <v>0</v>
      </c>
      <c r="M130" s="13" t="n">
        <v>0.008999999999999999</v>
      </c>
      <c r="N130" s="2" t="n">
        <v>2.8712</v>
      </c>
      <c r="O130" s="2" t="n">
        <v>2021</v>
      </c>
      <c r="P130" s="2" t="n">
        <v>1.965</v>
      </c>
      <c r="Q130" s="13" t="n">
        <v>-0.3156</v>
      </c>
    </row>
    <row r="131">
      <c r="A131" s="2" t="inlineStr">
        <is>
          <t>CYL.AX</t>
        </is>
      </c>
      <c r="B131" s="2" t="inlineStr">
        <is>
          <t>Catalyst Metals Ltd</t>
        </is>
      </c>
      <c r="C131" s="2" t="inlineStr">
        <is>
          <t>AUD</t>
        </is>
      </c>
      <c r="D131" s="2" t="n">
        <v>2020</v>
      </c>
      <c r="E131" s="12" t="n">
        <v>44196</v>
      </c>
      <c r="F131" s="2" t="n">
        <v>2.82</v>
      </c>
      <c r="G131" s="2" t="n">
        <v>3.4</v>
      </c>
      <c r="H131" s="2" t="n">
        <v>1.735</v>
      </c>
      <c r="I131" s="2" t="n">
        <v>2.12</v>
      </c>
      <c r="J131" s="2" t="n">
        <v>2.6254</v>
      </c>
      <c r="K131" s="2" t="n">
        <v>0</v>
      </c>
      <c r="L131" s="13" t="n">
        <v>0</v>
      </c>
      <c r="M131" s="13" t="n">
        <v>0.001</v>
      </c>
      <c r="N131" s="2" t="n">
        <v>2.1242</v>
      </c>
      <c r="O131" s="2" t="n">
        <v>2022</v>
      </c>
      <c r="P131" s="2" t="n">
        <v>1.18</v>
      </c>
      <c r="Q131" s="13" t="n">
        <v>-0.4445</v>
      </c>
    </row>
    <row r="132">
      <c r="A132" s="2" t="inlineStr">
        <is>
          <t>CYL.AX</t>
        </is>
      </c>
      <c r="B132" s="2" t="inlineStr">
        <is>
          <t>Catalyst Metals Ltd</t>
        </is>
      </c>
      <c r="C132" s="2" t="inlineStr">
        <is>
          <t>AUD</t>
        </is>
      </c>
      <c r="D132" s="2" t="n">
        <v>2021</v>
      </c>
      <c r="E132" s="12" t="n">
        <v>44561</v>
      </c>
      <c r="F132" s="2" t="n">
        <v>2.11</v>
      </c>
      <c r="G132" s="2" t="n">
        <v>2.4</v>
      </c>
      <c r="H132" s="2" t="n">
        <v>1.8</v>
      </c>
      <c r="I132" s="2" t="n">
        <v>1.965</v>
      </c>
      <c r="J132" s="2" t="n">
        <v>2.0271</v>
      </c>
      <c r="K132" s="2" t="n">
        <v>0</v>
      </c>
      <c r="L132" s="13" t="n">
        <v>0</v>
      </c>
      <c r="M132" s="13" t="n">
        <v>0.006</v>
      </c>
      <c r="N132" s="2" t="n">
        <v>1.9887</v>
      </c>
      <c r="O132" s="2" t="n">
        <v>2023</v>
      </c>
      <c r="P132" s="2" t="n">
        <v>0.805</v>
      </c>
      <c r="Q132" s="13" t="n">
        <v>-0.5952</v>
      </c>
    </row>
    <row r="133">
      <c r="A133" s="2" t="inlineStr">
        <is>
          <t>CYL.AX</t>
        </is>
      </c>
      <c r="B133" s="2" t="inlineStr">
        <is>
          <t>Catalyst Metals Ltd</t>
        </is>
      </c>
      <c r="C133" s="2" t="inlineStr">
        <is>
          <t>AUD</t>
        </is>
      </c>
      <c r="D133" s="2" t="n">
        <v>2022</v>
      </c>
      <c r="E133" s="12" t="n">
        <v>44925</v>
      </c>
      <c r="F133" s="2" t="n">
        <v>1.995</v>
      </c>
      <c r="G133" s="2" t="n">
        <v>2</v>
      </c>
      <c r="H133" s="2" t="n">
        <v>1.035</v>
      </c>
      <c r="I133" s="2" t="n">
        <v>1.18</v>
      </c>
      <c r="J133" s="2" t="n">
        <v>1.5028</v>
      </c>
      <c r="K133" s="2" t="n">
        <v>0</v>
      </c>
      <c r="L133" s="13" t="n">
        <v>0</v>
      </c>
      <c r="M133" s="13" t="n">
        <v>0.035</v>
      </c>
      <c r="N133" s="2" t="n">
        <v>1.2656</v>
      </c>
      <c r="O133" s="2" t="n">
        <v>2024</v>
      </c>
      <c r="P133" s="2" t="n">
        <v>2.58</v>
      </c>
      <c r="Q133" s="13" t="n">
        <v>1.0386</v>
      </c>
    </row>
    <row r="134">
      <c r="A134" s="2" t="inlineStr">
        <is>
          <t>CYL.AX</t>
        </is>
      </c>
      <c r="B134" s="2" t="inlineStr">
        <is>
          <t>Catalyst Metals Ltd</t>
        </is>
      </c>
      <c r="C134" s="2" t="inlineStr">
        <is>
          <t>AUD</t>
        </is>
      </c>
      <c r="D134" s="2" t="n">
        <v>2023</v>
      </c>
      <c r="E134" s="12" t="n">
        <v>45289</v>
      </c>
      <c r="F134" s="2" t="n">
        <v>1.18</v>
      </c>
      <c r="G134" s="2" t="n">
        <v>1.49</v>
      </c>
      <c r="H134" s="2" t="n">
        <v>0.44</v>
      </c>
      <c r="I134" s="2" t="n">
        <v>0.805</v>
      </c>
      <c r="J134" s="2" t="n">
        <v>0.8791</v>
      </c>
      <c r="K134" s="2" t="n">
        <v>0</v>
      </c>
      <c r="L134" s="13" t="n">
        <v>0</v>
      </c>
      <c r="M134" s="13" t="n">
        <v>0.037</v>
      </c>
      <c r="N134" s="2" t="n">
        <v>0.8668</v>
      </c>
      <c r="O134" s="2" t="n">
        <v>2025</v>
      </c>
      <c r="P134" s="2" t="n">
        <v>7.36</v>
      </c>
      <c r="Q134" s="13" t="n">
        <v>7.4907</v>
      </c>
    </row>
    <row r="135">
      <c r="A135" s="2" t="inlineStr">
        <is>
          <t>CYL.AX</t>
        </is>
      </c>
      <c r="B135" s="2" t="inlineStr">
        <is>
          <t>Catalyst Metals Ltd</t>
        </is>
      </c>
      <c r="C135" s="2" t="inlineStr">
        <is>
          <t>AUD</t>
        </is>
      </c>
      <c r="D135" s="2" t="n">
        <v>2024</v>
      </c>
      <c r="E135" s="12" t="n">
        <v>45657</v>
      </c>
      <c r="F135" s="2" t="n">
        <v>0.805</v>
      </c>
      <c r="G135" s="2" t="n">
        <v>3.61</v>
      </c>
      <c r="H135" s="2" t="n">
        <v>0.46</v>
      </c>
      <c r="I135" s="2" t="n">
        <v>2.58</v>
      </c>
      <c r="J135" s="2" t="n">
        <v>1.6419</v>
      </c>
      <c r="K135" s="2" t="n">
        <v>0</v>
      </c>
      <c r="L135" s="13" t="n">
        <v>0</v>
      </c>
      <c r="M135" s="13" t="n">
        <v>0.0385</v>
      </c>
      <c r="N135" s="2" t="n">
        <v>2.7865</v>
      </c>
      <c r="O135" s="2" t="n">
        <v>2026</v>
      </c>
      <c r="P135" s="2" t="n">
        <v>5.89</v>
      </c>
      <c r="Q135" s="13" t="n">
        <v>1.1138</v>
      </c>
    </row>
    <row r="136">
      <c r="A136" s="2" t="inlineStr">
        <is>
          <t>CYL.AX</t>
        </is>
      </c>
      <c r="B136" s="2" t="inlineStr">
        <is>
          <t>Catalyst Metals Ltd</t>
        </is>
      </c>
      <c r="C136" s="2" t="inlineStr">
        <is>
          <t>AUD</t>
        </is>
      </c>
      <c r="D136" s="2" t="n">
        <v>2025</v>
      </c>
      <c r="E136" s="12" t="n">
        <v>46022</v>
      </c>
      <c r="F136" s="2" t="n">
        <v>2.57</v>
      </c>
      <c r="G136" s="2" t="n">
        <v>8.880000000000001</v>
      </c>
      <c r="H136" s="2" t="n">
        <v>2.57</v>
      </c>
      <c r="I136" s="2" t="n">
        <v>7.36</v>
      </c>
      <c r="J136" s="2" t="n">
        <v>5.978</v>
      </c>
      <c r="K136" s="2" t="n">
        <v>0</v>
      </c>
      <c r="L136" s="13" t="n">
        <v>0</v>
      </c>
      <c r="M136" s="13" t="n">
        <v>0.039</v>
      </c>
      <c r="N136" s="2" t="n">
        <v>7.9571</v>
      </c>
      <c r="O136" s="2" t="n">
        <v>2027</v>
      </c>
      <c r="P136" s="2" t="n"/>
      <c r="Q136" s="13" t="n"/>
    </row>
    <row r="137">
      <c r="A137" s="2" t="inlineStr">
        <is>
          <t>CYL.AX</t>
        </is>
      </c>
      <c r="B137" s="2" t="inlineStr">
        <is>
          <t>Catalyst Metals Ltd</t>
        </is>
      </c>
      <c r="C137" s="2" t="inlineStr">
        <is>
          <t>AUD</t>
        </is>
      </c>
      <c r="D137" s="2" t="n">
        <v>2026</v>
      </c>
      <c r="E137" s="12" t="n">
        <v>46290</v>
      </c>
      <c r="F137" s="2" t="n">
        <v>7.38</v>
      </c>
      <c r="G137" s="2" t="n">
        <v>9.800000000000001</v>
      </c>
      <c r="H137" s="2" t="n">
        <v>4.48</v>
      </c>
      <c r="I137" s="2" t="n">
        <v>5.89</v>
      </c>
      <c r="J137" s="2" t="n">
        <v>6.5226</v>
      </c>
      <c r="K137" s="2" t="n">
        <v>0</v>
      </c>
      <c r="L137" s="13" t="n">
        <v>0</v>
      </c>
      <c r="M137" s="13" t="n">
        <v>0.039</v>
      </c>
      <c r="N137" s="2" t="n">
        <v>6.3678</v>
      </c>
      <c r="O137" s="2" t="n">
        <v>2028</v>
      </c>
      <c r="P137" s="2" t="n"/>
      <c r="Q137" s="13" t="n"/>
    </row>
    <row r="138">
      <c r="A138" s="2" t="inlineStr">
        <is>
          <t>ELD.TO</t>
        </is>
      </c>
      <c r="B138" s="2" t="inlineStr">
        <is>
          <t>Eldorado Gold Corp</t>
        </is>
      </c>
      <c r="C138" s="2" t="inlineStr">
        <is>
          <t>CAD</t>
        </is>
      </c>
      <c r="D138" s="2" t="n">
        <v>2017</v>
      </c>
      <c r="E138" s="12" t="n">
        <v>43098</v>
      </c>
      <c r="F138" s="2" t="n">
        <v>22</v>
      </c>
      <c r="G138" s="2" t="n">
        <v>25.65</v>
      </c>
      <c r="H138" s="2" t="n">
        <v>6.95</v>
      </c>
      <c r="I138" s="2" t="n">
        <v>9.1</v>
      </c>
      <c r="J138" s="2" t="n">
        <v>16.8052</v>
      </c>
      <c r="K138" s="2" t="n">
        <v>0.1</v>
      </c>
      <c r="L138" s="13" t="n">
        <v>0.011</v>
      </c>
      <c r="M138" s="13" t="n">
        <v>0.0169</v>
      </c>
      <c r="N138" s="2" t="n">
        <v>9.2082</v>
      </c>
      <c r="O138" s="2" t="n">
        <v>2019</v>
      </c>
      <c r="P138" s="2" t="n">
        <v>10.43</v>
      </c>
      <c r="Q138" s="13" t="n">
        <v>0.1327</v>
      </c>
    </row>
    <row r="139">
      <c r="A139" s="2" t="inlineStr">
        <is>
          <t>ELD.TO</t>
        </is>
      </c>
      <c r="B139" s="2" t="inlineStr">
        <is>
          <t>Eldorado Gold Corp</t>
        </is>
      </c>
      <c r="C139" s="2" t="inlineStr">
        <is>
          <t>CAD</t>
        </is>
      </c>
      <c r="D139" s="2" t="n">
        <v>2018</v>
      </c>
      <c r="E139" s="12" t="n">
        <v>43465</v>
      </c>
      <c r="F139" s="2" t="n">
        <v>9.199999999999999</v>
      </c>
      <c r="G139" s="2" t="n">
        <v>9.199999999999999</v>
      </c>
      <c r="H139" s="2" t="n">
        <v>3.56</v>
      </c>
      <c r="I139" s="2" t="n">
        <v>4</v>
      </c>
      <c r="J139" s="2" t="n">
        <v>6.2827</v>
      </c>
      <c r="K139" s="2" t="n">
        <v>0</v>
      </c>
      <c r="L139" s="13" t="n">
        <v>0</v>
      </c>
      <c r="M139" s="13" t="n">
        <v>0.0186</v>
      </c>
      <c r="N139" s="2" t="n">
        <v>4.1516</v>
      </c>
      <c r="O139" s="2" t="n">
        <v>2020</v>
      </c>
      <c r="P139" s="2" t="n">
        <v>16.87</v>
      </c>
      <c r="Q139" s="13" t="n">
        <v>3.0635</v>
      </c>
    </row>
    <row r="140">
      <c r="A140" s="2" t="inlineStr">
        <is>
          <t>ELD.TO</t>
        </is>
      </c>
      <c r="B140" s="2" t="inlineStr">
        <is>
          <t>Eldorado Gold Corp</t>
        </is>
      </c>
      <c r="C140" s="2" t="inlineStr">
        <is>
          <t>CAD</t>
        </is>
      </c>
      <c r="D140" s="2" t="n">
        <v>2019</v>
      </c>
      <c r="E140" s="12" t="n">
        <v>43830</v>
      </c>
      <c r="F140" s="2" t="n">
        <v>3.89</v>
      </c>
      <c r="G140" s="2" t="n">
        <v>13.34</v>
      </c>
      <c r="H140" s="2" t="n">
        <v>3.36</v>
      </c>
      <c r="I140" s="2" t="n">
        <v>10.43</v>
      </c>
      <c r="J140" s="2" t="n">
        <v>7.95</v>
      </c>
      <c r="K140" s="2" t="n">
        <v>0</v>
      </c>
      <c r="L140" s="13" t="n">
        <v>0</v>
      </c>
      <c r="M140" s="13" t="n">
        <v>0.017</v>
      </c>
      <c r="N140" s="2" t="n">
        <v>10.7907</v>
      </c>
      <c r="O140" s="2" t="n">
        <v>2021</v>
      </c>
      <c r="P140" s="2" t="n">
        <v>11.86</v>
      </c>
      <c r="Q140" s="13" t="n">
        <v>0.09909999999999999</v>
      </c>
    </row>
    <row r="141">
      <c r="A141" s="2" t="inlineStr">
        <is>
          <t>ELD.TO</t>
        </is>
      </c>
      <c r="B141" s="2" t="inlineStr">
        <is>
          <t>Eldorado Gold Corp</t>
        </is>
      </c>
      <c r="C141" s="2" t="inlineStr">
        <is>
          <t>CAD</t>
        </is>
      </c>
      <c r="D141" s="2" t="n">
        <v>2020</v>
      </c>
      <c r="E141" s="12" t="n">
        <v>44196</v>
      </c>
      <c r="F141" s="2" t="n">
        <v>10.61</v>
      </c>
      <c r="G141" s="2" t="n">
        <v>18.9</v>
      </c>
      <c r="H141" s="2" t="n">
        <v>6.29</v>
      </c>
      <c r="I141" s="2" t="n">
        <v>16.87</v>
      </c>
      <c r="J141" s="2" t="n">
        <v>13.4342</v>
      </c>
      <c r="K141" s="2" t="n">
        <v>0</v>
      </c>
      <c r="L141" s="13" t="n">
        <v>0</v>
      </c>
      <c r="M141" s="13" t="n">
        <v>0.002</v>
      </c>
      <c r="N141" s="2" t="n">
        <v>16.9376</v>
      </c>
      <c r="O141" s="2" t="n">
        <v>2022</v>
      </c>
      <c r="P141" s="2" t="n">
        <v>11.29</v>
      </c>
      <c r="Q141" s="13" t="n">
        <v>-0.3334</v>
      </c>
    </row>
    <row r="142">
      <c r="A142" s="2" t="inlineStr">
        <is>
          <t>ELD.TO</t>
        </is>
      </c>
      <c r="B142" s="2" t="inlineStr">
        <is>
          <t>Eldorado Gold Corp</t>
        </is>
      </c>
      <c r="C142" s="2" t="inlineStr">
        <is>
          <t>CAD</t>
        </is>
      </c>
      <c r="D142" s="2" t="n">
        <v>2021</v>
      </c>
      <c r="E142" s="12" t="n">
        <v>44561</v>
      </c>
      <c r="F142" s="2" t="n">
        <v>17.59</v>
      </c>
      <c r="G142" s="2" t="n">
        <v>18.43</v>
      </c>
      <c r="H142" s="2" t="n">
        <v>9.52</v>
      </c>
      <c r="I142" s="2" t="n">
        <v>11.86</v>
      </c>
      <c r="J142" s="2" t="n">
        <v>12.8421</v>
      </c>
      <c r="K142" s="2" t="n">
        <v>0</v>
      </c>
      <c r="L142" s="13" t="n">
        <v>0</v>
      </c>
      <c r="M142" s="13" t="n">
        <v>0.0095</v>
      </c>
      <c r="N142" s="2" t="n">
        <v>12.0875</v>
      </c>
      <c r="O142" s="2" t="n">
        <v>2023</v>
      </c>
      <c r="P142" s="2" t="n">
        <v>17.2</v>
      </c>
      <c r="Q142" s="13" t="n">
        <v>0.423</v>
      </c>
    </row>
    <row r="143">
      <c r="A143" s="2" t="inlineStr">
        <is>
          <t>ELD.TO</t>
        </is>
      </c>
      <c r="B143" s="2" t="inlineStr">
        <is>
          <t>Eldorado Gold Corp</t>
        </is>
      </c>
      <c r="C143" s="2" t="inlineStr">
        <is>
          <t>CAD</t>
        </is>
      </c>
      <c r="D143" s="2" t="n">
        <v>2022</v>
      </c>
      <c r="E143" s="12" t="n">
        <v>44925</v>
      </c>
      <c r="F143" s="2" t="n">
        <v>11.65</v>
      </c>
      <c r="G143" s="2" t="n">
        <v>15.73</v>
      </c>
      <c r="H143" s="2" t="n">
        <v>6.87</v>
      </c>
      <c r="I143" s="2" t="n">
        <v>11.29</v>
      </c>
      <c r="J143" s="2" t="n">
        <v>10.4391</v>
      </c>
      <c r="K143" s="2" t="n">
        <v>0</v>
      </c>
      <c r="L143" s="13" t="n">
        <v>0</v>
      </c>
      <c r="M143" s="13" t="n">
        <v>0.0405</v>
      </c>
      <c r="N143" s="2" t="n">
        <v>12.2425</v>
      </c>
      <c r="O143" s="2" t="n">
        <v>2024</v>
      </c>
      <c r="P143" s="2" t="n">
        <v>21.38</v>
      </c>
      <c r="Q143" s="13" t="n">
        <v>0.7464</v>
      </c>
    </row>
    <row r="144">
      <c r="A144" s="2" t="inlineStr">
        <is>
          <t>ELD.TO</t>
        </is>
      </c>
      <c r="B144" s="2" t="inlineStr">
        <is>
          <t>Eldorado Gold Corp</t>
        </is>
      </c>
      <c r="C144" s="2" t="inlineStr">
        <is>
          <t>CAD</t>
        </is>
      </c>
      <c r="D144" s="2" t="n">
        <v>2023</v>
      </c>
      <c r="E144" s="12" t="n">
        <v>45289</v>
      </c>
      <c r="F144" s="2" t="n">
        <v>11.58</v>
      </c>
      <c r="G144" s="2" t="n">
        <v>18.3</v>
      </c>
      <c r="H144" s="2" t="n">
        <v>11.19</v>
      </c>
      <c r="I144" s="2" t="n">
        <v>17.2</v>
      </c>
      <c r="J144" s="2" t="n">
        <v>13.7934</v>
      </c>
      <c r="K144" s="2" t="n">
        <v>0</v>
      </c>
      <c r="L144" s="13" t="n">
        <v>0</v>
      </c>
      <c r="M144" s="13" t="n">
        <v>0.0388</v>
      </c>
      <c r="N144" s="2" t="n">
        <v>18.5879</v>
      </c>
      <c r="O144" s="2" t="n">
        <v>2025</v>
      </c>
      <c r="P144" s="2" t="n">
        <v>49.33</v>
      </c>
      <c r="Q144" s="13" t="n">
        <v>1.6539</v>
      </c>
    </row>
    <row r="145">
      <c r="A145" s="2" t="inlineStr">
        <is>
          <t>ELD.TO</t>
        </is>
      </c>
      <c r="B145" s="2" t="inlineStr">
        <is>
          <t>Eldorado Gold Corp</t>
        </is>
      </c>
      <c r="C145" s="2" t="inlineStr">
        <is>
          <t>CAD</t>
        </is>
      </c>
      <c r="D145" s="2" t="n">
        <v>2024</v>
      </c>
      <c r="E145" s="12" t="n">
        <v>45657</v>
      </c>
      <c r="F145" s="2" t="n">
        <v>17.21</v>
      </c>
      <c r="G145" s="2" t="n">
        <v>26.32</v>
      </c>
      <c r="H145" s="2" t="n">
        <v>13.1</v>
      </c>
      <c r="I145" s="2" t="n">
        <v>21.38</v>
      </c>
      <c r="J145" s="2" t="n">
        <v>20.8121</v>
      </c>
      <c r="K145" s="2" t="n">
        <v>0</v>
      </c>
      <c r="L145" s="13" t="n">
        <v>0</v>
      </c>
      <c r="M145" s="13" t="n">
        <v>0.0293</v>
      </c>
      <c r="N145" s="2" t="n">
        <v>22.6703</v>
      </c>
      <c r="O145" s="2" t="n">
        <v>2026</v>
      </c>
      <c r="P145" s="2" t="n">
        <v>59.34</v>
      </c>
      <c r="Q145" s="13" t="n">
        <v>1.6175</v>
      </c>
    </row>
    <row r="146">
      <c r="A146" s="2" t="inlineStr">
        <is>
          <t>ELD.TO</t>
        </is>
      </c>
      <c r="B146" s="2" t="inlineStr">
        <is>
          <t>Eldorado Gold Corp</t>
        </is>
      </c>
      <c r="C146" s="2" t="inlineStr">
        <is>
          <t>CAD</t>
        </is>
      </c>
      <c r="D146" s="2" t="n">
        <v>2025</v>
      </c>
      <c r="E146" s="12" t="n">
        <v>46022</v>
      </c>
      <c r="F146" s="2" t="n">
        <v>21.88</v>
      </c>
      <c r="G146" s="2" t="n">
        <v>51.53</v>
      </c>
      <c r="H146" s="2" t="n">
        <v>18.94</v>
      </c>
      <c r="I146" s="2" t="n">
        <v>49.33</v>
      </c>
      <c r="J146" s="2" t="n">
        <v>30.7025</v>
      </c>
      <c r="K146" s="2" t="n">
        <v>0</v>
      </c>
      <c r="L146" s="13" t="n">
        <v>0</v>
      </c>
      <c r="M146" s="13" t="n">
        <v>0.026</v>
      </c>
      <c r="N146" s="2" t="n">
        <v>51.963</v>
      </c>
      <c r="O146" s="2" t="n">
        <v>2027</v>
      </c>
      <c r="P146" s="2" t="n"/>
      <c r="Q146" s="13" t="n"/>
    </row>
    <row r="147">
      <c r="A147" s="2" t="inlineStr">
        <is>
          <t>ELD.TO</t>
        </is>
      </c>
      <c r="B147" s="2" t="inlineStr">
        <is>
          <t>Eldorado Gold Corp</t>
        </is>
      </c>
      <c r="C147" s="2" t="inlineStr">
        <is>
          <t>CAD</t>
        </is>
      </c>
      <c r="D147" s="2" t="n">
        <v>2026</v>
      </c>
      <c r="E147" s="12" t="n">
        <v>46290</v>
      </c>
      <c r="F147" s="2" t="n">
        <v>50.15</v>
      </c>
      <c r="G147" s="2" t="n">
        <v>69.45999999999999</v>
      </c>
      <c r="H147" s="2" t="n">
        <v>38.08</v>
      </c>
      <c r="I147" s="2" t="n">
        <v>59.34</v>
      </c>
      <c r="J147" s="2" t="n">
        <v>51.2724</v>
      </c>
      <c r="K147" s="2" t="n">
        <v>0.311</v>
      </c>
      <c r="L147" s="13" t="n">
        <v>0.0052</v>
      </c>
      <c r="M147" s="13" t="n">
        <v>0.026</v>
      </c>
      <c r="N147" s="2" t="n">
        <v>61.8555</v>
      </c>
      <c r="O147" s="2" t="n">
        <v>2028</v>
      </c>
      <c r="P147" s="2" t="n"/>
      <c r="Q147" s="13" t="n"/>
    </row>
    <row r="148">
      <c r="A148" s="2" t="inlineStr">
        <is>
          <t>EQX.TO</t>
        </is>
      </c>
      <c r="B148" s="2" t="inlineStr">
        <is>
          <t>Equinox Gold Corp</t>
        </is>
      </c>
      <c r="C148" s="2" t="inlineStr">
        <is>
          <t>CAD</t>
        </is>
      </c>
      <c r="D148" s="2" t="n">
        <v>2017</v>
      </c>
      <c r="E148" s="12" t="n">
        <v>43098</v>
      </c>
      <c r="F148" s="2" t="n">
        <v>1.8</v>
      </c>
      <c r="G148" s="2" t="n">
        <v>2.02</v>
      </c>
      <c r="H148" s="2" t="n">
        <v>0.88</v>
      </c>
      <c r="I148" s="2" t="n">
        <v>1.12</v>
      </c>
      <c r="J148" s="2" t="n">
        <v>1.2751</v>
      </c>
      <c r="K148" s="2" t="n">
        <v>0</v>
      </c>
      <c r="L148" s="13" t="n">
        <v>0</v>
      </c>
      <c r="M148" s="13" t="n">
        <v>0.0169</v>
      </c>
      <c r="N148" s="2" t="n">
        <v>1.1585</v>
      </c>
      <c r="O148" s="2" t="n">
        <v>2019</v>
      </c>
      <c r="P148" s="2" t="n">
        <v>9.99</v>
      </c>
      <c r="Q148" s="13" t="n">
        <v>0.7246</v>
      </c>
    </row>
    <row r="149">
      <c r="A149" s="2" t="inlineStr">
        <is>
          <t>EQX.TO</t>
        </is>
      </c>
      <c r="B149" s="2" t="inlineStr">
        <is>
          <t>Equinox Gold Corp</t>
        </is>
      </c>
      <c r="C149" s="2" t="inlineStr">
        <is>
          <t>CAD</t>
        </is>
      </c>
      <c r="D149" s="2" t="n">
        <v>2018</v>
      </c>
      <c r="E149" s="12" t="n">
        <v>43465</v>
      </c>
      <c r="F149" s="2" t="n">
        <v>1.14</v>
      </c>
      <c r="G149" s="2" t="n">
        <v>1.39</v>
      </c>
      <c r="H149" s="2" t="n">
        <v>0.85</v>
      </c>
      <c r="I149" s="2" t="n">
        <v>1.02</v>
      </c>
      <c r="J149" s="2" t="n">
        <v>1.0623</v>
      </c>
      <c r="K149" s="2" t="n">
        <v>0</v>
      </c>
      <c r="L149" s="13" t="n">
        <v>0</v>
      </c>
      <c r="M149" s="13" t="n">
        <v>0.0186</v>
      </c>
      <c r="N149" s="2" t="n">
        <v>1.0587</v>
      </c>
      <c r="O149" s="2" t="n">
        <v>2020</v>
      </c>
      <c r="P149" s="2" t="n">
        <v>13.17</v>
      </c>
      <c r="Q149" s="13" t="n">
        <v>1.4881</v>
      </c>
    </row>
    <row r="150">
      <c r="A150" s="2" t="inlineStr">
        <is>
          <t>EQX.TO</t>
        </is>
      </c>
      <c r="B150" s="2" t="inlineStr">
        <is>
          <t>Equinox Gold Corp</t>
        </is>
      </c>
      <c r="C150" s="2" t="inlineStr">
        <is>
          <t>CAD</t>
        </is>
      </c>
      <c r="D150" s="2" t="n">
        <v>2019</v>
      </c>
      <c r="E150" s="12" t="n">
        <v>43830</v>
      </c>
      <c r="F150" s="2" t="n">
        <v>1.03</v>
      </c>
      <c r="G150" s="2" t="n">
        <v>10.3</v>
      </c>
      <c r="H150" s="2" t="n">
        <v>0.98</v>
      </c>
      <c r="I150" s="2" t="n">
        <v>9.99</v>
      </c>
      <c r="J150" s="2" t="n">
        <v>3.7071</v>
      </c>
      <c r="K150" s="2" t="n">
        <v>0</v>
      </c>
      <c r="L150" s="13" t="n">
        <v>0</v>
      </c>
      <c r="M150" s="13" t="n">
        <v>0.017</v>
      </c>
      <c r="N150" s="2" t="n">
        <v>10.3355</v>
      </c>
      <c r="O150" s="2" t="n">
        <v>2021</v>
      </c>
      <c r="P150" s="2" t="n">
        <v>8.56</v>
      </c>
      <c r="Q150" s="13" t="n">
        <v>-0.1718</v>
      </c>
    </row>
    <row r="151">
      <c r="A151" s="2" t="inlineStr">
        <is>
          <t>EQX.TO</t>
        </is>
      </c>
      <c r="B151" s="2" t="inlineStr">
        <is>
          <t>Equinox Gold Corp</t>
        </is>
      </c>
      <c r="C151" s="2" t="inlineStr">
        <is>
          <t>CAD</t>
        </is>
      </c>
      <c r="D151" s="2" t="n">
        <v>2020</v>
      </c>
      <c r="E151" s="12" t="n">
        <v>44196</v>
      </c>
      <c r="F151" s="2" t="n">
        <v>10.3</v>
      </c>
      <c r="G151" s="2" t="n">
        <v>17.99</v>
      </c>
      <c r="H151" s="2" t="n">
        <v>6.6</v>
      </c>
      <c r="I151" s="2" t="n">
        <v>13.17</v>
      </c>
      <c r="J151" s="2" t="n">
        <v>13.2954</v>
      </c>
      <c r="K151" s="2" t="n">
        <v>0</v>
      </c>
      <c r="L151" s="13" t="n">
        <v>0</v>
      </c>
      <c r="M151" s="13" t="n">
        <v>0.002</v>
      </c>
      <c r="N151" s="2" t="n">
        <v>13.2228</v>
      </c>
      <c r="O151" s="2" t="n">
        <v>2022</v>
      </c>
      <c r="P151" s="2" t="n">
        <v>4.43</v>
      </c>
      <c r="Q151" s="13" t="n">
        <v>-0.665</v>
      </c>
    </row>
    <row r="152">
      <c r="A152" s="2" t="inlineStr">
        <is>
          <t>EQX.TO</t>
        </is>
      </c>
      <c r="B152" s="2" t="inlineStr">
        <is>
          <t>Equinox Gold Corp</t>
        </is>
      </c>
      <c r="C152" s="2" t="inlineStr">
        <is>
          <t>CAD</t>
        </is>
      </c>
      <c r="D152" s="2" t="n">
        <v>2021</v>
      </c>
      <c r="E152" s="12" t="n">
        <v>44561</v>
      </c>
      <c r="F152" s="2" t="n">
        <v>13.63</v>
      </c>
      <c r="G152" s="2" t="n">
        <v>14.33</v>
      </c>
      <c r="H152" s="2" t="n">
        <v>7.53</v>
      </c>
      <c r="I152" s="2" t="n">
        <v>8.56</v>
      </c>
      <c r="J152" s="2" t="n">
        <v>9.9682</v>
      </c>
      <c r="K152" s="2" t="n">
        <v>0</v>
      </c>
      <c r="L152" s="13" t="n">
        <v>0</v>
      </c>
      <c r="M152" s="13" t="n">
        <v>0.0095</v>
      </c>
      <c r="N152" s="2" t="n">
        <v>8.7242</v>
      </c>
      <c r="O152" s="2" t="n">
        <v>2023</v>
      </c>
      <c r="P152" s="2" t="n">
        <v>6.44</v>
      </c>
      <c r="Q152" s="13" t="n">
        <v>-0.2618</v>
      </c>
    </row>
    <row r="153">
      <c r="A153" s="2" t="inlineStr">
        <is>
          <t>EQX.TO</t>
        </is>
      </c>
      <c r="B153" s="2" t="inlineStr">
        <is>
          <t>Equinox Gold Corp</t>
        </is>
      </c>
      <c r="C153" s="2" t="inlineStr">
        <is>
          <t>CAD</t>
        </is>
      </c>
      <c r="D153" s="2" t="n">
        <v>2022</v>
      </c>
      <c r="E153" s="12" t="n">
        <v>44925</v>
      </c>
      <c r="F153" s="2" t="n">
        <v>8.6</v>
      </c>
      <c r="G153" s="2" t="n">
        <v>11.46</v>
      </c>
      <c r="H153" s="2" t="n">
        <v>3.23</v>
      </c>
      <c r="I153" s="2" t="n">
        <v>4.43</v>
      </c>
      <c r="J153" s="2" t="n">
        <v>6.7189</v>
      </c>
      <c r="K153" s="2" t="n">
        <v>0</v>
      </c>
      <c r="L153" s="13" t="n">
        <v>0</v>
      </c>
      <c r="M153" s="13" t="n">
        <v>0.0405</v>
      </c>
      <c r="N153" s="2" t="n">
        <v>4.8038</v>
      </c>
      <c r="O153" s="2" t="n">
        <v>2024</v>
      </c>
      <c r="P153" s="2" t="n">
        <v>7.24</v>
      </c>
      <c r="Q153" s="13" t="n">
        <v>0.5072</v>
      </c>
    </row>
    <row r="154">
      <c r="A154" s="2" t="inlineStr">
        <is>
          <t>EQX.TO</t>
        </is>
      </c>
      <c r="B154" s="2" t="inlineStr">
        <is>
          <t>Equinox Gold Corp</t>
        </is>
      </c>
      <c r="C154" s="2" t="inlineStr">
        <is>
          <t>CAD</t>
        </is>
      </c>
      <c r="D154" s="2" t="n">
        <v>2023</v>
      </c>
      <c r="E154" s="12" t="n">
        <v>45289</v>
      </c>
      <c r="F154" s="2" t="n">
        <v>4.61</v>
      </c>
      <c r="G154" s="2" t="n">
        <v>7.89</v>
      </c>
      <c r="H154" s="2" t="n">
        <v>4.54</v>
      </c>
      <c r="I154" s="2" t="n">
        <v>6.44</v>
      </c>
      <c r="J154" s="2" t="n">
        <v>6.3187</v>
      </c>
      <c r="K154" s="2" t="n">
        <v>0</v>
      </c>
      <c r="L154" s="13" t="n">
        <v>0</v>
      </c>
      <c r="M154" s="13" t="n">
        <v>0.0388</v>
      </c>
      <c r="N154" s="2" t="n">
        <v>6.9596</v>
      </c>
      <c r="O154" s="2" t="n">
        <v>2025</v>
      </c>
      <c r="P154" s="2" t="n">
        <v>19.29</v>
      </c>
      <c r="Q154" s="13" t="n">
        <v>1.7717</v>
      </c>
    </row>
    <row r="155">
      <c r="A155" s="2" t="inlineStr">
        <is>
          <t>EQX.TO</t>
        </is>
      </c>
      <c r="B155" s="2" t="inlineStr">
        <is>
          <t>Equinox Gold Corp</t>
        </is>
      </c>
      <c r="C155" s="2" t="inlineStr">
        <is>
          <t>CAD</t>
        </is>
      </c>
      <c r="D155" s="2" t="n">
        <v>2024</v>
      </c>
      <c r="E155" s="12" t="n">
        <v>45657</v>
      </c>
      <c r="F155" s="2" t="n">
        <v>6.52</v>
      </c>
      <c r="G155" s="2" t="n">
        <v>9.164999999999999</v>
      </c>
      <c r="H155" s="2" t="n">
        <v>5.36</v>
      </c>
      <c r="I155" s="2" t="n">
        <v>7.24</v>
      </c>
      <c r="J155" s="2" t="n">
        <v>7.3562</v>
      </c>
      <c r="K155" s="2" t="n">
        <v>0</v>
      </c>
      <c r="L155" s="13" t="n">
        <v>0</v>
      </c>
      <c r="M155" s="13" t="n">
        <v>0.0293</v>
      </c>
      <c r="N155" s="2" t="n">
        <v>7.6769</v>
      </c>
      <c r="O155" s="2" t="n">
        <v>2026</v>
      </c>
      <c r="P155" s="2" t="n">
        <v>16.87</v>
      </c>
      <c r="Q155" s="13" t="n">
        <v>1.1975</v>
      </c>
    </row>
    <row r="156">
      <c r="A156" s="2" t="inlineStr">
        <is>
          <t>EQX.TO</t>
        </is>
      </c>
      <c r="B156" s="2" t="inlineStr">
        <is>
          <t>Equinox Gold Corp</t>
        </is>
      </c>
      <c r="C156" s="2" t="inlineStr">
        <is>
          <t>CAD</t>
        </is>
      </c>
      <c r="D156" s="2" t="n">
        <v>2025</v>
      </c>
      <c r="E156" s="12" t="n">
        <v>46022</v>
      </c>
      <c r="F156" s="2" t="n">
        <v>7.37</v>
      </c>
      <c r="G156" s="2" t="n">
        <v>20.78</v>
      </c>
      <c r="H156" s="2" t="n">
        <v>7.285</v>
      </c>
      <c r="I156" s="2" t="n">
        <v>19.29</v>
      </c>
      <c r="J156" s="2" t="n">
        <v>11.6978</v>
      </c>
      <c r="K156" s="2" t="n">
        <v>0</v>
      </c>
      <c r="L156" s="13" t="n">
        <v>0</v>
      </c>
      <c r="M156" s="13" t="n">
        <v>0.026</v>
      </c>
      <c r="N156" s="2" t="n">
        <v>20.3196</v>
      </c>
      <c r="O156" s="2" t="n">
        <v>2027</v>
      </c>
      <c r="P156" s="2" t="n"/>
      <c r="Q156" s="13" t="n"/>
    </row>
    <row r="157">
      <c r="A157" s="2" t="inlineStr">
        <is>
          <t>EQX.TO</t>
        </is>
      </c>
      <c r="B157" s="2" t="inlineStr">
        <is>
          <t>Equinox Gold Corp</t>
        </is>
      </c>
      <c r="C157" s="2" t="inlineStr">
        <is>
          <t>CAD</t>
        </is>
      </c>
      <c r="D157" s="2" t="n">
        <v>2026</v>
      </c>
      <c r="E157" s="12" t="n">
        <v>46290</v>
      </c>
      <c r="F157" s="2" t="n">
        <v>19.71</v>
      </c>
      <c r="G157" s="2" t="n">
        <v>25.87</v>
      </c>
      <c r="H157" s="2" t="n">
        <v>11.91</v>
      </c>
      <c r="I157" s="2" t="n">
        <v>16.87</v>
      </c>
      <c r="J157" s="2" t="n">
        <v>18.1477</v>
      </c>
      <c r="K157" s="2" t="n">
        <v>0.07199999999999999</v>
      </c>
      <c r="L157" s="13" t="n">
        <v>0.0043</v>
      </c>
      <c r="M157" s="13" t="n">
        <v>0.026</v>
      </c>
      <c r="N157" s="2" t="n">
        <v>17.6194</v>
      </c>
      <c r="O157" s="2" t="n">
        <v>2028</v>
      </c>
      <c r="P157" s="2" t="n"/>
      <c r="Q157" s="13" t="n"/>
    </row>
    <row r="158">
      <c r="A158" s="2" t="inlineStr">
        <is>
          <t>FVI.TO</t>
        </is>
      </c>
      <c r="B158" s="2" t="inlineStr">
        <is>
          <t>Fortuna Mining Corp</t>
        </is>
      </c>
      <c r="C158" s="2" t="inlineStr">
        <is>
          <t>CAD</t>
        </is>
      </c>
      <c r="D158" s="2" t="n">
        <v>2017</v>
      </c>
      <c r="E158" s="12" t="n">
        <v>43098</v>
      </c>
      <c r="F158" s="2" t="n">
        <v>7.7</v>
      </c>
      <c r="G158" s="2" t="n">
        <v>9.18</v>
      </c>
      <c r="H158" s="2" t="n">
        <v>5.13</v>
      </c>
      <c r="I158" s="2" t="n">
        <v>6.56</v>
      </c>
      <c r="J158" s="2" t="n">
        <v>6.469</v>
      </c>
      <c r="K158" s="2" t="n">
        <v>0</v>
      </c>
      <c r="L158" s="13" t="n">
        <v>0</v>
      </c>
      <c r="M158" s="13" t="n">
        <v>0.0169</v>
      </c>
      <c r="N158" s="2" t="n">
        <v>6.7855</v>
      </c>
      <c r="O158" s="2" t="n">
        <v>2019</v>
      </c>
      <c r="P158" s="2" t="n">
        <v>5.29</v>
      </c>
      <c r="Q158" s="13" t="n">
        <v>-0.2204</v>
      </c>
    </row>
    <row r="159">
      <c r="A159" s="2" t="inlineStr">
        <is>
          <t>FVI.TO</t>
        </is>
      </c>
      <c r="B159" s="2" t="inlineStr">
        <is>
          <t>Fortuna Mining Corp</t>
        </is>
      </c>
      <c r="C159" s="2" t="inlineStr">
        <is>
          <t>CAD</t>
        </is>
      </c>
      <c r="D159" s="2" t="n">
        <v>2018</v>
      </c>
      <c r="E159" s="12" t="n">
        <v>43465</v>
      </c>
      <c r="F159" s="2" t="n">
        <v>6.68</v>
      </c>
      <c r="G159" s="2" t="n">
        <v>7.78</v>
      </c>
      <c r="H159" s="2" t="n">
        <v>4.22</v>
      </c>
      <c r="I159" s="2" t="n">
        <v>5</v>
      </c>
      <c r="J159" s="2" t="n">
        <v>6.146</v>
      </c>
      <c r="K159" s="2" t="n">
        <v>0</v>
      </c>
      <c r="L159" s="13" t="n">
        <v>0</v>
      </c>
      <c r="M159" s="13" t="n">
        <v>0.0186</v>
      </c>
      <c r="N159" s="2" t="n">
        <v>5.1895</v>
      </c>
      <c r="O159" s="2" t="n">
        <v>2020</v>
      </c>
      <c r="P159" s="2" t="n">
        <v>10.46</v>
      </c>
      <c r="Q159" s="13" t="n">
        <v>1.0156</v>
      </c>
    </row>
    <row r="160">
      <c r="A160" s="2" t="inlineStr">
        <is>
          <t>FVI.TO</t>
        </is>
      </c>
      <c r="B160" s="2" t="inlineStr">
        <is>
          <t>Fortuna Mining Corp</t>
        </is>
      </c>
      <c r="C160" s="2" t="inlineStr">
        <is>
          <t>CAD</t>
        </is>
      </c>
      <c r="D160" s="2" t="n">
        <v>2019</v>
      </c>
      <c r="E160" s="12" t="n">
        <v>43830</v>
      </c>
      <c r="F160" s="2" t="n">
        <v>5.01</v>
      </c>
      <c r="G160" s="2" t="n">
        <v>6.12</v>
      </c>
      <c r="H160" s="2" t="n">
        <v>3.22</v>
      </c>
      <c r="I160" s="2" t="n">
        <v>5.29</v>
      </c>
      <c r="J160" s="2" t="n">
        <v>4.4669</v>
      </c>
      <c r="K160" s="2" t="n">
        <v>0</v>
      </c>
      <c r="L160" s="13" t="n">
        <v>0</v>
      </c>
      <c r="M160" s="13" t="n">
        <v>0.017</v>
      </c>
      <c r="N160" s="2" t="n">
        <v>5.473</v>
      </c>
      <c r="O160" s="2" t="n">
        <v>2021</v>
      </c>
      <c r="P160" s="2" t="n">
        <v>4.94</v>
      </c>
      <c r="Q160" s="13" t="n">
        <v>-0.0974</v>
      </c>
    </row>
    <row r="161">
      <c r="A161" s="2" t="inlineStr">
        <is>
          <t>FVI.TO</t>
        </is>
      </c>
      <c r="B161" s="2" t="inlineStr">
        <is>
          <t>Fortuna Mining Corp</t>
        </is>
      </c>
      <c r="C161" s="2" t="inlineStr">
        <is>
          <t>CAD</t>
        </is>
      </c>
      <c r="D161" s="2" t="n">
        <v>2020</v>
      </c>
      <c r="E161" s="12" t="n">
        <v>44196</v>
      </c>
      <c r="F161" s="2" t="n">
        <v>5.36</v>
      </c>
      <c r="G161" s="2" t="n">
        <v>10.66</v>
      </c>
      <c r="H161" s="2" t="n">
        <v>2.05</v>
      </c>
      <c r="I161" s="2" t="n">
        <v>10.46</v>
      </c>
      <c r="J161" s="2" t="n">
        <v>6.7641</v>
      </c>
      <c r="K161" s="2" t="n">
        <v>0</v>
      </c>
      <c r="L161" s="13" t="n">
        <v>0</v>
      </c>
      <c r="M161" s="13" t="n">
        <v>0.002</v>
      </c>
      <c r="N161" s="2" t="n">
        <v>10.5019</v>
      </c>
      <c r="O161" s="2" t="n">
        <v>2022</v>
      </c>
      <c r="P161" s="2" t="n">
        <v>5.09</v>
      </c>
      <c r="Q161" s="13" t="n">
        <v>-0.5153</v>
      </c>
    </row>
    <row r="162">
      <c r="A162" s="2" t="inlineStr">
        <is>
          <t>FVI.TO</t>
        </is>
      </c>
      <c r="B162" s="2" t="inlineStr">
        <is>
          <t>Fortuna Mining Corp</t>
        </is>
      </c>
      <c r="C162" s="2" t="inlineStr">
        <is>
          <t>CAD</t>
        </is>
      </c>
      <c r="D162" s="2" t="n">
        <v>2021</v>
      </c>
      <c r="E162" s="12" t="n">
        <v>44561</v>
      </c>
      <c r="F162" s="2" t="n">
        <v>11.11</v>
      </c>
      <c r="G162" s="2" t="n">
        <v>12.61</v>
      </c>
      <c r="H162" s="2" t="n">
        <v>3.77</v>
      </c>
      <c r="I162" s="2" t="n">
        <v>4.94</v>
      </c>
      <c r="J162" s="2" t="n">
        <v>7.1034</v>
      </c>
      <c r="K162" s="2" t="n">
        <v>0</v>
      </c>
      <c r="L162" s="13" t="n">
        <v>0</v>
      </c>
      <c r="M162" s="13" t="n">
        <v>0.0095</v>
      </c>
      <c r="N162" s="2" t="n">
        <v>5.0348</v>
      </c>
      <c r="O162" s="2" t="n">
        <v>2023</v>
      </c>
      <c r="P162" s="2" t="n">
        <v>5.1</v>
      </c>
      <c r="Q162" s="13" t="n">
        <v>0.013</v>
      </c>
    </row>
    <row r="163">
      <c r="A163" s="2" t="inlineStr">
        <is>
          <t>FVI.TO</t>
        </is>
      </c>
      <c r="B163" s="2" t="inlineStr">
        <is>
          <t>Fortuna Mining Corp</t>
        </is>
      </c>
      <c r="C163" s="2" t="inlineStr">
        <is>
          <t>CAD</t>
        </is>
      </c>
      <c r="D163" s="2" t="n">
        <v>2022</v>
      </c>
      <c r="E163" s="12" t="n">
        <v>44925</v>
      </c>
      <c r="F163" s="2" t="n">
        <v>4.95</v>
      </c>
      <c r="G163" s="2" t="n">
        <v>6</v>
      </c>
      <c r="H163" s="2" t="n">
        <v>2.82</v>
      </c>
      <c r="I163" s="2" t="n">
        <v>5.09</v>
      </c>
      <c r="J163" s="2" t="n">
        <v>4.252</v>
      </c>
      <c r="K163" s="2" t="n">
        <v>0</v>
      </c>
      <c r="L163" s="13" t="n">
        <v>0</v>
      </c>
      <c r="M163" s="13" t="n">
        <v>0.0405</v>
      </c>
      <c r="N163" s="2" t="n">
        <v>5.5194</v>
      </c>
      <c r="O163" s="2" t="n">
        <v>2024</v>
      </c>
      <c r="P163" s="2" t="n">
        <v>6.17</v>
      </c>
      <c r="Q163" s="13" t="n">
        <v>0.1179</v>
      </c>
    </row>
    <row r="164">
      <c r="A164" s="2" t="inlineStr">
        <is>
          <t>FVI.TO</t>
        </is>
      </c>
      <c r="B164" s="2" t="inlineStr">
        <is>
          <t>Fortuna Mining Corp</t>
        </is>
      </c>
      <c r="C164" s="2" t="inlineStr">
        <is>
          <t>CAD</t>
        </is>
      </c>
      <c r="D164" s="2" t="n">
        <v>2023</v>
      </c>
      <c r="E164" s="12" t="n">
        <v>45289</v>
      </c>
      <c r="F164" s="2" t="n">
        <v>5.19</v>
      </c>
      <c r="G164" s="2" t="n">
        <v>5.61</v>
      </c>
      <c r="H164" s="2" t="n">
        <v>3.56</v>
      </c>
      <c r="I164" s="2" t="n">
        <v>5.1</v>
      </c>
      <c r="J164" s="2" t="n">
        <v>4.5879</v>
      </c>
      <c r="K164" s="2" t="n">
        <v>0</v>
      </c>
      <c r="L164" s="13" t="n">
        <v>0</v>
      </c>
      <c r="M164" s="13" t="n">
        <v>0.0388</v>
      </c>
      <c r="N164" s="2" t="n">
        <v>5.5115</v>
      </c>
      <c r="O164" s="2" t="n">
        <v>2025</v>
      </c>
      <c r="P164" s="2" t="n">
        <v>13.45</v>
      </c>
      <c r="Q164" s="13" t="n">
        <v>1.4403</v>
      </c>
    </row>
    <row r="165">
      <c r="A165" s="2" t="inlineStr">
        <is>
          <t>FVI.TO</t>
        </is>
      </c>
      <c r="B165" s="2" t="inlineStr">
        <is>
          <t>Fortuna Mining Corp</t>
        </is>
      </c>
      <c r="C165" s="2" t="inlineStr">
        <is>
          <t>CAD</t>
        </is>
      </c>
      <c r="D165" s="2" t="n">
        <v>2024</v>
      </c>
      <c r="E165" s="12" t="n">
        <v>45657</v>
      </c>
      <c r="F165" s="2" t="n">
        <v>5.11</v>
      </c>
      <c r="G165" s="2" t="n">
        <v>8.68</v>
      </c>
      <c r="H165" s="2" t="n">
        <v>3.57</v>
      </c>
      <c r="I165" s="2" t="n">
        <v>6.17</v>
      </c>
      <c r="J165" s="2" t="n">
        <v>6.1124</v>
      </c>
      <c r="K165" s="2" t="n">
        <v>0</v>
      </c>
      <c r="L165" s="13" t="n">
        <v>0</v>
      </c>
      <c r="M165" s="13" t="n">
        <v>0.0293</v>
      </c>
      <c r="N165" s="2" t="n">
        <v>6.5424</v>
      </c>
      <c r="O165" s="2" t="n">
        <v>2026</v>
      </c>
      <c r="P165" s="2" t="n">
        <v>16.56</v>
      </c>
      <c r="Q165" s="13" t="n">
        <v>1.5312</v>
      </c>
    </row>
    <row r="166">
      <c r="A166" s="2" t="inlineStr">
        <is>
          <t>FVI.TO</t>
        </is>
      </c>
      <c r="B166" s="2" t="inlineStr">
        <is>
          <t>Fortuna Mining Corp</t>
        </is>
      </c>
      <c r="C166" s="2" t="inlineStr">
        <is>
          <t>CAD</t>
        </is>
      </c>
      <c r="D166" s="2" t="n">
        <v>2025</v>
      </c>
      <c r="E166" s="12" t="n">
        <v>46022</v>
      </c>
      <c r="F166" s="2" t="n">
        <v>6.3</v>
      </c>
      <c r="G166" s="2" t="n">
        <v>14.5</v>
      </c>
      <c r="H166" s="2" t="n">
        <v>5.99</v>
      </c>
      <c r="I166" s="2" t="n">
        <v>13.45</v>
      </c>
      <c r="J166" s="2" t="n">
        <v>9.5875</v>
      </c>
      <c r="K166" s="2" t="n">
        <v>0</v>
      </c>
      <c r="L166" s="13" t="n">
        <v>0</v>
      </c>
      <c r="M166" s="13" t="n">
        <v>0.026</v>
      </c>
      <c r="N166" s="2" t="n">
        <v>14.1679</v>
      </c>
      <c r="O166" s="2" t="n">
        <v>2027</v>
      </c>
      <c r="P166" s="2" t="n"/>
      <c r="Q166" s="13" t="n"/>
    </row>
    <row r="167">
      <c r="A167" s="2" t="inlineStr">
        <is>
          <t>FVI.TO</t>
        </is>
      </c>
      <c r="B167" s="2" t="inlineStr">
        <is>
          <t>Fortuna Mining Corp</t>
        </is>
      </c>
      <c r="C167" s="2" t="inlineStr">
        <is>
          <t>CAD</t>
        </is>
      </c>
      <c r="D167" s="2" t="n">
        <v>2026</v>
      </c>
      <c r="E167" s="12" t="n">
        <v>46290</v>
      </c>
      <c r="F167" s="2" t="n">
        <v>13.71</v>
      </c>
      <c r="G167" s="2" t="n">
        <v>18.99</v>
      </c>
      <c r="H167" s="2" t="n">
        <v>11.23</v>
      </c>
      <c r="I167" s="2" t="n">
        <v>16.56</v>
      </c>
      <c r="J167" s="2" t="n">
        <v>14.2615</v>
      </c>
      <c r="K167" s="2" t="n">
        <v>0</v>
      </c>
      <c r="L167" s="13" t="n">
        <v>0</v>
      </c>
      <c r="M167" s="13" t="n">
        <v>0.026</v>
      </c>
      <c r="N167" s="2" t="n">
        <v>17.4439</v>
      </c>
      <c r="O167" s="2" t="n">
        <v>2028</v>
      </c>
      <c r="P167" s="2" t="n"/>
      <c r="Q167" s="13" t="n"/>
    </row>
    <row r="168">
      <c r="A168" s="2" t="inlineStr">
        <is>
          <t>GFI</t>
        </is>
      </c>
      <c r="B168" s="2" t="inlineStr">
        <is>
          <t>Gold Fields Ltd</t>
        </is>
      </c>
      <c r="C168" s="2" t="inlineStr">
        <is>
          <t>USD</t>
        </is>
      </c>
      <c r="D168" s="2" t="n">
        <v>2017</v>
      </c>
      <c r="E168" s="12" t="n">
        <v>43098</v>
      </c>
      <c r="F168" s="2" t="n">
        <v>3.13</v>
      </c>
      <c r="G168" s="2" t="n">
        <v>4.7</v>
      </c>
      <c r="H168" s="2" t="n">
        <v>2.86</v>
      </c>
      <c r="I168" s="2" t="n">
        <v>4.3</v>
      </c>
      <c r="J168" s="2" t="n">
        <v>3.7829</v>
      </c>
      <c r="K168" s="2" t="n">
        <v>0.076</v>
      </c>
      <c r="L168" s="13" t="n">
        <v>0.0177</v>
      </c>
      <c r="M168" s="13" t="n">
        <v>0.0189</v>
      </c>
      <c r="N168" s="2" t="n">
        <v>4.3106</v>
      </c>
      <c r="O168" s="2" t="n">
        <v>2019</v>
      </c>
      <c r="P168" s="2" t="n">
        <v>6.6</v>
      </c>
      <c r="Q168" s="13" t="n">
        <v>0.5311</v>
      </c>
    </row>
    <row r="169">
      <c r="A169" s="2" t="inlineStr">
        <is>
          <t>GFI</t>
        </is>
      </c>
      <c r="B169" s="2" t="inlineStr">
        <is>
          <t>Gold Fields Ltd</t>
        </is>
      </c>
      <c r="C169" s="2" t="inlineStr">
        <is>
          <t>USD</t>
        </is>
      </c>
      <c r="D169" s="2" t="n">
        <v>2018</v>
      </c>
      <c r="E169" s="12" t="n">
        <v>43465</v>
      </c>
      <c r="F169" s="2" t="n">
        <v>4.37</v>
      </c>
      <c r="G169" s="2" t="n">
        <v>4.54</v>
      </c>
      <c r="H169" s="2" t="n">
        <v>2.2</v>
      </c>
      <c r="I169" s="2" t="n">
        <v>3.52</v>
      </c>
      <c r="J169" s="2" t="n">
        <v>3.4409</v>
      </c>
      <c r="K169" s="2" t="n">
        <v>0.057</v>
      </c>
      <c r="L169" s="13" t="n">
        <v>0.0162</v>
      </c>
      <c r="M169" s="13" t="n">
        <v>0.0249</v>
      </c>
      <c r="N169" s="2" t="n">
        <v>3.5818</v>
      </c>
      <c r="O169" s="2" t="n">
        <v>2020</v>
      </c>
      <c r="P169" s="2" t="n">
        <v>9.27</v>
      </c>
      <c r="Q169" s="13" t="n">
        <v>1.5881</v>
      </c>
    </row>
    <row r="170">
      <c r="A170" s="2" t="inlineStr">
        <is>
          <t>GFI</t>
        </is>
      </c>
      <c r="B170" s="2" t="inlineStr">
        <is>
          <t>Gold Fields Ltd</t>
        </is>
      </c>
      <c r="C170" s="2" t="inlineStr">
        <is>
          <t>USD</t>
        </is>
      </c>
      <c r="D170" s="2" t="n">
        <v>2019</v>
      </c>
      <c r="E170" s="12" t="n">
        <v>43830</v>
      </c>
      <c r="F170" s="2" t="n">
        <v>3.47</v>
      </c>
      <c r="G170" s="2" t="n">
        <v>6.83</v>
      </c>
      <c r="H170" s="2" t="n">
        <v>3.46</v>
      </c>
      <c r="I170" s="2" t="n">
        <v>6.6</v>
      </c>
      <c r="J170" s="2" t="n">
        <v>4.8237</v>
      </c>
      <c r="K170" s="2" t="n">
        <v>0.053</v>
      </c>
      <c r="L170" s="13" t="n">
        <v>0.008</v>
      </c>
      <c r="M170" s="13" t="n">
        <v>0.0158</v>
      </c>
      <c r="N170" s="2" t="n">
        <v>6.7034</v>
      </c>
      <c r="O170" s="2" t="n">
        <v>2021</v>
      </c>
      <c r="P170" s="2" t="n">
        <v>10.99</v>
      </c>
      <c r="Q170" s="13" t="n">
        <v>0.6395</v>
      </c>
    </row>
    <row r="171">
      <c r="A171" s="2" t="inlineStr">
        <is>
          <t>GFI</t>
        </is>
      </c>
      <c r="B171" s="2" t="inlineStr">
        <is>
          <t>Gold Fields Ltd</t>
        </is>
      </c>
      <c r="C171" s="2" t="inlineStr">
        <is>
          <t>USD</t>
        </is>
      </c>
      <c r="D171" s="2" t="n">
        <v>2020</v>
      </c>
      <c r="E171" s="12" t="n">
        <v>44196</v>
      </c>
      <c r="F171" s="2" t="n">
        <v>6.68</v>
      </c>
      <c r="G171" s="2" t="n">
        <v>14.9</v>
      </c>
      <c r="H171" s="2" t="n">
        <v>3.79</v>
      </c>
      <c r="I171" s="2" t="n">
        <v>9.27</v>
      </c>
      <c r="J171" s="2" t="n">
        <v>9.164199999999999</v>
      </c>
      <c r="K171" s="2" t="n">
        <v>0.16</v>
      </c>
      <c r="L171" s="13" t="n">
        <v>0.0173</v>
      </c>
      <c r="M171" s="13" t="n">
        <v>0.0013</v>
      </c>
      <c r="N171" s="2" t="n">
        <v>8.9788</v>
      </c>
      <c r="O171" s="2" t="n">
        <v>2022</v>
      </c>
      <c r="P171" s="2" t="n">
        <v>10.35</v>
      </c>
      <c r="Q171" s="13" t="n">
        <v>0.1527</v>
      </c>
    </row>
    <row r="172">
      <c r="A172" s="2" t="inlineStr">
        <is>
          <t>GFI</t>
        </is>
      </c>
      <c r="B172" s="2" t="inlineStr">
        <is>
          <t>Gold Fields Ltd</t>
        </is>
      </c>
      <c r="C172" s="2" t="inlineStr">
        <is>
          <t>USD</t>
        </is>
      </c>
      <c r="D172" s="2" t="n">
        <v>2021</v>
      </c>
      <c r="E172" s="12" t="n">
        <v>44561</v>
      </c>
      <c r="F172" s="2" t="n">
        <v>10.07</v>
      </c>
      <c r="G172" s="2" t="n">
        <v>12.53</v>
      </c>
      <c r="H172" s="2" t="n">
        <v>7.75</v>
      </c>
      <c r="I172" s="2" t="n">
        <v>10.99</v>
      </c>
      <c r="J172" s="2" t="n">
        <v>9.65</v>
      </c>
      <c r="K172" s="2" t="n">
        <v>0.356</v>
      </c>
      <c r="L172" s="13" t="n">
        <v>0.0324</v>
      </c>
      <c r="M172" s="13" t="n">
        <v>0.0073</v>
      </c>
      <c r="N172" s="2" t="n">
        <v>10.4521</v>
      </c>
      <c r="O172" s="2" t="n">
        <v>2023</v>
      </c>
      <c r="P172" s="2" t="n">
        <v>14.46</v>
      </c>
      <c r="Q172" s="13" t="n">
        <v>0.3835</v>
      </c>
    </row>
    <row r="173">
      <c r="A173" s="2" t="inlineStr">
        <is>
          <t>GFI</t>
        </is>
      </c>
      <c r="B173" s="2" t="inlineStr">
        <is>
          <t>Gold Fields Ltd</t>
        </is>
      </c>
      <c r="C173" s="2" t="inlineStr">
        <is>
          <t>USD</t>
        </is>
      </c>
      <c r="D173" s="2" t="n">
        <v>2022</v>
      </c>
      <c r="E173" s="12" t="n">
        <v>44925</v>
      </c>
      <c r="F173" s="2" t="n">
        <v>10.8</v>
      </c>
      <c r="G173" s="2" t="n">
        <v>17.2</v>
      </c>
      <c r="H173" s="2" t="n">
        <v>7.03</v>
      </c>
      <c r="I173" s="2" t="n">
        <v>10.35</v>
      </c>
      <c r="J173" s="2" t="n">
        <v>10.7533</v>
      </c>
      <c r="K173" s="2" t="n">
        <v>0.352</v>
      </c>
      <c r="L173" s="13" t="n">
        <v>0.034</v>
      </c>
      <c r="M173" s="13" t="n">
        <v>0.0443</v>
      </c>
      <c r="N173" s="2" t="n">
        <v>10.5652</v>
      </c>
      <c r="O173" s="2" t="n">
        <v>2024</v>
      </c>
      <c r="P173" s="2" t="n">
        <v>13.2</v>
      </c>
      <c r="Q173" s="13" t="n">
        <v>0.2494</v>
      </c>
    </row>
    <row r="174">
      <c r="A174" s="2" t="inlineStr">
        <is>
          <t>GFI</t>
        </is>
      </c>
      <c r="B174" s="2" t="inlineStr">
        <is>
          <t>Gold Fields Ltd</t>
        </is>
      </c>
      <c r="C174" s="2" t="inlineStr">
        <is>
          <t>USD</t>
        </is>
      </c>
      <c r="D174" s="2" t="n">
        <v>2023</v>
      </c>
      <c r="E174" s="12" t="n">
        <v>45289</v>
      </c>
      <c r="F174" s="2" t="n">
        <v>10.54</v>
      </c>
      <c r="G174" s="2" t="n">
        <v>17.78</v>
      </c>
      <c r="H174" s="2" t="n">
        <v>8.890000000000001</v>
      </c>
      <c r="I174" s="2" t="n">
        <v>14.46</v>
      </c>
      <c r="J174" s="2" t="n">
        <v>13.3378</v>
      </c>
      <c r="K174" s="2" t="n">
        <v>0.414</v>
      </c>
      <c r="L174" s="13" t="n">
        <v>0.0286</v>
      </c>
      <c r="M174" s="13" t="n">
        <v>0.0425</v>
      </c>
      <c r="N174" s="2" t="n">
        <v>14.8667</v>
      </c>
      <c r="O174" s="2" t="n">
        <v>2025</v>
      </c>
      <c r="P174" s="2" t="n">
        <v>43.66</v>
      </c>
      <c r="Q174" s="13" t="n">
        <v>1.9368</v>
      </c>
    </row>
    <row r="175">
      <c r="A175" s="2" t="inlineStr">
        <is>
          <t>GFI</t>
        </is>
      </c>
      <c r="B175" s="2" t="inlineStr">
        <is>
          <t>Gold Fields Ltd</t>
        </is>
      </c>
      <c r="C175" s="2" t="inlineStr">
        <is>
          <t>USD</t>
        </is>
      </c>
      <c r="D175" s="2" t="n">
        <v>2024</v>
      </c>
      <c r="E175" s="12" t="n">
        <v>45657</v>
      </c>
      <c r="F175" s="2" t="n">
        <v>14.49</v>
      </c>
      <c r="G175" s="2" t="n">
        <v>18.97</v>
      </c>
      <c r="H175" s="2" t="n">
        <v>12.19</v>
      </c>
      <c r="I175" s="2" t="n">
        <v>13.2</v>
      </c>
      <c r="J175" s="2" t="n">
        <v>15.2223</v>
      </c>
      <c r="K175" s="2" t="n">
        <v>0.388</v>
      </c>
      <c r="L175" s="13" t="n">
        <v>0.0294</v>
      </c>
      <c r="M175" s="13" t="n">
        <v>0.0424</v>
      </c>
      <c r="N175" s="2" t="n">
        <v>13.5479</v>
      </c>
      <c r="O175" s="2" t="n">
        <v>2026</v>
      </c>
      <c r="P175" s="2" t="n">
        <v>40.38</v>
      </c>
      <c r="Q175" s="13" t="n">
        <v>1.9805</v>
      </c>
    </row>
    <row r="176">
      <c r="A176" s="2" t="inlineStr">
        <is>
          <t>GFI</t>
        </is>
      </c>
      <c r="B176" s="2" t="inlineStr">
        <is>
          <t>Gold Fields Ltd</t>
        </is>
      </c>
      <c r="C176" s="2" t="inlineStr">
        <is>
          <t>USD</t>
        </is>
      </c>
      <c r="D176" s="2" t="n">
        <v>2025</v>
      </c>
      <c r="E176" s="12" t="n">
        <v>46022</v>
      </c>
      <c r="F176" s="2" t="n">
        <v>13.79</v>
      </c>
      <c r="G176" s="2" t="n">
        <v>47.6</v>
      </c>
      <c r="H176" s="2" t="n">
        <v>13.78</v>
      </c>
      <c r="I176" s="2" t="n">
        <v>43.66</v>
      </c>
      <c r="J176" s="2" t="n">
        <v>28.7248</v>
      </c>
      <c r="K176" s="2" t="n">
        <v>0.375</v>
      </c>
      <c r="L176" s="13" t="n">
        <v>0.0086</v>
      </c>
      <c r="M176" s="13" t="n">
        <v>0.0348</v>
      </c>
      <c r="N176" s="2" t="n">
        <v>46.0098</v>
      </c>
      <c r="O176" s="2" t="n">
        <v>2027</v>
      </c>
      <c r="P176" s="2" t="n"/>
      <c r="Q176" s="13" t="n"/>
    </row>
    <row r="177">
      <c r="A177" s="2" t="inlineStr">
        <is>
          <t>GFI</t>
        </is>
      </c>
      <c r="B177" s="2" t="inlineStr">
        <is>
          <t>Gold Fields Ltd</t>
        </is>
      </c>
      <c r="C177" s="2" t="inlineStr">
        <is>
          <t>USD</t>
        </is>
      </c>
      <c r="D177" s="2" t="n">
        <v>2026</v>
      </c>
      <c r="E177" s="12" t="n">
        <v>46290</v>
      </c>
      <c r="F177" s="2" t="n">
        <v>44.29</v>
      </c>
      <c r="G177" s="2" t="n">
        <v>61.64</v>
      </c>
      <c r="H177" s="2" t="n">
        <v>31.11</v>
      </c>
      <c r="I177" s="2" t="n">
        <v>40.38</v>
      </c>
      <c r="J177" s="2" t="n">
        <v>43.7855</v>
      </c>
      <c r="K177" s="2" t="n">
        <v>2.456</v>
      </c>
      <c r="L177" s="13" t="n">
        <v>0.0608</v>
      </c>
      <c r="M177" s="13" t="n">
        <v>0.0348</v>
      </c>
      <c r="N177" s="2" t="n">
        <v>38.3322</v>
      </c>
      <c r="O177" s="2" t="n">
        <v>2028</v>
      </c>
      <c r="P177" s="2" t="n"/>
      <c r="Q177" s="13" t="n"/>
    </row>
    <row r="178">
      <c r="A178" s="2" t="inlineStr">
        <is>
          <t>GMD.AX</t>
        </is>
      </c>
      <c r="B178" s="2" t="inlineStr">
        <is>
          <t>Genesis Minerals Ltd</t>
        </is>
      </c>
      <c r="C178" s="2" t="inlineStr">
        <is>
          <t>AUD</t>
        </is>
      </c>
      <c r="D178" s="2" t="n">
        <v>2017</v>
      </c>
      <c r="E178" s="12" t="n">
        <v>43098</v>
      </c>
      <c r="F178" s="2" t="n">
        <v>0.023</v>
      </c>
      <c r="G178" s="2" t="n">
        <v>0.035</v>
      </c>
      <c r="H178" s="2" t="n">
        <v>0.014</v>
      </c>
      <c r="I178" s="2" t="n">
        <v>0.033</v>
      </c>
      <c r="J178" s="2" t="n">
        <v>0.0218</v>
      </c>
      <c r="K178" s="2" t="n">
        <v>0</v>
      </c>
      <c r="L178" s="13" t="n">
        <v>0</v>
      </c>
      <c r="M178" s="13" t="n">
        <v>0.02</v>
      </c>
      <c r="N178" s="2" t="n">
        <v>0.0343</v>
      </c>
      <c r="O178" s="2" t="n">
        <v>2019</v>
      </c>
      <c r="P178" s="2" t="n">
        <v>0.032</v>
      </c>
      <c r="Q178" s="13" t="n">
        <v>-0.05</v>
      </c>
    </row>
    <row r="179">
      <c r="A179" s="2" t="inlineStr">
        <is>
          <t>GMD.AX</t>
        </is>
      </c>
      <c r="B179" s="2" t="inlineStr">
        <is>
          <t>Genesis Minerals Ltd</t>
        </is>
      </c>
      <c r="C179" s="2" t="inlineStr">
        <is>
          <t>AUD</t>
        </is>
      </c>
      <c r="D179" s="2" t="n">
        <v>2018</v>
      </c>
      <c r="E179" s="12" t="n">
        <v>43465</v>
      </c>
      <c r="F179" s="2" t="n">
        <v>0.033</v>
      </c>
      <c r="G179" s="2" t="n">
        <v>0.057</v>
      </c>
      <c r="H179" s="2" t="n">
        <v>0.028</v>
      </c>
      <c r="I179" s="2" t="n">
        <v>0.033</v>
      </c>
      <c r="J179" s="2" t="n">
        <v>0.0385</v>
      </c>
      <c r="K179" s="2" t="n">
        <v>0</v>
      </c>
      <c r="L179" s="13" t="n">
        <v>0</v>
      </c>
      <c r="M179" s="13" t="n">
        <v>0.019</v>
      </c>
      <c r="N179" s="2" t="n">
        <v>0.0343</v>
      </c>
      <c r="O179" s="2" t="n">
        <v>2020</v>
      </c>
      <c r="P179" s="2" t="n">
        <v>0.074</v>
      </c>
      <c r="Q179" s="13" t="n">
        <v>1.2735</v>
      </c>
    </row>
    <row r="180">
      <c r="A180" s="2" t="inlineStr">
        <is>
          <t>GMD.AX</t>
        </is>
      </c>
      <c r="B180" s="2" t="inlineStr">
        <is>
          <t>Genesis Minerals Ltd</t>
        </is>
      </c>
      <c r="C180" s="2" t="inlineStr">
        <is>
          <t>AUD</t>
        </is>
      </c>
      <c r="D180" s="2" t="n">
        <v>2019</v>
      </c>
      <c r="E180" s="12" t="n">
        <v>43830</v>
      </c>
      <c r="F180" s="2" t="n">
        <v>0.033</v>
      </c>
      <c r="G180" s="2" t="n">
        <v>0.043</v>
      </c>
      <c r="H180" s="2" t="n">
        <v>0.02</v>
      </c>
      <c r="I180" s="2" t="n">
        <v>0.032</v>
      </c>
      <c r="J180" s="2" t="n">
        <v>0.0313</v>
      </c>
      <c r="K180" s="2" t="n">
        <v>0</v>
      </c>
      <c r="L180" s="13" t="n">
        <v>0</v>
      </c>
      <c r="M180" s="13" t="n">
        <v>0.008999999999999999</v>
      </c>
      <c r="N180" s="2" t="n">
        <v>0.0326</v>
      </c>
      <c r="O180" s="2" t="n">
        <v>2021</v>
      </c>
      <c r="P180" s="2" t="n">
        <v>0.165</v>
      </c>
      <c r="Q180" s="13" t="n">
        <v>4.3311</v>
      </c>
    </row>
    <row r="181">
      <c r="A181" s="2" t="inlineStr">
        <is>
          <t>GMD.AX</t>
        </is>
      </c>
      <c r="B181" s="2" t="inlineStr">
        <is>
          <t>Genesis Minerals Ltd</t>
        </is>
      </c>
      <c r="C181" s="2" t="inlineStr">
        <is>
          <t>AUD</t>
        </is>
      </c>
      <c r="D181" s="2" t="n">
        <v>2020</v>
      </c>
      <c r="E181" s="12" t="n">
        <v>44196</v>
      </c>
      <c r="F181" s="2" t="n">
        <v>0.033</v>
      </c>
      <c r="G181" s="2" t="n">
        <v>0.093</v>
      </c>
      <c r="H181" s="2" t="n">
        <v>0.019</v>
      </c>
      <c r="I181" s="2" t="n">
        <v>0.074</v>
      </c>
      <c r="J181" s="2" t="n">
        <v>0.0549</v>
      </c>
      <c r="K181" s="2" t="n">
        <v>0</v>
      </c>
      <c r="L181" s="13" t="n">
        <v>0</v>
      </c>
      <c r="M181" s="13" t="n">
        <v>0.001</v>
      </c>
      <c r="N181" s="2" t="n">
        <v>0.0741</v>
      </c>
      <c r="O181" s="2" t="n">
        <v>2022</v>
      </c>
      <c r="P181" s="2" t="n">
        <v>1.25</v>
      </c>
      <c r="Q181" s="13" t="n">
        <v>0.7183</v>
      </c>
    </row>
    <row r="182">
      <c r="A182" s="2" t="inlineStr">
        <is>
          <t>GMD.AX</t>
        </is>
      </c>
      <c r="B182" s="2" t="inlineStr">
        <is>
          <t>Genesis Minerals Ltd</t>
        </is>
      </c>
      <c r="C182" s="2" t="inlineStr">
        <is>
          <t>AUD</t>
        </is>
      </c>
      <c r="D182" s="2" t="n">
        <v>2021</v>
      </c>
      <c r="E182" s="12" t="n">
        <v>44561</v>
      </c>
      <c r="F182" s="2" t="n">
        <v>0.074</v>
      </c>
      <c r="G182" s="2" t="n">
        <v>0.21</v>
      </c>
      <c r="H182" s="2" t="n">
        <v>0.06</v>
      </c>
      <c r="I182" s="2" t="n">
        <v>0.165</v>
      </c>
      <c r="J182" s="2" t="n">
        <v>0.0919</v>
      </c>
      <c r="K182" s="2" t="n">
        <v>0</v>
      </c>
      <c r="L182" s="13" t="n">
        <v>0</v>
      </c>
      <c r="M182" s="13" t="n">
        <v>0.006</v>
      </c>
      <c r="N182" s="2" t="n">
        <v>0.167</v>
      </c>
      <c r="O182" s="2" t="n">
        <v>2023</v>
      </c>
      <c r="P182" s="2" t="n">
        <v>1.79</v>
      </c>
      <c r="Q182" s="13" t="n">
        <v>0.07190000000000001</v>
      </c>
    </row>
    <row r="183">
      <c r="A183" s="2" t="inlineStr">
        <is>
          <t>GMD.AX</t>
        </is>
      </c>
      <c r="B183" s="2" t="inlineStr">
        <is>
          <t>Genesis Minerals Ltd</t>
        </is>
      </c>
      <c r="C183" s="2" t="inlineStr">
        <is>
          <t>AUD</t>
        </is>
      </c>
      <c r="D183" s="2" t="n">
        <v>2022</v>
      </c>
      <c r="E183" s="12" t="n">
        <v>44925</v>
      </c>
      <c r="F183" s="2" t="n">
        <v>0.17</v>
      </c>
      <c r="G183" s="2" t="n">
        <v>1.985</v>
      </c>
      <c r="H183" s="2" t="n">
        <v>0.1675</v>
      </c>
      <c r="I183" s="2" t="n">
        <v>1.25</v>
      </c>
      <c r="J183" s="2" t="n">
        <v>1.3594</v>
      </c>
      <c r="K183" s="2" t="n">
        <v>0</v>
      </c>
      <c r="L183" s="13" t="n">
        <v>0</v>
      </c>
      <c r="M183" s="13" t="n">
        <v>0.035</v>
      </c>
      <c r="N183" s="2" t="n">
        <v>1.3406</v>
      </c>
      <c r="O183" s="2" t="n">
        <v>2024</v>
      </c>
      <c r="P183" s="2" t="n">
        <v>2.47</v>
      </c>
      <c r="Q183" s="13" t="n">
        <v>0.8424</v>
      </c>
    </row>
    <row r="184">
      <c r="A184" s="2" t="inlineStr">
        <is>
          <t>GMD.AX</t>
        </is>
      </c>
      <c r="B184" s="2" t="inlineStr">
        <is>
          <t>Genesis Minerals Ltd</t>
        </is>
      </c>
      <c r="C184" s="2" t="inlineStr">
        <is>
          <t>AUD</t>
        </is>
      </c>
      <c r="D184" s="2" t="n">
        <v>2023</v>
      </c>
      <c r="E184" s="12" t="n">
        <v>45289</v>
      </c>
      <c r="F184" s="2" t="n">
        <v>1.23</v>
      </c>
      <c r="G184" s="2" t="n">
        <v>1.91</v>
      </c>
      <c r="H184" s="2" t="n">
        <v>0.9350000000000001</v>
      </c>
      <c r="I184" s="2" t="n">
        <v>1.79</v>
      </c>
      <c r="J184" s="2" t="n">
        <v>1.3677</v>
      </c>
      <c r="K184" s="2" t="n">
        <v>0</v>
      </c>
      <c r="L184" s="13" t="n">
        <v>0</v>
      </c>
      <c r="M184" s="13" t="n">
        <v>0.037</v>
      </c>
      <c r="N184" s="2" t="n">
        <v>1.9275</v>
      </c>
      <c r="O184" s="2" t="n">
        <v>2025</v>
      </c>
      <c r="P184" s="2" t="n">
        <v>7.25</v>
      </c>
      <c r="Q184" s="13" t="n">
        <v>2.7614</v>
      </c>
    </row>
    <row r="185">
      <c r="A185" s="2" t="inlineStr">
        <is>
          <t>GMD.AX</t>
        </is>
      </c>
      <c r="B185" s="2" t="inlineStr">
        <is>
          <t>Genesis Minerals Ltd</t>
        </is>
      </c>
      <c r="C185" s="2" t="inlineStr">
        <is>
          <t>AUD</t>
        </is>
      </c>
      <c r="D185" s="2" t="n">
        <v>2024</v>
      </c>
      <c r="E185" s="12" t="n">
        <v>45657</v>
      </c>
      <c r="F185" s="2" t="n">
        <v>1.775</v>
      </c>
      <c r="G185" s="2" t="n">
        <v>2.85</v>
      </c>
      <c r="H185" s="2" t="n">
        <v>1.465</v>
      </c>
      <c r="I185" s="2" t="n">
        <v>2.47</v>
      </c>
      <c r="J185" s="2" t="n">
        <v>2.0009</v>
      </c>
      <c r="K185" s="2" t="n">
        <v>0</v>
      </c>
      <c r="L185" s="13" t="n">
        <v>0</v>
      </c>
      <c r="M185" s="13" t="n">
        <v>0.0385</v>
      </c>
      <c r="N185" s="2" t="n">
        <v>2.6677</v>
      </c>
      <c r="O185" s="2" t="n">
        <v>2026</v>
      </c>
      <c r="P185" s="2" t="n">
        <v>7.65</v>
      </c>
      <c r="Q185" s="13" t="n">
        <v>1.8676</v>
      </c>
    </row>
    <row r="186">
      <c r="A186" s="2" t="inlineStr">
        <is>
          <t>GMD.AX</t>
        </is>
      </c>
      <c r="B186" s="2" t="inlineStr">
        <is>
          <t>Genesis Minerals Ltd</t>
        </is>
      </c>
      <c r="C186" s="2" t="inlineStr">
        <is>
          <t>AUD</t>
        </is>
      </c>
      <c r="D186" s="2" t="n">
        <v>2025</v>
      </c>
      <c r="E186" s="12" t="n">
        <v>46022</v>
      </c>
      <c r="F186" s="2" t="n">
        <v>2.47</v>
      </c>
      <c r="G186" s="2" t="n">
        <v>7.63</v>
      </c>
      <c r="H186" s="2" t="n">
        <v>2.43</v>
      </c>
      <c r="I186" s="2" t="n">
        <v>7.25</v>
      </c>
      <c r="J186" s="2" t="n">
        <v>4.5892</v>
      </c>
      <c r="K186" s="2" t="n">
        <v>0</v>
      </c>
      <c r="L186" s="13" t="n">
        <v>0</v>
      </c>
      <c r="M186" s="13" t="n">
        <v>0.039</v>
      </c>
      <c r="N186" s="2" t="n">
        <v>7.8381</v>
      </c>
      <c r="O186" s="2" t="n">
        <v>2027</v>
      </c>
      <c r="P186" s="2" t="n"/>
      <c r="Q186" s="13" t="n"/>
    </row>
    <row r="187">
      <c r="A187" s="2" t="inlineStr">
        <is>
          <t>GMD.AX</t>
        </is>
      </c>
      <c r="B187" s="2" t="inlineStr">
        <is>
          <t>Genesis Minerals Ltd</t>
        </is>
      </c>
      <c r="C187" s="2" t="inlineStr">
        <is>
          <t>AUD</t>
        </is>
      </c>
      <c r="D187" s="2" t="n">
        <v>2026</v>
      </c>
      <c r="E187" s="12" t="n">
        <v>46290</v>
      </c>
      <c r="F187" s="2" t="n">
        <v>7.16</v>
      </c>
      <c r="G187" s="2" t="n">
        <v>8.84</v>
      </c>
      <c r="H187" s="2" t="n">
        <v>4.51</v>
      </c>
      <c r="I187" s="2" t="n">
        <v>7.65</v>
      </c>
      <c r="J187" s="2" t="n">
        <v>6.6763</v>
      </c>
      <c r="K187" s="2" t="n">
        <v>0.05</v>
      </c>
      <c r="L187" s="13" t="n">
        <v>0.0065</v>
      </c>
      <c r="M187" s="13" t="n">
        <v>0.039</v>
      </c>
      <c r="N187" s="2" t="n">
        <v>8.1632</v>
      </c>
      <c r="O187" s="2" t="n">
        <v>2028</v>
      </c>
      <c r="P187" s="2" t="n"/>
      <c r="Q187" s="13" t="n"/>
    </row>
    <row r="188">
      <c r="A188" s="2" t="inlineStr">
        <is>
          <t>HMY</t>
        </is>
      </c>
      <c r="B188" s="2" t="inlineStr">
        <is>
          <t>Harmony Gold Mining Co Ltd</t>
        </is>
      </c>
      <c r="C188" s="2" t="inlineStr">
        <is>
          <t>USD</t>
        </is>
      </c>
      <c r="D188" s="2" t="n">
        <v>2017</v>
      </c>
      <c r="E188" s="12" t="n">
        <v>43098</v>
      </c>
      <c r="F188" s="2" t="n">
        <v>2.26</v>
      </c>
      <c r="G188" s="2" t="n">
        <v>2.99</v>
      </c>
      <c r="H188" s="2" t="n">
        <v>1.56</v>
      </c>
      <c r="I188" s="2" t="n">
        <v>1.87</v>
      </c>
      <c r="J188" s="2" t="n">
        <v>2.0649</v>
      </c>
      <c r="K188" s="2" t="n">
        <v>0.065</v>
      </c>
      <c r="L188" s="13" t="n">
        <v>0.0348</v>
      </c>
      <c r="M188" s="13" t="n">
        <v>0.0189</v>
      </c>
      <c r="N188" s="2" t="n">
        <v>1.8116</v>
      </c>
      <c r="O188" s="2" t="n">
        <v>2019</v>
      </c>
      <c r="P188" s="2" t="n">
        <v>3.63</v>
      </c>
      <c r="Q188" s="13" t="n">
        <v>1.0037</v>
      </c>
    </row>
    <row r="189">
      <c r="A189" s="2" t="inlineStr">
        <is>
          <t>HMY</t>
        </is>
      </c>
      <c r="B189" s="2" t="inlineStr">
        <is>
          <t>Harmony Gold Mining Co Ltd</t>
        </is>
      </c>
      <c r="C189" s="2" t="inlineStr">
        <is>
          <t>USD</t>
        </is>
      </c>
      <c r="D189" s="2" t="n">
        <v>2018</v>
      </c>
      <c r="E189" s="12" t="n">
        <v>43465</v>
      </c>
      <c r="F189" s="2" t="n">
        <v>1.89</v>
      </c>
      <c r="G189" s="2" t="n">
        <v>2.53</v>
      </c>
      <c r="H189" s="2" t="n">
        <v>1.43</v>
      </c>
      <c r="I189" s="2" t="n">
        <v>1.79</v>
      </c>
      <c r="J189" s="2" t="n">
        <v>1.8233</v>
      </c>
      <c r="K189" s="2" t="n">
        <v>0</v>
      </c>
      <c r="L189" s="13" t="n">
        <v>0</v>
      </c>
      <c r="M189" s="13" t="n">
        <v>0.0249</v>
      </c>
      <c r="N189" s="2" t="n">
        <v>1.8814</v>
      </c>
      <c r="O189" s="2" t="n">
        <v>2020</v>
      </c>
      <c r="P189" s="2" t="n">
        <v>4.68</v>
      </c>
      <c r="Q189" s="13" t="n">
        <v>1.4875</v>
      </c>
    </row>
    <row r="190">
      <c r="A190" s="2" t="inlineStr">
        <is>
          <t>HMY</t>
        </is>
      </c>
      <c r="B190" s="2" t="inlineStr">
        <is>
          <t>Harmony Gold Mining Co Ltd</t>
        </is>
      </c>
      <c r="C190" s="2" t="inlineStr">
        <is>
          <t>USD</t>
        </is>
      </c>
      <c r="D190" s="2" t="n">
        <v>2019</v>
      </c>
      <c r="E190" s="12" t="n">
        <v>43830</v>
      </c>
      <c r="F190" s="2" t="n">
        <v>1.83</v>
      </c>
      <c r="G190" s="2" t="n">
        <v>3.86</v>
      </c>
      <c r="H190" s="2" t="n">
        <v>1.57</v>
      </c>
      <c r="I190" s="2" t="n">
        <v>3.63</v>
      </c>
      <c r="J190" s="2" t="n">
        <v>2.4944</v>
      </c>
      <c r="K190" s="2" t="n">
        <v>0</v>
      </c>
      <c r="L190" s="13" t="n">
        <v>0</v>
      </c>
      <c r="M190" s="13" t="n">
        <v>0.0158</v>
      </c>
      <c r="N190" s="2" t="n">
        <v>3.7465</v>
      </c>
      <c r="O190" s="2" t="n">
        <v>2021</v>
      </c>
      <c r="P190" s="2" t="n">
        <v>4.11</v>
      </c>
      <c r="Q190" s="13" t="n">
        <v>0.097</v>
      </c>
    </row>
    <row r="191">
      <c r="A191" s="2" t="inlineStr">
        <is>
          <t>HMY</t>
        </is>
      </c>
      <c r="B191" s="2" t="inlineStr">
        <is>
          <t>Harmony Gold Mining Co Ltd</t>
        </is>
      </c>
      <c r="C191" s="2" t="inlineStr">
        <is>
          <t>USD</t>
        </is>
      </c>
      <c r="D191" s="2" t="n">
        <v>2020</v>
      </c>
      <c r="E191" s="12" t="n">
        <v>44196</v>
      </c>
      <c r="F191" s="2" t="n">
        <v>3.68</v>
      </c>
      <c r="G191" s="2" t="n">
        <v>7.61</v>
      </c>
      <c r="H191" s="2" t="n">
        <v>1.76</v>
      </c>
      <c r="I191" s="2" t="n">
        <v>4.68</v>
      </c>
      <c r="J191" s="2" t="n">
        <v>4.3795</v>
      </c>
      <c r="K191" s="2" t="n">
        <v>0</v>
      </c>
      <c r="L191" s="13" t="n">
        <v>0</v>
      </c>
      <c r="M191" s="13" t="n">
        <v>0.0013</v>
      </c>
      <c r="N191" s="2" t="n">
        <v>4.6922</v>
      </c>
      <c r="O191" s="2" t="n">
        <v>2022</v>
      </c>
      <c r="P191" s="2" t="n">
        <v>3.4</v>
      </c>
      <c r="Q191" s="13" t="n">
        <v>-0.2754</v>
      </c>
    </row>
    <row r="192">
      <c r="A192" s="2" t="inlineStr">
        <is>
          <t>HMY</t>
        </is>
      </c>
      <c r="B192" s="2" t="inlineStr">
        <is>
          <t>Harmony Gold Mining Co Ltd</t>
        </is>
      </c>
      <c r="C192" s="2" t="inlineStr">
        <is>
          <t>USD</t>
        </is>
      </c>
      <c r="D192" s="2" t="n">
        <v>2021</v>
      </c>
      <c r="E192" s="12" t="n">
        <v>44561</v>
      </c>
      <c r="F192" s="2" t="n">
        <v>5.08</v>
      </c>
      <c r="G192" s="2" t="n">
        <v>5.76</v>
      </c>
      <c r="H192" s="2" t="n">
        <v>3</v>
      </c>
      <c r="I192" s="2" t="n">
        <v>4.11</v>
      </c>
      <c r="J192" s="2" t="n">
        <v>4.143</v>
      </c>
      <c r="K192" s="2" t="n">
        <v>0.092</v>
      </c>
      <c r="L192" s="13" t="n">
        <v>0.0224</v>
      </c>
      <c r="M192" s="13" t="n">
        <v>0.0073</v>
      </c>
      <c r="N192" s="2" t="n">
        <v>3.9879</v>
      </c>
      <c r="O192" s="2" t="n">
        <v>2023</v>
      </c>
      <c r="P192" s="2" t="n">
        <v>6.15</v>
      </c>
      <c r="Q192" s="13" t="n">
        <v>0.5422</v>
      </c>
    </row>
    <row r="193">
      <c r="A193" s="2" t="inlineStr">
        <is>
          <t>HMY</t>
        </is>
      </c>
      <c r="B193" s="2" t="inlineStr">
        <is>
          <t>Harmony Gold Mining Co Ltd</t>
        </is>
      </c>
      <c r="C193" s="2" t="inlineStr">
        <is>
          <t>USD</t>
        </is>
      </c>
      <c r="D193" s="2" t="n">
        <v>2022</v>
      </c>
      <c r="E193" s="12" t="n">
        <v>44925</v>
      </c>
      <c r="F193" s="2" t="n">
        <v>3.99</v>
      </c>
      <c r="G193" s="2" t="n">
        <v>5.5</v>
      </c>
      <c r="H193" s="2" t="n">
        <v>1.94</v>
      </c>
      <c r="I193" s="2" t="n">
        <v>3.4</v>
      </c>
      <c r="J193" s="2" t="n">
        <v>3.5352</v>
      </c>
      <c r="K193" s="2" t="n">
        <v>0.039</v>
      </c>
      <c r="L193" s="13" t="n">
        <v>0.0115</v>
      </c>
      <c r="M193" s="13" t="n">
        <v>0.0443</v>
      </c>
      <c r="N193" s="2" t="n">
        <v>3.6307</v>
      </c>
      <c r="O193" s="2" t="n">
        <v>2024</v>
      </c>
      <c r="P193" s="2" t="n">
        <v>8.210000000000001</v>
      </c>
      <c r="Q193" s="13" t="n">
        <v>1.2613</v>
      </c>
    </row>
    <row r="194">
      <c r="A194" s="2" t="inlineStr">
        <is>
          <t>HMY</t>
        </is>
      </c>
      <c r="B194" s="2" t="inlineStr">
        <is>
          <t>Harmony Gold Mining Co Ltd</t>
        </is>
      </c>
      <c r="C194" s="2" t="inlineStr">
        <is>
          <t>USD</t>
        </is>
      </c>
      <c r="D194" s="2" t="n">
        <v>2023</v>
      </c>
      <c r="E194" s="12" t="n">
        <v>45289</v>
      </c>
      <c r="F194" s="2" t="n">
        <v>3.47</v>
      </c>
      <c r="G194" s="2" t="n">
        <v>6.58</v>
      </c>
      <c r="H194" s="2" t="n">
        <v>2.93</v>
      </c>
      <c r="I194" s="2" t="n">
        <v>6.15</v>
      </c>
      <c r="J194" s="2" t="n">
        <v>4.389</v>
      </c>
      <c r="K194" s="2" t="n">
        <v>0.04</v>
      </c>
      <c r="L194" s="13" t="n">
        <v>0.0065</v>
      </c>
      <c r="M194" s="13" t="n">
        <v>0.0425</v>
      </c>
      <c r="N194" s="2" t="n">
        <v>6.6091</v>
      </c>
      <c r="O194" s="2" t="n">
        <v>2025</v>
      </c>
      <c r="P194" s="2" t="n">
        <v>19.9</v>
      </c>
      <c r="Q194" s="13" t="n">
        <v>2.011</v>
      </c>
    </row>
    <row r="195">
      <c r="A195" s="2" t="inlineStr">
        <is>
          <t>HMY</t>
        </is>
      </c>
      <c r="B195" s="2" t="inlineStr">
        <is>
          <t>Harmony Gold Mining Co Ltd</t>
        </is>
      </c>
      <c r="C195" s="2" t="inlineStr">
        <is>
          <t>USD</t>
        </is>
      </c>
      <c r="D195" s="2" t="n">
        <v>2024</v>
      </c>
      <c r="E195" s="12" t="n">
        <v>45657</v>
      </c>
      <c r="F195" s="2" t="n">
        <v>6.29</v>
      </c>
      <c r="G195" s="2" t="n">
        <v>12.29</v>
      </c>
      <c r="H195" s="2" t="n">
        <v>5.4</v>
      </c>
      <c r="I195" s="2" t="n">
        <v>8.210000000000001</v>
      </c>
      <c r="J195" s="2" t="n">
        <v>8.728300000000001</v>
      </c>
      <c r="K195" s="2" t="n">
        <v>0.13</v>
      </c>
      <c r="L195" s="13" t="n">
        <v>0.0158</v>
      </c>
      <c r="M195" s="13" t="n">
        <v>0.0424</v>
      </c>
      <c r="N195" s="2" t="n">
        <v>8.657999999999999</v>
      </c>
      <c r="O195" s="2" t="n">
        <v>2026</v>
      </c>
      <c r="P195" s="2" t="n">
        <v>18.97</v>
      </c>
      <c r="Q195" s="13" t="n">
        <v>1.191</v>
      </c>
    </row>
    <row r="196">
      <c r="A196" s="2" t="inlineStr">
        <is>
          <t>HMY</t>
        </is>
      </c>
      <c r="B196" s="2" t="inlineStr">
        <is>
          <t>Harmony Gold Mining Co Ltd</t>
        </is>
      </c>
      <c r="C196" s="2" t="inlineStr">
        <is>
          <t>USD</t>
        </is>
      </c>
      <c r="D196" s="2" t="n">
        <v>2025</v>
      </c>
      <c r="E196" s="12" t="n">
        <v>46022</v>
      </c>
      <c r="F196" s="2" t="n">
        <v>8.42</v>
      </c>
      <c r="G196" s="2" t="n">
        <v>22.25</v>
      </c>
      <c r="H196" s="2" t="n">
        <v>8.24</v>
      </c>
      <c r="I196" s="2" t="n">
        <v>19.9</v>
      </c>
      <c r="J196" s="2" t="n">
        <v>15.067</v>
      </c>
      <c r="K196" s="2" t="n">
        <v>0.12</v>
      </c>
      <c r="L196" s="13" t="n">
        <v>0.006</v>
      </c>
      <c r="M196" s="13" t="n">
        <v>0.0348</v>
      </c>
      <c r="N196" s="2" t="n">
        <v>21.0786</v>
      </c>
      <c r="O196" s="2" t="n">
        <v>2027</v>
      </c>
      <c r="P196" s="2" t="n"/>
      <c r="Q196" s="13" t="n"/>
    </row>
    <row r="197">
      <c r="A197" s="2" t="inlineStr">
        <is>
          <t>HMY</t>
        </is>
      </c>
      <c r="B197" s="2" t="inlineStr">
        <is>
          <t>Harmony Gold Mining Co Ltd</t>
        </is>
      </c>
      <c r="C197" s="2" t="inlineStr">
        <is>
          <t>USD</t>
        </is>
      </c>
      <c r="D197" s="2" t="n">
        <v>2026</v>
      </c>
      <c r="E197" s="12" t="n">
        <v>46290</v>
      </c>
      <c r="F197" s="2" t="n">
        <v>20.21</v>
      </c>
      <c r="G197" s="2" t="n">
        <v>26.06</v>
      </c>
      <c r="H197" s="2" t="n">
        <v>13.03</v>
      </c>
      <c r="I197" s="2" t="n">
        <v>18.97</v>
      </c>
      <c r="J197" s="2" t="n">
        <v>18.2121</v>
      </c>
      <c r="K197" s="2" t="n">
        <v>0.312</v>
      </c>
      <c r="L197" s="13" t="n">
        <v>0.0164</v>
      </c>
      <c r="M197" s="13" t="n">
        <v>0.0348</v>
      </c>
      <c r="N197" s="2" t="n">
        <v>19.6792</v>
      </c>
      <c r="O197" s="2" t="n">
        <v>2028</v>
      </c>
      <c r="P197" s="2" t="n"/>
      <c r="Q197" s="13" t="n"/>
    </row>
    <row r="198">
      <c r="A198" s="2" t="inlineStr">
        <is>
          <t>IAU.TO</t>
        </is>
      </c>
      <c r="B198" s="2" t="inlineStr">
        <is>
          <t>i-80 Gold Corp</t>
        </is>
      </c>
      <c r="C198" s="2" t="inlineStr">
        <is>
          <t>CAD</t>
        </is>
      </c>
      <c r="D198" s="2" t="n">
        <v>2021</v>
      </c>
      <c r="E198" s="12" t="n">
        <v>44561</v>
      </c>
      <c r="F198" s="2" t="n">
        <v>3.05</v>
      </c>
      <c r="G198" s="2" t="n">
        <v>3.54</v>
      </c>
      <c r="H198" s="2" t="n">
        <v>2.26</v>
      </c>
      <c r="I198" s="2" t="n">
        <v>3.09</v>
      </c>
      <c r="J198" s="2" t="n">
        <v>2.7668</v>
      </c>
      <c r="K198" s="2" t="n">
        <v>0</v>
      </c>
      <c r="L198" s="13" t="n">
        <v>0</v>
      </c>
      <c r="M198" s="13" t="n">
        <v>0.0095</v>
      </c>
      <c r="N198" s="2" t="n">
        <v>3.1493</v>
      </c>
      <c r="O198" s="2" t="n">
        <v>2023</v>
      </c>
      <c r="P198" s="2" t="n">
        <v>2.33</v>
      </c>
      <c r="Q198" s="13" t="n">
        <v>-0.2601</v>
      </c>
    </row>
    <row r="199">
      <c r="A199" s="2" t="inlineStr">
        <is>
          <t>IAU.TO</t>
        </is>
      </c>
      <c r="B199" s="2" t="inlineStr">
        <is>
          <t>i-80 Gold Corp</t>
        </is>
      </c>
      <c r="C199" s="2" t="inlineStr">
        <is>
          <t>CAD</t>
        </is>
      </c>
      <c r="D199" s="2" t="n">
        <v>2022</v>
      </c>
      <c r="E199" s="12" t="n">
        <v>44925</v>
      </c>
      <c r="F199" s="2" t="n">
        <v>3.09</v>
      </c>
      <c r="G199" s="2" t="n">
        <v>4.07</v>
      </c>
      <c r="H199" s="2" t="n">
        <v>1.97</v>
      </c>
      <c r="I199" s="2" t="n">
        <v>3.78</v>
      </c>
      <c r="J199" s="2" t="n">
        <v>2.9212</v>
      </c>
      <c r="K199" s="2" t="n">
        <v>0</v>
      </c>
      <c r="L199" s="13" t="n">
        <v>0</v>
      </c>
      <c r="M199" s="13" t="n">
        <v>0.0405</v>
      </c>
      <c r="N199" s="2" t="n">
        <v>4.0989</v>
      </c>
      <c r="O199" s="2" t="n">
        <v>2024</v>
      </c>
      <c r="P199" s="2" t="n">
        <v>0.6899999999999999</v>
      </c>
      <c r="Q199" s="13" t="n">
        <v>-0.8317</v>
      </c>
    </row>
    <row r="200">
      <c r="A200" s="2" t="inlineStr">
        <is>
          <t>IAU.TO</t>
        </is>
      </c>
      <c r="B200" s="2" t="inlineStr">
        <is>
          <t>i-80 Gold Corp</t>
        </is>
      </c>
      <c r="C200" s="2" t="inlineStr">
        <is>
          <t>CAD</t>
        </is>
      </c>
      <c r="D200" s="2" t="n">
        <v>2023</v>
      </c>
      <c r="E200" s="12" t="n">
        <v>45289</v>
      </c>
      <c r="F200" s="2" t="n">
        <v>3.9</v>
      </c>
      <c r="G200" s="2" t="n">
        <v>4.22</v>
      </c>
      <c r="H200" s="2" t="n">
        <v>1.73</v>
      </c>
      <c r="I200" s="2" t="n">
        <v>2.33</v>
      </c>
      <c r="J200" s="2" t="n">
        <v>2.8063</v>
      </c>
      <c r="K200" s="2" t="n">
        <v>0</v>
      </c>
      <c r="L200" s="13" t="n">
        <v>0</v>
      </c>
      <c r="M200" s="13" t="n">
        <v>0.0388</v>
      </c>
      <c r="N200" s="2" t="n">
        <v>2.518</v>
      </c>
      <c r="O200" s="2" t="n">
        <v>2025</v>
      </c>
      <c r="P200" s="2" t="n">
        <v>2.02</v>
      </c>
      <c r="Q200" s="13" t="n">
        <v>-0.1978</v>
      </c>
    </row>
    <row r="201">
      <c r="A201" s="2" t="inlineStr">
        <is>
          <t>IAU.TO</t>
        </is>
      </c>
      <c r="B201" s="2" t="inlineStr">
        <is>
          <t>i-80 Gold Corp</t>
        </is>
      </c>
      <c r="C201" s="2" t="inlineStr">
        <is>
          <t>CAD</t>
        </is>
      </c>
      <c r="D201" s="2" t="n">
        <v>2024</v>
      </c>
      <c r="E201" s="12" t="n">
        <v>45657</v>
      </c>
      <c r="F201" s="2" t="n">
        <v>2.34</v>
      </c>
      <c r="G201" s="2" t="n">
        <v>2.4</v>
      </c>
      <c r="H201" s="2" t="n">
        <v>0.47</v>
      </c>
      <c r="I201" s="2" t="n">
        <v>0.6899999999999999</v>
      </c>
      <c r="J201" s="2" t="n">
        <v>1.5227</v>
      </c>
      <c r="K201" s="2" t="n">
        <v>0</v>
      </c>
      <c r="L201" s="13" t="n">
        <v>0</v>
      </c>
      <c r="M201" s="13" t="n">
        <v>0.0293</v>
      </c>
      <c r="N201" s="2" t="n">
        <v>0.7316</v>
      </c>
      <c r="O201" s="2" t="n">
        <v>2026</v>
      </c>
      <c r="P201" s="2" t="n">
        <v>2.48</v>
      </c>
      <c r="Q201" s="13" t="n">
        <v>2.3896</v>
      </c>
    </row>
    <row r="202">
      <c r="A202" s="2" t="inlineStr">
        <is>
          <t>IAU.TO</t>
        </is>
      </c>
      <c r="B202" s="2" t="inlineStr">
        <is>
          <t>i-80 Gold Corp</t>
        </is>
      </c>
      <c r="C202" s="2" t="inlineStr">
        <is>
          <t>CAD</t>
        </is>
      </c>
      <c r="D202" s="2" t="n">
        <v>2025</v>
      </c>
      <c r="E202" s="12" t="n">
        <v>46022</v>
      </c>
      <c r="F202" s="2" t="n">
        <v>0.77</v>
      </c>
      <c r="G202" s="2" t="n">
        <v>2.2</v>
      </c>
      <c r="H202" s="2" t="n">
        <v>0.67</v>
      </c>
      <c r="I202" s="2" t="n">
        <v>2.02</v>
      </c>
      <c r="J202" s="2" t="n">
        <v>1.0841</v>
      </c>
      <c r="K202" s="2" t="n">
        <v>0</v>
      </c>
      <c r="L202" s="13" t="n">
        <v>0</v>
      </c>
      <c r="M202" s="13" t="n">
        <v>0.026</v>
      </c>
      <c r="N202" s="2" t="n">
        <v>2.1278</v>
      </c>
      <c r="O202" s="2" t="n">
        <v>2027</v>
      </c>
      <c r="P202" s="2" t="n"/>
      <c r="Q202" s="13" t="n"/>
    </row>
    <row r="203">
      <c r="A203" s="2" t="inlineStr">
        <is>
          <t>IAU.TO</t>
        </is>
      </c>
      <c r="B203" s="2" t="inlineStr">
        <is>
          <t>i-80 Gold Corp</t>
        </is>
      </c>
      <c r="C203" s="2" t="inlineStr">
        <is>
          <t>CAD</t>
        </is>
      </c>
      <c r="D203" s="2" t="n">
        <v>2026</v>
      </c>
      <c r="E203" s="12" t="n">
        <v>46290</v>
      </c>
      <c r="F203" s="2" t="n">
        <v>2.1</v>
      </c>
      <c r="G203" s="2" t="n">
        <v>3.04</v>
      </c>
      <c r="H203" s="2" t="n">
        <v>1.7</v>
      </c>
      <c r="I203" s="2" t="n">
        <v>2.48</v>
      </c>
      <c r="J203" s="2" t="n">
        <v>2.2388</v>
      </c>
      <c r="K203" s="2" t="n">
        <v>0</v>
      </c>
      <c r="L203" s="13" t="n">
        <v>0</v>
      </c>
      <c r="M203" s="13" t="n">
        <v>0.026</v>
      </c>
      <c r="N203" s="2" t="n">
        <v>2.6124</v>
      </c>
      <c r="O203" s="2" t="n">
        <v>2028</v>
      </c>
      <c r="P203" s="2" t="n"/>
      <c r="Q203" s="13" t="n"/>
    </row>
    <row r="204">
      <c r="A204" s="2" t="inlineStr">
        <is>
          <t>IMG.TO</t>
        </is>
      </c>
      <c r="B204" s="2" t="inlineStr">
        <is>
          <t>IAMGOLD Corp</t>
        </is>
      </c>
      <c r="C204" s="2" t="inlineStr">
        <is>
          <t>CAD</t>
        </is>
      </c>
      <c r="D204" s="2" t="n">
        <v>2017</v>
      </c>
      <c r="E204" s="12" t="n">
        <v>43098</v>
      </c>
      <c r="F204" s="2" t="n">
        <v>5.18</v>
      </c>
      <c r="G204" s="2" t="n">
        <v>8.869999999999999</v>
      </c>
      <c r="H204" s="2" t="n">
        <v>4.54</v>
      </c>
      <c r="I204" s="2" t="n">
        <v>7.33</v>
      </c>
      <c r="J204" s="2" t="n">
        <v>6.5416</v>
      </c>
      <c r="K204" s="2" t="n">
        <v>0</v>
      </c>
      <c r="L204" s="13" t="n">
        <v>0</v>
      </c>
      <c r="M204" s="13" t="n">
        <v>0.0169</v>
      </c>
      <c r="N204" s="2" t="n">
        <v>7.582</v>
      </c>
      <c r="O204" s="2" t="n">
        <v>2019</v>
      </c>
      <c r="P204" s="2" t="n">
        <v>4.85</v>
      </c>
      <c r="Q204" s="13" t="n">
        <v>-0.3603</v>
      </c>
    </row>
    <row r="205">
      <c r="A205" s="2" t="inlineStr">
        <is>
          <t>IMG.TO</t>
        </is>
      </c>
      <c r="B205" s="2" t="inlineStr">
        <is>
          <t>IAMGOLD Corp</t>
        </is>
      </c>
      <c r="C205" s="2" t="inlineStr">
        <is>
          <t>CAD</t>
        </is>
      </c>
      <c r="D205" s="2" t="n">
        <v>2018</v>
      </c>
      <c r="E205" s="12" t="n">
        <v>43465</v>
      </c>
      <c r="F205" s="2" t="n">
        <v>7.4</v>
      </c>
      <c r="G205" s="2" t="n">
        <v>8.199999999999999</v>
      </c>
      <c r="H205" s="2" t="n">
        <v>3.64</v>
      </c>
      <c r="I205" s="2" t="n">
        <v>5.01</v>
      </c>
      <c r="J205" s="2" t="n">
        <v>6.3299</v>
      </c>
      <c r="K205" s="2" t="n">
        <v>0</v>
      </c>
      <c r="L205" s="13" t="n">
        <v>0</v>
      </c>
      <c r="M205" s="13" t="n">
        <v>0.0186</v>
      </c>
      <c r="N205" s="2" t="n">
        <v>5.1999</v>
      </c>
      <c r="O205" s="2" t="n">
        <v>2020</v>
      </c>
      <c r="P205" s="2" t="n">
        <v>4.67</v>
      </c>
      <c r="Q205" s="13" t="n">
        <v>-0.1019</v>
      </c>
    </row>
    <row r="206">
      <c r="A206" s="2" t="inlineStr">
        <is>
          <t>IMG.TO</t>
        </is>
      </c>
      <c r="B206" s="2" t="inlineStr">
        <is>
          <t>IAMGOLD Corp</t>
        </is>
      </c>
      <c r="C206" s="2" t="inlineStr">
        <is>
          <t>CAD</t>
        </is>
      </c>
      <c r="D206" s="2" t="n">
        <v>2019</v>
      </c>
      <c r="E206" s="12" t="n">
        <v>43830</v>
      </c>
      <c r="F206" s="2" t="n">
        <v>4.96</v>
      </c>
      <c r="G206" s="2" t="n">
        <v>5.55</v>
      </c>
      <c r="H206" s="2" t="n">
        <v>3.08</v>
      </c>
      <c r="I206" s="2" t="n">
        <v>4.85</v>
      </c>
      <c r="J206" s="2" t="n">
        <v>4.4879</v>
      </c>
      <c r="K206" s="2" t="n">
        <v>0</v>
      </c>
      <c r="L206" s="13" t="n">
        <v>0</v>
      </c>
      <c r="M206" s="13" t="n">
        <v>0.017</v>
      </c>
      <c r="N206" s="2" t="n">
        <v>5.0177</v>
      </c>
      <c r="O206" s="2" t="n">
        <v>2021</v>
      </c>
      <c r="P206" s="2" t="n">
        <v>3.94</v>
      </c>
      <c r="Q206" s="13" t="n">
        <v>-0.2148</v>
      </c>
    </row>
    <row r="207">
      <c r="A207" s="2" t="inlineStr">
        <is>
          <t>IMG.TO</t>
        </is>
      </c>
      <c r="B207" s="2" t="inlineStr">
        <is>
          <t>IAMGOLD Corp</t>
        </is>
      </c>
      <c r="C207" s="2" t="inlineStr">
        <is>
          <t>CAD</t>
        </is>
      </c>
      <c r="D207" s="2" t="n">
        <v>2020</v>
      </c>
      <c r="E207" s="12" t="n">
        <v>44196</v>
      </c>
      <c r="F207" s="2" t="n">
        <v>4.86</v>
      </c>
      <c r="G207" s="2" t="n">
        <v>7.07</v>
      </c>
      <c r="H207" s="2" t="n">
        <v>2</v>
      </c>
      <c r="I207" s="2" t="n">
        <v>4.67</v>
      </c>
      <c r="J207" s="2" t="n">
        <v>4.8016</v>
      </c>
      <c r="K207" s="2" t="n">
        <v>0</v>
      </c>
      <c r="L207" s="13" t="n">
        <v>0</v>
      </c>
      <c r="M207" s="13" t="n">
        <v>0.002</v>
      </c>
      <c r="N207" s="2" t="n">
        <v>4.6887</v>
      </c>
      <c r="O207" s="2" t="n">
        <v>2022</v>
      </c>
      <c r="P207" s="2" t="n">
        <v>3.47</v>
      </c>
      <c r="Q207" s="13" t="n">
        <v>-0.2599</v>
      </c>
    </row>
    <row r="208">
      <c r="A208" s="2" t="inlineStr">
        <is>
          <t>IMG.TO</t>
        </is>
      </c>
      <c r="B208" s="2" t="inlineStr">
        <is>
          <t>IAMGOLD Corp</t>
        </is>
      </c>
      <c r="C208" s="2" t="inlineStr">
        <is>
          <t>CAD</t>
        </is>
      </c>
      <c r="D208" s="2" t="n">
        <v>2021</v>
      </c>
      <c r="E208" s="12" t="n">
        <v>44561</v>
      </c>
      <c r="F208" s="2" t="n">
        <v>4.85</v>
      </c>
      <c r="G208" s="2" t="n">
        <v>5.04</v>
      </c>
      <c r="H208" s="2" t="n">
        <v>2.75</v>
      </c>
      <c r="I208" s="2" t="n">
        <v>3.94</v>
      </c>
      <c r="J208" s="2" t="n">
        <v>3.7896</v>
      </c>
      <c r="K208" s="2" t="n">
        <v>0</v>
      </c>
      <c r="L208" s="13" t="n">
        <v>0</v>
      </c>
      <c r="M208" s="13" t="n">
        <v>0.0095</v>
      </c>
      <c r="N208" s="2" t="n">
        <v>4.0156</v>
      </c>
      <c r="O208" s="2" t="n">
        <v>2023</v>
      </c>
      <c r="P208" s="2" t="n">
        <v>3.34</v>
      </c>
      <c r="Q208" s="13" t="n">
        <v>-0.1682</v>
      </c>
    </row>
    <row r="209">
      <c r="A209" s="2" t="inlineStr">
        <is>
          <t>IMG.TO</t>
        </is>
      </c>
      <c r="B209" s="2" t="inlineStr">
        <is>
          <t>IAMGOLD Corp</t>
        </is>
      </c>
      <c r="C209" s="2" t="inlineStr">
        <is>
          <t>CAD</t>
        </is>
      </c>
      <c r="D209" s="2" t="n">
        <v>2022</v>
      </c>
      <c r="E209" s="12" t="n">
        <v>44925</v>
      </c>
      <c r="F209" s="2" t="n">
        <v>3.85</v>
      </c>
      <c r="G209" s="2" t="n">
        <v>4.74</v>
      </c>
      <c r="H209" s="2" t="n">
        <v>1.26</v>
      </c>
      <c r="I209" s="2" t="n">
        <v>3.47</v>
      </c>
      <c r="J209" s="2" t="n">
        <v>2.7649</v>
      </c>
      <c r="K209" s="2" t="n">
        <v>0</v>
      </c>
      <c r="L209" s="13" t="n">
        <v>0</v>
      </c>
      <c r="M209" s="13" t="n">
        <v>0.0405</v>
      </c>
      <c r="N209" s="2" t="n">
        <v>3.7628</v>
      </c>
      <c r="O209" s="2" t="n">
        <v>2024</v>
      </c>
      <c r="P209" s="2" t="n">
        <v>7.43</v>
      </c>
      <c r="Q209" s="13" t="n">
        <v>0.9746</v>
      </c>
    </row>
    <row r="210">
      <c r="A210" s="2" t="inlineStr">
        <is>
          <t>IMG.TO</t>
        </is>
      </c>
      <c r="B210" s="2" t="inlineStr">
        <is>
          <t>IAMGOLD Corp</t>
        </is>
      </c>
      <c r="C210" s="2" t="inlineStr">
        <is>
          <t>CAD</t>
        </is>
      </c>
      <c r="D210" s="2" t="n">
        <v>2023</v>
      </c>
      <c r="E210" s="12" t="n">
        <v>45289</v>
      </c>
      <c r="F210" s="2" t="n">
        <v>3.5</v>
      </c>
      <c r="G210" s="2" t="n">
        <v>4.53</v>
      </c>
      <c r="H210" s="2" t="n">
        <v>2.71</v>
      </c>
      <c r="I210" s="2" t="n">
        <v>3.34</v>
      </c>
      <c r="J210" s="2" t="n">
        <v>3.4782</v>
      </c>
      <c r="K210" s="2" t="n">
        <v>0</v>
      </c>
      <c r="L210" s="13" t="n">
        <v>0</v>
      </c>
      <c r="M210" s="13" t="n">
        <v>0.0388</v>
      </c>
      <c r="N210" s="2" t="n">
        <v>3.6095</v>
      </c>
      <c r="O210" s="2" t="n">
        <v>2025</v>
      </c>
      <c r="P210" s="2" t="n">
        <v>22.65</v>
      </c>
      <c r="Q210" s="13" t="n">
        <v>5.2751</v>
      </c>
    </row>
    <row r="211">
      <c r="A211" s="2" t="inlineStr">
        <is>
          <t>IMG.TO</t>
        </is>
      </c>
      <c r="B211" s="2" t="inlineStr">
        <is>
          <t>IAMGOLD Corp</t>
        </is>
      </c>
      <c r="C211" s="2" t="inlineStr">
        <is>
          <t>CAD</t>
        </is>
      </c>
      <c r="D211" s="2" t="n">
        <v>2024</v>
      </c>
      <c r="E211" s="12" t="n">
        <v>45657</v>
      </c>
      <c r="F211" s="2" t="n">
        <v>3.3</v>
      </c>
      <c r="G211" s="2" t="n">
        <v>8.800000000000001</v>
      </c>
      <c r="H211" s="2" t="n">
        <v>3</v>
      </c>
      <c r="I211" s="2" t="n">
        <v>7.43</v>
      </c>
      <c r="J211" s="2" t="n">
        <v>5.66</v>
      </c>
      <c r="K211" s="2" t="n">
        <v>0</v>
      </c>
      <c r="L211" s="13" t="n">
        <v>0</v>
      </c>
      <c r="M211" s="13" t="n">
        <v>0.0293</v>
      </c>
      <c r="N211" s="2" t="n">
        <v>7.8784</v>
      </c>
      <c r="O211" s="2" t="n">
        <v>2026</v>
      </c>
      <c r="P211" s="2" t="n">
        <v>27.85</v>
      </c>
      <c r="Q211" s="13" t="n">
        <v>2.535</v>
      </c>
    </row>
    <row r="212">
      <c r="A212" s="2" t="inlineStr">
        <is>
          <t>IMG.TO</t>
        </is>
      </c>
      <c r="B212" s="2" t="inlineStr">
        <is>
          <t>IAMGOLD Corp</t>
        </is>
      </c>
      <c r="C212" s="2" t="inlineStr">
        <is>
          <t>CAD</t>
        </is>
      </c>
      <c r="D212" s="2" t="n">
        <v>2025</v>
      </c>
      <c r="E212" s="12" t="n">
        <v>46022</v>
      </c>
      <c r="F212" s="2" t="n">
        <v>7.57</v>
      </c>
      <c r="G212" s="2" t="n">
        <v>24.63</v>
      </c>
      <c r="H212" s="2" t="n">
        <v>7.27</v>
      </c>
      <c r="I212" s="2" t="n">
        <v>22.65</v>
      </c>
      <c r="J212" s="2" t="n">
        <v>12.4904</v>
      </c>
      <c r="K212" s="2" t="n">
        <v>0</v>
      </c>
      <c r="L212" s="13" t="n">
        <v>0</v>
      </c>
      <c r="M212" s="13" t="n">
        <v>0.026</v>
      </c>
      <c r="N212" s="2" t="n">
        <v>23.859</v>
      </c>
      <c r="O212" s="2" t="n">
        <v>2027</v>
      </c>
      <c r="P212" s="2" t="n"/>
      <c r="Q212" s="13" t="n"/>
    </row>
    <row r="213">
      <c r="A213" s="2" t="inlineStr">
        <is>
          <t>IMG.TO</t>
        </is>
      </c>
      <c r="B213" s="2" t="inlineStr">
        <is>
          <t>IAMGOLD Corp</t>
        </is>
      </c>
      <c r="C213" s="2" t="inlineStr">
        <is>
          <t>CAD</t>
        </is>
      </c>
      <c r="D213" s="2" t="n">
        <v>2026</v>
      </c>
      <c r="E213" s="12" t="n">
        <v>46290</v>
      </c>
      <c r="F213" s="2" t="n">
        <v>23</v>
      </c>
      <c r="G213" s="2" t="n">
        <v>34.09</v>
      </c>
      <c r="H213" s="2" t="n">
        <v>19.2</v>
      </c>
      <c r="I213" s="2" t="n">
        <v>27.85</v>
      </c>
      <c r="J213" s="2" t="n">
        <v>25.4513</v>
      </c>
      <c r="K213" s="2" t="n">
        <v>0</v>
      </c>
      <c r="L213" s="13" t="n">
        <v>0</v>
      </c>
      <c r="M213" s="13" t="n">
        <v>0.026</v>
      </c>
      <c r="N213" s="2" t="n">
        <v>29.3365</v>
      </c>
      <c r="O213" s="2" t="n">
        <v>2028</v>
      </c>
      <c r="P213" s="2" t="n"/>
      <c r="Q213" s="13" t="n"/>
    </row>
    <row r="214">
      <c r="A214" s="2" t="inlineStr">
        <is>
          <t>K.TO</t>
        </is>
      </c>
      <c r="B214" s="2" t="inlineStr">
        <is>
          <t>Kinross Gold Corp</t>
        </is>
      </c>
      <c r="C214" s="2" t="inlineStr">
        <is>
          <t>CAD</t>
        </is>
      </c>
      <c r="D214" s="2" t="n">
        <v>2017</v>
      </c>
      <c r="E214" s="12" t="n">
        <v>43098</v>
      </c>
      <c r="F214" s="2" t="n">
        <v>4.23</v>
      </c>
      <c r="G214" s="2" t="n">
        <v>6.29</v>
      </c>
      <c r="H214" s="2" t="n">
        <v>4.21</v>
      </c>
      <c r="I214" s="2" t="n">
        <v>5.42</v>
      </c>
      <c r="J214" s="2" t="n">
        <v>5.1812</v>
      </c>
      <c r="K214" s="2" t="n">
        <v>0</v>
      </c>
      <c r="L214" s="13" t="n">
        <v>0</v>
      </c>
      <c r="M214" s="13" t="n">
        <v>0.0169</v>
      </c>
      <c r="N214" s="2" t="n">
        <v>5.6063</v>
      </c>
      <c r="O214" s="2" t="n">
        <v>2019</v>
      </c>
      <c r="P214" s="2" t="n">
        <v>6.16</v>
      </c>
      <c r="Q214" s="13" t="n">
        <v>0.0988</v>
      </c>
    </row>
    <row r="215">
      <c r="A215" s="2" t="inlineStr">
        <is>
          <t>K.TO</t>
        </is>
      </c>
      <c r="B215" s="2" t="inlineStr">
        <is>
          <t>Kinross Gold Corp</t>
        </is>
      </c>
      <c r="C215" s="2" t="inlineStr">
        <is>
          <t>CAD</t>
        </is>
      </c>
      <c r="D215" s="2" t="n">
        <v>2018</v>
      </c>
      <c r="E215" s="12" t="n">
        <v>43465</v>
      </c>
      <c r="F215" s="2" t="n">
        <v>5.46</v>
      </c>
      <c r="G215" s="2" t="n">
        <v>5.9</v>
      </c>
      <c r="H215" s="2" t="n">
        <v>3.15</v>
      </c>
      <c r="I215" s="2" t="n">
        <v>4.4</v>
      </c>
      <c r="J215" s="2" t="n">
        <v>4.4565</v>
      </c>
      <c r="K215" s="2" t="n">
        <v>0</v>
      </c>
      <c r="L215" s="13" t="n">
        <v>0</v>
      </c>
      <c r="M215" s="13" t="n">
        <v>0.0186</v>
      </c>
      <c r="N215" s="2" t="n">
        <v>4.5668</v>
      </c>
      <c r="O215" s="2" t="n">
        <v>2020</v>
      </c>
      <c r="P215" s="2" t="n">
        <v>9.34</v>
      </c>
      <c r="Q215" s="13" t="n">
        <v>1.0452</v>
      </c>
    </row>
    <row r="216">
      <c r="A216" s="2" t="inlineStr">
        <is>
          <t>K.TO</t>
        </is>
      </c>
      <c r="B216" s="2" t="inlineStr">
        <is>
          <t>Kinross Gold Corp</t>
        </is>
      </c>
      <c r="C216" s="2" t="inlineStr">
        <is>
          <t>CAD</t>
        </is>
      </c>
      <c r="D216" s="2" t="n">
        <v>2019</v>
      </c>
      <c r="E216" s="12" t="n">
        <v>43830</v>
      </c>
      <c r="F216" s="2" t="n">
        <v>4.44</v>
      </c>
      <c r="G216" s="2" t="n">
        <v>7.24</v>
      </c>
      <c r="H216" s="2" t="n">
        <v>4.04</v>
      </c>
      <c r="I216" s="2" t="n">
        <v>6.16</v>
      </c>
      <c r="J216" s="2" t="n">
        <v>5.2574</v>
      </c>
      <c r="K216" s="2" t="n">
        <v>0</v>
      </c>
      <c r="L216" s="13" t="n">
        <v>0</v>
      </c>
      <c r="M216" s="13" t="n">
        <v>0.017</v>
      </c>
      <c r="N216" s="2" t="n">
        <v>6.373</v>
      </c>
      <c r="O216" s="2" t="n">
        <v>2021</v>
      </c>
      <c r="P216" s="2" t="n">
        <v>7.34</v>
      </c>
      <c r="Q216" s="13" t="n">
        <v>0.1517</v>
      </c>
    </row>
    <row r="217">
      <c r="A217" s="2" t="inlineStr">
        <is>
          <t>K.TO</t>
        </is>
      </c>
      <c r="B217" s="2" t="inlineStr">
        <is>
          <t>Kinross Gold Corp</t>
        </is>
      </c>
      <c r="C217" s="2" t="inlineStr">
        <is>
          <t>CAD</t>
        </is>
      </c>
      <c r="D217" s="2" t="n">
        <v>2020</v>
      </c>
      <c r="E217" s="12" t="n">
        <v>44196</v>
      </c>
      <c r="F217" s="2" t="n">
        <v>6.23</v>
      </c>
      <c r="G217" s="2" t="n">
        <v>13.59</v>
      </c>
      <c r="H217" s="2" t="n">
        <v>4</v>
      </c>
      <c r="I217" s="2" t="n">
        <v>9.34</v>
      </c>
      <c r="J217" s="2" t="n">
        <v>9.336</v>
      </c>
      <c r="K217" s="2" t="n">
        <v>0.079</v>
      </c>
      <c r="L217" s="13" t="n">
        <v>0.008500000000000001</v>
      </c>
      <c r="M217" s="13" t="n">
        <v>0.002</v>
      </c>
      <c r="N217" s="2" t="n">
        <v>9.2201</v>
      </c>
      <c r="O217" s="2" t="n">
        <v>2022</v>
      </c>
      <c r="P217" s="2" t="n">
        <v>5.52</v>
      </c>
      <c r="Q217" s="13" t="n">
        <v>-0.4013</v>
      </c>
    </row>
    <row r="218">
      <c r="A218" s="2" t="inlineStr">
        <is>
          <t>K.TO</t>
        </is>
      </c>
      <c r="B218" s="2" t="inlineStr">
        <is>
          <t>Kinross Gold Corp</t>
        </is>
      </c>
      <c r="C218" s="2" t="inlineStr">
        <is>
          <t>CAD</t>
        </is>
      </c>
      <c r="D218" s="2" t="n">
        <v>2021</v>
      </c>
      <c r="E218" s="12" t="n">
        <v>44561</v>
      </c>
      <c r="F218" s="2" t="n">
        <v>9.77</v>
      </c>
      <c r="G218" s="2" t="n">
        <v>10.37</v>
      </c>
      <c r="H218" s="2" t="n">
        <v>6.35</v>
      </c>
      <c r="I218" s="2" t="n">
        <v>7.34</v>
      </c>
      <c r="J218" s="2" t="n">
        <v>8.2471</v>
      </c>
      <c r="K218" s="2" t="n">
        <v>0.15</v>
      </c>
      <c r="L218" s="13" t="n">
        <v>0.0204</v>
      </c>
      <c r="M218" s="13" t="n">
        <v>0.0095</v>
      </c>
      <c r="N218" s="2" t="n">
        <v>7.1812</v>
      </c>
      <c r="O218" s="2" t="n">
        <v>2023</v>
      </c>
      <c r="P218" s="2" t="n">
        <v>8.02</v>
      </c>
      <c r="Q218" s="13" t="n">
        <v>0.1168</v>
      </c>
    </row>
    <row r="219">
      <c r="A219" s="2" t="inlineStr">
        <is>
          <t>K.TO</t>
        </is>
      </c>
      <c r="B219" s="2" t="inlineStr">
        <is>
          <t>Kinross Gold Corp</t>
        </is>
      </c>
      <c r="C219" s="2" t="inlineStr">
        <is>
          <t>CAD</t>
        </is>
      </c>
      <c r="D219" s="2" t="n">
        <v>2022</v>
      </c>
      <c r="E219" s="12" t="n">
        <v>44925</v>
      </c>
      <c r="F219" s="2" t="n">
        <v>7.24</v>
      </c>
      <c r="G219" s="2" t="n">
        <v>7.99</v>
      </c>
      <c r="H219" s="2" t="n">
        <v>3.92</v>
      </c>
      <c r="I219" s="2" t="n">
        <v>5.52</v>
      </c>
      <c r="J219" s="2" t="n">
        <v>5.7494</v>
      </c>
      <c r="K219" s="2" t="n">
        <v>0.156</v>
      </c>
      <c r="L219" s="13" t="n">
        <v>0.0283</v>
      </c>
      <c r="M219" s="13" t="n">
        <v>0.0405</v>
      </c>
      <c r="N219" s="2" t="n">
        <v>5.6568</v>
      </c>
      <c r="O219" s="2" t="n">
        <v>2024</v>
      </c>
      <c r="P219" s="2" t="n">
        <v>13.35</v>
      </c>
      <c r="Q219" s="13" t="n">
        <v>1.36</v>
      </c>
    </row>
    <row r="220">
      <c r="A220" s="2" t="inlineStr">
        <is>
          <t>K.TO</t>
        </is>
      </c>
      <c r="B220" s="2" t="inlineStr">
        <is>
          <t>Kinross Gold Corp</t>
        </is>
      </c>
      <c r="C220" s="2" t="inlineStr">
        <is>
          <t>CAD</t>
        </is>
      </c>
      <c r="D220" s="2" t="n">
        <v>2023</v>
      </c>
      <c r="E220" s="12" t="n">
        <v>45289</v>
      </c>
      <c r="F220" s="2" t="n">
        <v>5.68</v>
      </c>
      <c r="G220" s="2" t="n">
        <v>8.390000000000001</v>
      </c>
      <c r="H220" s="2" t="n">
        <v>4.71</v>
      </c>
      <c r="I220" s="2" t="n">
        <v>8.02</v>
      </c>
      <c r="J220" s="2" t="n">
        <v>6.6124</v>
      </c>
      <c r="K220" s="2" t="n">
        <v>0.164</v>
      </c>
      <c r="L220" s="13" t="n">
        <v>0.0204</v>
      </c>
      <c r="M220" s="13" t="n">
        <v>0.0388</v>
      </c>
      <c r="N220" s="2" t="n">
        <v>8.319800000000001</v>
      </c>
      <c r="O220" s="2" t="n">
        <v>2025</v>
      </c>
      <c r="P220" s="2" t="n">
        <v>38.66</v>
      </c>
      <c r="Q220" s="13" t="n">
        <v>3.6467</v>
      </c>
    </row>
    <row r="221">
      <c r="A221" s="2" t="inlineStr">
        <is>
          <t>K.TO</t>
        </is>
      </c>
      <c r="B221" s="2" t="inlineStr">
        <is>
          <t>Kinross Gold Corp</t>
        </is>
      </c>
      <c r="C221" s="2" t="inlineStr">
        <is>
          <t>CAD</t>
        </is>
      </c>
      <c r="D221" s="2" t="n">
        <v>2024</v>
      </c>
      <c r="E221" s="12" t="n">
        <v>45657</v>
      </c>
      <c r="F221" s="2" t="n">
        <v>8.029999999999999</v>
      </c>
      <c r="G221" s="2" t="n">
        <v>14.97</v>
      </c>
      <c r="H221" s="2" t="n">
        <v>6.46</v>
      </c>
      <c r="I221" s="2" t="n">
        <v>13.35</v>
      </c>
      <c r="J221" s="2" t="n">
        <v>10.8376</v>
      </c>
      <c r="K221" s="2" t="n">
        <v>0.165</v>
      </c>
      <c r="L221" s="13" t="n">
        <v>0.0124</v>
      </c>
      <c r="M221" s="13" t="n">
        <v>0.0293</v>
      </c>
      <c r="N221" s="2" t="n">
        <v>13.8101</v>
      </c>
      <c r="O221" s="2" t="n">
        <v>2026</v>
      </c>
      <c r="P221" s="2" t="n">
        <v>35.46</v>
      </c>
      <c r="Q221" s="13" t="n">
        <v>1.5677</v>
      </c>
    </row>
    <row r="222">
      <c r="A222" s="2" t="inlineStr">
        <is>
          <t>K.TO</t>
        </is>
      </c>
      <c r="B222" s="2" t="inlineStr">
        <is>
          <t>Kinross Gold Corp</t>
        </is>
      </c>
      <c r="C222" s="2" t="inlineStr">
        <is>
          <t>CAD</t>
        </is>
      </c>
      <c r="D222" s="2" t="n">
        <v>2025</v>
      </c>
      <c r="E222" s="12" t="n">
        <v>46022</v>
      </c>
      <c r="F222" s="2" t="n">
        <v>13.55</v>
      </c>
      <c r="G222" s="2" t="n">
        <v>40.96</v>
      </c>
      <c r="H222" s="2" t="n">
        <v>13.48</v>
      </c>
      <c r="I222" s="2" t="n">
        <v>38.66</v>
      </c>
      <c r="J222" s="2" t="n">
        <v>24.7847</v>
      </c>
      <c r="K222" s="2" t="n">
        <v>0.176</v>
      </c>
      <c r="L222" s="13" t="n">
        <v>0.0046</v>
      </c>
      <c r="M222" s="13" t="n">
        <v>0.026</v>
      </c>
      <c r="N222" s="2" t="n">
        <v>40.3544</v>
      </c>
      <c r="O222" s="2" t="n">
        <v>2027</v>
      </c>
      <c r="P222" s="2" t="n"/>
      <c r="Q222" s="13" t="n"/>
    </row>
    <row r="223">
      <c r="A223" s="2" t="inlineStr">
        <is>
          <t>K.TO</t>
        </is>
      </c>
      <c r="B223" s="2" t="inlineStr">
        <is>
          <t>Kinross Gold Corp</t>
        </is>
      </c>
      <c r="C223" s="2" t="inlineStr">
        <is>
          <t>CAD</t>
        </is>
      </c>
      <c r="D223" s="2" t="n">
        <v>2026</v>
      </c>
      <c r="E223" s="12" t="n">
        <v>46290</v>
      </c>
      <c r="F223" s="2" t="n">
        <v>39.24</v>
      </c>
      <c r="G223" s="2" t="n">
        <v>53.57</v>
      </c>
      <c r="H223" s="2" t="n">
        <v>31.25</v>
      </c>
      <c r="I223" s="2" t="n">
        <v>35.46</v>
      </c>
      <c r="J223" s="2" t="n">
        <v>41.1198</v>
      </c>
      <c r="K223" s="2" t="n">
        <v>0.164</v>
      </c>
      <c r="L223" s="13" t="n">
        <v>0.0046</v>
      </c>
      <c r="M223" s="13" t="n">
        <v>0.026</v>
      </c>
      <c r="N223" s="2" t="n">
        <v>37.0088</v>
      </c>
      <c r="O223" s="2" t="n">
        <v>2028</v>
      </c>
      <c r="P223" s="2" t="n"/>
      <c r="Q223" s="13" t="n"/>
    </row>
    <row r="224">
      <c r="A224" s="2" t="inlineStr">
        <is>
          <t>KNT.TO</t>
        </is>
      </c>
      <c r="B224" s="2" t="inlineStr">
        <is>
          <t>K92 Mining Inc</t>
        </is>
      </c>
      <c r="C224" s="2" t="inlineStr">
        <is>
          <t>CAD</t>
        </is>
      </c>
      <c r="D224" s="2" t="n">
        <v>2017</v>
      </c>
      <c r="E224" s="12" t="n">
        <v>43098</v>
      </c>
      <c r="F224" s="2" t="n">
        <v>0.97</v>
      </c>
      <c r="G224" s="2" t="n">
        <v>1.17</v>
      </c>
      <c r="H224" s="2" t="n">
        <v>0.405</v>
      </c>
      <c r="I224" s="2" t="n">
        <v>0.54</v>
      </c>
      <c r="J224" s="2" t="n">
        <v>0.7202</v>
      </c>
      <c r="K224" s="2" t="n">
        <v>0</v>
      </c>
      <c r="L224" s="13" t="n">
        <v>0</v>
      </c>
      <c r="M224" s="13" t="n">
        <v>0.0169</v>
      </c>
      <c r="N224" s="2" t="n">
        <v>0.5586</v>
      </c>
      <c r="O224" s="2" t="n">
        <v>2019</v>
      </c>
      <c r="P224" s="2" t="n">
        <v>2.88</v>
      </c>
      <c r="Q224" s="13" t="n">
        <v>4.1561</v>
      </c>
    </row>
    <row r="225">
      <c r="A225" s="2" t="inlineStr">
        <is>
          <t>KNT.TO</t>
        </is>
      </c>
      <c r="B225" s="2" t="inlineStr">
        <is>
          <t>K92 Mining Inc</t>
        </is>
      </c>
      <c r="C225" s="2" t="inlineStr">
        <is>
          <t>CAD</t>
        </is>
      </c>
      <c r="D225" s="2" t="n">
        <v>2018</v>
      </c>
      <c r="E225" s="12" t="n">
        <v>43465</v>
      </c>
      <c r="F225" s="2" t="n">
        <v>0.54</v>
      </c>
      <c r="G225" s="2" t="n">
        <v>1.04</v>
      </c>
      <c r="H225" s="2" t="n">
        <v>0.42</v>
      </c>
      <c r="I225" s="2" t="n">
        <v>0.84</v>
      </c>
      <c r="J225" s="2" t="n">
        <v>0.7366</v>
      </c>
      <c r="K225" s="2" t="n">
        <v>0</v>
      </c>
      <c r="L225" s="13" t="n">
        <v>0</v>
      </c>
      <c r="M225" s="13" t="n">
        <v>0.0186</v>
      </c>
      <c r="N225" s="2" t="n">
        <v>0.8718</v>
      </c>
      <c r="O225" s="2" t="n">
        <v>2020</v>
      </c>
      <c r="P225" s="2" t="n">
        <v>7.61</v>
      </c>
      <c r="Q225" s="13" t="n">
        <v>7.7287</v>
      </c>
    </row>
    <row r="226">
      <c r="A226" s="2" t="inlineStr">
        <is>
          <t>KNT.TO</t>
        </is>
      </c>
      <c r="B226" s="2" t="inlineStr">
        <is>
          <t>K92 Mining Inc</t>
        </is>
      </c>
      <c r="C226" s="2" t="inlineStr">
        <is>
          <t>CAD</t>
        </is>
      </c>
      <c r="D226" s="2" t="n">
        <v>2019</v>
      </c>
      <c r="E226" s="12" t="n">
        <v>43830</v>
      </c>
      <c r="F226" s="2" t="n">
        <v>0.84</v>
      </c>
      <c r="G226" s="2" t="n">
        <v>2.96</v>
      </c>
      <c r="H226" s="2" t="n">
        <v>0.84</v>
      </c>
      <c r="I226" s="2" t="n">
        <v>2.88</v>
      </c>
      <c r="J226" s="2" t="n">
        <v>1.8316</v>
      </c>
      <c r="K226" s="2" t="n">
        <v>0</v>
      </c>
      <c r="L226" s="13" t="n">
        <v>0</v>
      </c>
      <c r="M226" s="13" t="n">
        <v>0.017</v>
      </c>
      <c r="N226" s="2" t="n">
        <v>2.9796</v>
      </c>
      <c r="O226" s="2" t="n">
        <v>2021</v>
      </c>
      <c r="P226" s="2" t="n">
        <v>7.19</v>
      </c>
      <c r="Q226" s="13" t="n">
        <v>1.4131</v>
      </c>
    </row>
    <row r="227">
      <c r="A227" s="2" t="inlineStr">
        <is>
          <t>KNT.TO</t>
        </is>
      </c>
      <c r="B227" s="2" t="inlineStr">
        <is>
          <t>K92 Mining Inc</t>
        </is>
      </c>
      <c r="C227" s="2" t="inlineStr">
        <is>
          <t>CAD</t>
        </is>
      </c>
      <c r="D227" s="2" t="n">
        <v>2020</v>
      </c>
      <c r="E227" s="12" t="n">
        <v>44196</v>
      </c>
      <c r="F227" s="2" t="n">
        <v>2.97</v>
      </c>
      <c r="G227" s="2" t="n">
        <v>8.5</v>
      </c>
      <c r="H227" s="2" t="n">
        <v>1.55</v>
      </c>
      <c r="I227" s="2" t="n">
        <v>7.61</v>
      </c>
      <c r="J227" s="2" t="n">
        <v>5.2281</v>
      </c>
      <c r="K227" s="2" t="n">
        <v>0</v>
      </c>
      <c r="L227" s="13" t="n">
        <v>0</v>
      </c>
      <c r="M227" s="13" t="n">
        <v>0.002</v>
      </c>
      <c r="N227" s="2" t="n">
        <v>7.6405</v>
      </c>
      <c r="O227" s="2" t="n">
        <v>2022</v>
      </c>
      <c r="P227" s="2" t="n">
        <v>7.67</v>
      </c>
      <c r="Q227" s="13" t="n">
        <v>0.0039</v>
      </c>
    </row>
    <row r="228">
      <c r="A228" s="2" t="inlineStr">
        <is>
          <t>KNT.TO</t>
        </is>
      </c>
      <c r="B228" s="2" t="inlineStr">
        <is>
          <t>K92 Mining Inc</t>
        </is>
      </c>
      <c r="C228" s="2" t="inlineStr">
        <is>
          <t>CAD</t>
        </is>
      </c>
      <c r="D228" s="2" t="n">
        <v>2021</v>
      </c>
      <c r="E228" s="12" t="n">
        <v>44561</v>
      </c>
      <c r="F228" s="2" t="n">
        <v>7.85</v>
      </c>
      <c r="G228" s="2" t="n">
        <v>9.359999999999999</v>
      </c>
      <c r="H228" s="2" t="n">
        <v>5.75</v>
      </c>
      <c r="I228" s="2" t="n">
        <v>7.19</v>
      </c>
      <c r="J228" s="2" t="n">
        <v>7.5623</v>
      </c>
      <c r="K228" s="2" t="n">
        <v>0</v>
      </c>
      <c r="L228" s="13" t="n">
        <v>0</v>
      </c>
      <c r="M228" s="13" t="n">
        <v>0.0095</v>
      </c>
      <c r="N228" s="2" t="n">
        <v>7.3279</v>
      </c>
      <c r="O228" s="2" t="n">
        <v>2023</v>
      </c>
      <c r="P228" s="2" t="n">
        <v>6.51</v>
      </c>
      <c r="Q228" s="13" t="n">
        <v>-0.1116</v>
      </c>
    </row>
    <row r="229">
      <c r="A229" s="2" t="inlineStr">
        <is>
          <t>KNT.TO</t>
        </is>
      </c>
      <c r="B229" s="2" t="inlineStr">
        <is>
          <t>K92 Mining Inc</t>
        </is>
      </c>
      <c r="C229" s="2" t="inlineStr">
        <is>
          <t>CAD</t>
        </is>
      </c>
      <c r="D229" s="2" t="n">
        <v>2022</v>
      </c>
      <c r="E229" s="12" t="n">
        <v>44925</v>
      </c>
      <c r="F229" s="2" t="n">
        <v>7.11</v>
      </c>
      <c r="G229" s="2" t="n">
        <v>10.52</v>
      </c>
      <c r="H229" s="2" t="n">
        <v>6.01</v>
      </c>
      <c r="I229" s="2" t="n">
        <v>7.67</v>
      </c>
      <c r="J229" s="2" t="n">
        <v>7.8758</v>
      </c>
      <c r="K229" s="2" t="n">
        <v>0</v>
      </c>
      <c r="L229" s="13" t="n">
        <v>0</v>
      </c>
      <c r="M229" s="13" t="n">
        <v>0.0405</v>
      </c>
      <c r="N229" s="2" t="n">
        <v>8.3171</v>
      </c>
      <c r="O229" s="2" t="n">
        <v>2024</v>
      </c>
      <c r="P229" s="2" t="n">
        <v>8.68</v>
      </c>
      <c r="Q229" s="13" t="n">
        <v>0.0436</v>
      </c>
    </row>
    <row r="230">
      <c r="A230" s="2" t="inlineStr">
        <is>
          <t>KNT.TO</t>
        </is>
      </c>
      <c r="B230" s="2" t="inlineStr">
        <is>
          <t>K92 Mining Inc</t>
        </is>
      </c>
      <c r="C230" s="2" t="inlineStr">
        <is>
          <t>CAD</t>
        </is>
      </c>
      <c r="D230" s="2" t="n">
        <v>2023</v>
      </c>
      <c r="E230" s="12" t="n">
        <v>45289</v>
      </c>
      <c r="F230" s="2" t="n">
        <v>7.82</v>
      </c>
      <c r="G230" s="2" t="n">
        <v>8.859999999999999</v>
      </c>
      <c r="H230" s="2" t="n">
        <v>4.64</v>
      </c>
      <c r="I230" s="2" t="n">
        <v>6.51</v>
      </c>
      <c r="J230" s="2" t="n">
        <v>6.4424</v>
      </c>
      <c r="K230" s="2" t="n">
        <v>0</v>
      </c>
      <c r="L230" s="13" t="n">
        <v>0</v>
      </c>
      <c r="M230" s="13" t="n">
        <v>0.0388</v>
      </c>
      <c r="N230" s="2" t="n">
        <v>7.0353</v>
      </c>
      <c r="O230" s="2" t="n">
        <v>2025</v>
      </c>
      <c r="P230" s="2" t="n">
        <v>22.69</v>
      </c>
      <c r="Q230" s="13" t="n">
        <v>2.2252</v>
      </c>
    </row>
    <row r="231">
      <c r="A231" s="2" t="inlineStr">
        <is>
          <t>KNT.TO</t>
        </is>
      </c>
      <c r="B231" s="2" t="inlineStr">
        <is>
          <t>K92 Mining Inc</t>
        </is>
      </c>
      <c r="C231" s="2" t="inlineStr">
        <is>
          <t>CAD</t>
        </is>
      </c>
      <c r="D231" s="2" t="n">
        <v>2024</v>
      </c>
      <c r="E231" s="12" t="n">
        <v>45657</v>
      </c>
      <c r="F231" s="2" t="n">
        <v>6.5</v>
      </c>
      <c r="G231" s="2" t="n">
        <v>9.904999999999999</v>
      </c>
      <c r="H231" s="2" t="n">
        <v>5.27</v>
      </c>
      <c r="I231" s="2" t="n">
        <v>8.68</v>
      </c>
      <c r="J231" s="2" t="n">
        <v>7.6733</v>
      </c>
      <c r="K231" s="2" t="n">
        <v>0</v>
      </c>
      <c r="L231" s="13" t="n">
        <v>0</v>
      </c>
      <c r="M231" s="13" t="n">
        <v>0.0293</v>
      </c>
      <c r="N231" s="2" t="n">
        <v>9.203799999999999</v>
      </c>
      <c r="O231" s="2" t="n">
        <v>2026</v>
      </c>
      <c r="P231" s="2" t="n">
        <v>29.45</v>
      </c>
      <c r="Q231" s="13" t="n">
        <v>2.1997</v>
      </c>
    </row>
    <row r="232">
      <c r="A232" s="2" t="inlineStr">
        <is>
          <t>KNT.TO</t>
        </is>
      </c>
      <c r="B232" s="2" t="inlineStr">
        <is>
          <t>K92 Mining Inc</t>
        </is>
      </c>
      <c r="C232" s="2" t="inlineStr">
        <is>
          <t>CAD</t>
        </is>
      </c>
      <c r="D232" s="2" t="n">
        <v>2025</v>
      </c>
      <c r="E232" s="12" t="n">
        <v>46022</v>
      </c>
      <c r="F232" s="2" t="n">
        <v>8.75</v>
      </c>
      <c r="G232" s="2" t="n">
        <v>24.14</v>
      </c>
      <c r="H232" s="2" t="n">
        <v>8.529999999999999</v>
      </c>
      <c r="I232" s="2" t="n">
        <v>22.69</v>
      </c>
      <c r="J232" s="2" t="n">
        <v>14.8315</v>
      </c>
      <c r="K232" s="2" t="n">
        <v>0</v>
      </c>
      <c r="L232" s="13" t="n">
        <v>0</v>
      </c>
      <c r="M232" s="13" t="n">
        <v>0.026</v>
      </c>
      <c r="N232" s="2" t="n">
        <v>23.9011</v>
      </c>
      <c r="O232" s="2" t="n">
        <v>2027</v>
      </c>
      <c r="P232" s="2" t="n"/>
      <c r="Q232" s="13" t="n"/>
    </row>
    <row r="233">
      <c r="A233" s="2" t="inlineStr">
        <is>
          <t>KNT.TO</t>
        </is>
      </c>
      <c r="B233" s="2" t="inlineStr">
        <is>
          <t>K92 Mining Inc</t>
        </is>
      </c>
      <c r="C233" s="2" t="inlineStr">
        <is>
          <t>CAD</t>
        </is>
      </c>
      <c r="D233" s="2" t="n">
        <v>2026</v>
      </c>
      <c r="E233" s="12" t="n">
        <v>46290</v>
      </c>
      <c r="F233" s="2" t="n">
        <v>23.01</v>
      </c>
      <c r="G233" s="2" t="n">
        <v>33.45</v>
      </c>
      <c r="H233" s="2" t="n">
        <v>19.76</v>
      </c>
      <c r="I233" s="2" t="n">
        <v>29.45</v>
      </c>
      <c r="J233" s="2" t="n">
        <v>25.8552</v>
      </c>
      <c r="K233" s="2" t="n">
        <v>0</v>
      </c>
      <c r="L233" s="13" t="n">
        <v>0</v>
      </c>
      <c r="M233" s="13" t="n">
        <v>0.026</v>
      </c>
      <c r="N233" s="2" t="n">
        <v>31.0219</v>
      </c>
      <c r="O233" s="2" t="n">
        <v>2028</v>
      </c>
      <c r="P233" s="2" t="n"/>
      <c r="Q233" s="13" t="n"/>
    </row>
    <row r="234">
      <c r="A234" s="2" t="inlineStr">
        <is>
          <t>LYC.AX</t>
        </is>
      </c>
      <c r="B234" s="2" t="inlineStr">
        <is>
          <t>Lynas Rare Earths Ltd</t>
        </is>
      </c>
      <c r="C234" s="2" t="inlineStr">
        <is>
          <t>AUD</t>
        </is>
      </c>
      <c r="D234" s="2" t="n">
        <v>2017</v>
      </c>
      <c r="E234" s="12" t="n">
        <v>43098</v>
      </c>
      <c r="F234" s="2" t="n">
        <v>0.073</v>
      </c>
      <c r="G234" s="2" t="n">
        <v>2.21</v>
      </c>
      <c r="H234" s="2" t="n">
        <v>0.07099999999999999</v>
      </c>
      <c r="I234" s="2" t="n">
        <v>2.18</v>
      </c>
      <c r="J234" s="2" t="n">
        <v>0.2684</v>
      </c>
      <c r="K234" s="2" t="n">
        <v>0</v>
      </c>
      <c r="L234" s="13" t="n">
        <v>0</v>
      </c>
      <c r="M234" s="13" t="n">
        <v>0.02</v>
      </c>
      <c r="N234" s="2" t="n">
        <v>2.269</v>
      </c>
      <c r="O234" s="2" t="n">
        <v>2019</v>
      </c>
      <c r="P234" s="2" t="n">
        <v>2.33</v>
      </c>
      <c r="Q234" s="13" t="n">
        <v>0.0269</v>
      </c>
    </row>
    <row r="235">
      <c r="A235" s="2" t="inlineStr">
        <is>
          <t>LYC.AX</t>
        </is>
      </c>
      <c r="B235" s="2" t="inlineStr">
        <is>
          <t>Lynas Rare Earths Ltd</t>
        </is>
      </c>
      <c r="C235" s="2" t="inlineStr">
        <is>
          <t>AUD</t>
        </is>
      </c>
      <c r="D235" s="2" t="n">
        <v>2018</v>
      </c>
      <c r="E235" s="12" t="n">
        <v>43465</v>
      </c>
      <c r="F235" s="2" t="n">
        <v>2.2</v>
      </c>
      <c r="G235" s="2" t="n">
        <v>2.96</v>
      </c>
      <c r="H235" s="2" t="n">
        <v>1.495</v>
      </c>
      <c r="I235" s="2" t="n">
        <v>1.585</v>
      </c>
      <c r="J235" s="2" t="n">
        <v>2.1621</v>
      </c>
      <c r="K235" s="2" t="n">
        <v>0</v>
      </c>
      <c r="L235" s="13" t="n">
        <v>0</v>
      </c>
      <c r="M235" s="13" t="n">
        <v>0.019</v>
      </c>
      <c r="N235" s="2" t="n">
        <v>1.6464</v>
      </c>
      <c r="O235" s="2" t="n">
        <v>2020</v>
      </c>
      <c r="P235" s="2" t="n">
        <v>3.98</v>
      </c>
      <c r="Q235" s="13" t="n">
        <v>1.4509</v>
      </c>
    </row>
    <row r="236">
      <c r="A236" s="2" t="inlineStr">
        <is>
          <t>LYC.AX</t>
        </is>
      </c>
      <c r="B236" s="2" t="inlineStr">
        <is>
          <t>Lynas Rare Earths Ltd</t>
        </is>
      </c>
      <c r="C236" s="2" t="inlineStr">
        <is>
          <t>AUD</t>
        </is>
      </c>
      <c r="D236" s="2" t="n">
        <v>2019</v>
      </c>
      <c r="E236" s="12" t="n">
        <v>43830</v>
      </c>
      <c r="F236" s="2" t="n">
        <v>1.58</v>
      </c>
      <c r="G236" s="2" t="n">
        <v>3.16</v>
      </c>
      <c r="H236" s="2" t="n">
        <v>1.48</v>
      </c>
      <c r="I236" s="2" t="n">
        <v>2.33</v>
      </c>
      <c r="J236" s="2" t="n">
        <v>2.2584</v>
      </c>
      <c r="K236" s="2" t="n">
        <v>0</v>
      </c>
      <c r="L236" s="13" t="n">
        <v>0</v>
      </c>
      <c r="M236" s="13" t="n">
        <v>0.008999999999999999</v>
      </c>
      <c r="N236" s="2" t="n">
        <v>2.3723</v>
      </c>
      <c r="O236" s="2" t="n">
        <v>2021</v>
      </c>
      <c r="P236" s="2" t="n">
        <v>10.17</v>
      </c>
      <c r="Q236" s="13" t="n">
        <v>3.3463</v>
      </c>
    </row>
    <row r="237">
      <c r="A237" s="2" t="inlineStr">
        <is>
          <t>LYC.AX</t>
        </is>
      </c>
      <c r="B237" s="2" t="inlineStr">
        <is>
          <t>Lynas Rare Earths Ltd</t>
        </is>
      </c>
      <c r="C237" s="2" t="inlineStr">
        <is>
          <t>AUD</t>
        </is>
      </c>
      <c r="D237" s="2" t="n">
        <v>2020</v>
      </c>
      <c r="E237" s="12" t="n">
        <v>44196</v>
      </c>
      <c r="F237" s="2" t="n">
        <v>2.33</v>
      </c>
      <c r="G237" s="2" t="n">
        <v>4.33</v>
      </c>
      <c r="H237" s="2" t="n">
        <v>1.035</v>
      </c>
      <c r="I237" s="2" t="n">
        <v>3.98</v>
      </c>
      <c r="J237" s="2" t="n">
        <v>2.3476</v>
      </c>
      <c r="K237" s="2" t="n">
        <v>0</v>
      </c>
      <c r="L237" s="13" t="n">
        <v>0</v>
      </c>
      <c r="M237" s="13" t="n">
        <v>0.001</v>
      </c>
      <c r="N237" s="2" t="n">
        <v>3.988</v>
      </c>
      <c r="O237" s="2" t="n">
        <v>2022</v>
      </c>
      <c r="P237" s="2" t="n">
        <v>7.85</v>
      </c>
      <c r="Q237" s="13" t="n">
        <v>0.9684</v>
      </c>
    </row>
    <row r="238">
      <c r="A238" s="2" t="inlineStr">
        <is>
          <t>LYC.AX</t>
        </is>
      </c>
      <c r="B238" s="2" t="inlineStr">
        <is>
          <t>Lynas Rare Earths Ltd</t>
        </is>
      </c>
      <c r="C238" s="2" t="inlineStr">
        <is>
          <t>AUD</t>
        </is>
      </c>
      <c r="D238" s="2" t="n">
        <v>2021</v>
      </c>
      <c r="E238" s="12" t="n">
        <v>44561</v>
      </c>
      <c r="F238" s="2" t="n">
        <v>4</v>
      </c>
      <c r="G238" s="2" t="n">
        <v>10.4</v>
      </c>
      <c r="H238" s="2" t="n">
        <v>3.98</v>
      </c>
      <c r="I238" s="2" t="n">
        <v>10.17</v>
      </c>
      <c r="J238" s="2" t="n">
        <v>6.5159</v>
      </c>
      <c r="K238" s="2" t="n">
        <v>0</v>
      </c>
      <c r="L238" s="13" t="n">
        <v>0</v>
      </c>
      <c r="M238" s="13" t="n">
        <v>0.006</v>
      </c>
      <c r="N238" s="2" t="n">
        <v>10.2928</v>
      </c>
      <c r="O238" s="2" t="n">
        <v>2023</v>
      </c>
      <c r="P238" s="2" t="n">
        <v>7.16</v>
      </c>
      <c r="Q238" s="13" t="n">
        <v>-0.3044</v>
      </c>
    </row>
    <row r="239">
      <c r="A239" s="2" t="inlineStr">
        <is>
          <t>LYC.AX</t>
        </is>
      </c>
      <c r="B239" s="2" t="inlineStr">
        <is>
          <t>Lynas Rare Earths Ltd</t>
        </is>
      </c>
      <c r="C239" s="2" t="inlineStr">
        <is>
          <t>AUD</t>
        </is>
      </c>
      <c r="D239" s="2" t="n">
        <v>2022</v>
      </c>
      <c r="E239" s="12" t="n">
        <v>44925</v>
      </c>
      <c r="F239" s="2" t="n">
        <v>10.56</v>
      </c>
      <c r="G239" s="2" t="n">
        <v>11.59</v>
      </c>
      <c r="H239" s="2" t="n">
        <v>7.28</v>
      </c>
      <c r="I239" s="2" t="n">
        <v>7.85</v>
      </c>
      <c r="J239" s="2" t="n">
        <v>9.033099999999999</v>
      </c>
      <c r="K239" s="2" t="n">
        <v>0</v>
      </c>
      <c r="L239" s="13" t="n">
        <v>0</v>
      </c>
      <c r="M239" s="13" t="n">
        <v>0.035</v>
      </c>
      <c r="N239" s="2" t="n">
        <v>8.4192</v>
      </c>
      <c r="O239" s="2" t="n">
        <v>2024</v>
      </c>
      <c r="P239" s="2" t="n">
        <v>6.43</v>
      </c>
      <c r="Q239" s="13" t="n">
        <v>-0.2363</v>
      </c>
    </row>
    <row r="240">
      <c r="A240" s="2" t="inlineStr">
        <is>
          <t>LYC.AX</t>
        </is>
      </c>
      <c r="B240" s="2" t="inlineStr">
        <is>
          <t>Lynas Rare Earths Ltd</t>
        </is>
      </c>
      <c r="C240" s="2" t="inlineStr">
        <is>
          <t>AUD</t>
        </is>
      </c>
      <c r="D240" s="2" t="n">
        <v>2023</v>
      </c>
      <c r="E240" s="12" t="n">
        <v>45289</v>
      </c>
      <c r="F240" s="2" t="n">
        <v>7.89</v>
      </c>
      <c r="G240" s="2" t="n">
        <v>9.845000000000001</v>
      </c>
      <c r="H240" s="2" t="n">
        <v>5.98</v>
      </c>
      <c r="I240" s="2" t="n">
        <v>7.16</v>
      </c>
      <c r="J240" s="2" t="n">
        <v>7.1912</v>
      </c>
      <c r="K240" s="2" t="n">
        <v>0</v>
      </c>
      <c r="L240" s="13" t="n">
        <v>0</v>
      </c>
      <c r="M240" s="13" t="n">
        <v>0.037</v>
      </c>
      <c r="N240" s="2" t="n">
        <v>7.7099</v>
      </c>
      <c r="O240" s="2" t="n">
        <v>2025</v>
      </c>
      <c r="P240" s="2" t="n">
        <v>12.44</v>
      </c>
      <c r="Q240" s="13" t="n">
        <v>0.6135</v>
      </c>
    </row>
    <row r="241">
      <c r="A241" s="2" t="inlineStr">
        <is>
          <t>LYC.AX</t>
        </is>
      </c>
      <c r="B241" s="2" t="inlineStr">
        <is>
          <t>Lynas Rare Earths Ltd</t>
        </is>
      </c>
      <c r="C241" s="2" t="inlineStr">
        <is>
          <t>AUD</t>
        </is>
      </c>
      <c r="D241" s="2" t="n">
        <v>2024</v>
      </c>
      <c r="E241" s="12" t="n">
        <v>45657</v>
      </c>
      <c r="F241" s="2" t="n">
        <v>7.13</v>
      </c>
      <c r="G241" s="2" t="n">
        <v>8.27</v>
      </c>
      <c r="H241" s="2" t="n">
        <v>5.49</v>
      </c>
      <c r="I241" s="2" t="n">
        <v>6.43</v>
      </c>
      <c r="J241" s="2" t="n">
        <v>6.5641</v>
      </c>
      <c r="K241" s="2" t="n">
        <v>0</v>
      </c>
      <c r="L241" s="13" t="n">
        <v>0</v>
      </c>
      <c r="M241" s="13" t="n">
        <v>0.0385</v>
      </c>
      <c r="N241" s="2" t="n">
        <v>6.9447</v>
      </c>
      <c r="O241" s="2" t="n">
        <v>2026</v>
      </c>
      <c r="P241" s="2" t="n">
        <v>14.22</v>
      </c>
      <c r="Q241" s="13" t="n">
        <v>1.0476</v>
      </c>
    </row>
    <row r="242">
      <c r="A242" s="2" t="inlineStr">
        <is>
          <t>LYC.AX</t>
        </is>
      </c>
      <c r="B242" s="2" t="inlineStr">
        <is>
          <t>Lynas Rare Earths Ltd</t>
        </is>
      </c>
      <c r="C242" s="2" t="inlineStr">
        <is>
          <t>AUD</t>
        </is>
      </c>
      <c r="D242" s="2" t="n">
        <v>2025</v>
      </c>
      <c r="E242" s="12" t="n">
        <v>46022</v>
      </c>
      <c r="F242" s="2" t="n">
        <v>6.43</v>
      </c>
      <c r="G242" s="2" t="n">
        <v>21.96</v>
      </c>
      <c r="H242" s="2" t="n">
        <v>6.16</v>
      </c>
      <c r="I242" s="2" t="n">
        <v>12.44</v>
      </c>
      <c r="J242" s="2" t="n">
        <v>10.9197</v>
      </c>
      <c r="K242" s="2" t="n">
        <v>0</v>
      </c>
      <c r="L242" s="13" t="n">
        <v>0</v>
      </c>
      <c r="M242" s="13" t="n">
        <v>0.039</v>
      </c>
      <c r="N242" s="2" t="n">
        <v>13.4492</v>
      </c>
      <c r="O242" s="2" t="n">
        <v>2027</v>
      </c>
      <c r="P242" s="2" t="n"/>
      <c r="Q242" s="13" t="n"/>
    </row>
    <row r="243">
      <c r="A243" s="2" t="inlineStr">
        <is>
          <t>LYC.AX</t>
        </is>
      </c>
      <c r="B243" s="2" t="inlineStr">
        <is>
          <t>Lynas Rare Earths Ltd</t>
        </is>
      </c>
      <c r="C243" s="2" t="inlineStr">
        <is>
          <t>AUD</t>
        </is>
      </c>
      <c r="D243" s="2" t="n">
        <v>2026</v>
      </c>
      <c r="E243" s="12" t="n">
        <v>46290</v>
      </c>
      <c r="F243" s="2" t="n">
        <v>12.41</v>
      </c>
      <c r="G243" s="2" t="n">
        <v>22.37</v>
      </c>
      <c r="H243" s="2" t="n">
        <v>12.215</v>
      </c>
      <c r="I243" s="2" t="n">
        <v>14.22</v>
      </c>
      <c r="J243" s="2" t="n">
        <v>17.2147</v>
      </c>
      <c r="K243" s="2" t="n">
        <v>0</v>
      </c>
      <c r="L243" s="13" t="n">
        <v>0</v>
      </c>
      <c r="M243" s="13" t="n">
        <v>0.039</v>
      </c>
      <c r="N243" s="2" t="n">
        <v>15.3736</v>
      </c>
      <c r="O243" s="2" t="n">
        <v>2028</v>
      </c>
      <c r="P243" s="2" t="n"/>
      <c r="Q243" s="13" t="n"/>
    </row>
    <row r="244">
      <c r="A244" s="2" t="inlineStr">
        <is>
          <t>MSA.TO</t>
        </is>
      </c>
      <c r="B244" s="2" t="inlineStr">
        <is>
          <t>Mineros SA</t>
        </is>
      </c>
      <c r="C244" s="2" t="inlineStr">
        <is>
          <t>CAD</t>
        </is>
      </c>
      <c r="D244" s="2" t="n">
        <v>2021</v>
      </c>
      <c r="E244" s="12" t="n">
        <v>44561</v>
      </c>
      <c r="F244" s="2" t="n">
        <v>1.15</v>
      </c>
      <c r="G244" s="2" t="n">
        <v>1.24</v>
      </c>
      <c r="H244" s="2" t="n">
        <v>1.1</v>
      </c>
      <c r="I244" s="2" t="n">
        <v>1.13</v>
      </c>
      <c r="J244" s="2" t="n">
        <v>1.1424</v>
      </c>
      <c r="K244" s="2" t="n">
        <v>0</v>
      </c>
      <c r="L244" s="13" t="n">
        <v>0</v>
      </c>
      <c r="M244" s="13" t="n">
        <v>0.0095</v>
      </c>
      <c r="N244" s="2" t="n">
        <v>1.1517</v>
      </c>
      <c r="O244" s="2" t="n">
        <v>2023</v>
      </c>
      <c r="P244" s="2" t="n">
        <v>0.65</v>
      </c>
      <c r="Q244" s="13" t="n">
        <v>-0.4356</v>
      </c>
    </row>
    <row r="245">
      <c r="A245" s="2" t="inlineStr">
        <is>
          <t>MSA.TO</t>
        </is>
      </c>
      <c r="B245" s="2" t="inlineStr">
        <is>
          <t>Mineros SA</t>
        </is>
      </c>
      <c r="C245" s="2" t="inlineStr">
        <is>
          <t>CAD</t>
        </is>
      </c>
      <c r="D245" s="2" t="n">
        <v>2022</v>
      </c>
      <c r="E245" s="12" t="n">
        <v>44925</v>
      </c>
      <c r="F245" s="2" t="n">
        <v>1.12</v>
      </c>
      <c r="G245" s="2" t="n">
        <v>1.19</v>
      </c>
      <c r="H245" s="2" t="n">
        <v>0.65</v>
      </c>
      <c r="I245" s="2" t="n">
        <v>0.7</v>
      </c>
      <c r="J245" s="2" t="n">
        <v>0.9325</v>
      </c>
      <c r="K245" s="2" t="n">
        <v>0.095</v>
      </c>
      <c r="L245" s="13" t="n">
        <v>0.1357</v>
      </c>
      <c r="M245" s="13" t="n">
        <v>0.0405</v>
      </c>
      <c r="N245" s="2" t="n">
        <v>0.5786</v>
      </c>
      <c r="O245" s="2" t="n">
        <v>2024</v>
      </c>
      <c r="P245" s="2" t="n">
        <v>1.49</v>
      </c>
      <c r="Q245" s="13" t="n">
        <v>1.5751</v>
      </c>
    </row>
    <row r="246">
      <c r="A246" s="2" t="inlineStr">
        <is>
          <t>MSA.TO</t>
        </is>
      </c>
      <c r="B246" s="2" t="inlineStr">
        <is>
          <t>Mineros SA</t>
        </is>
      </c>
      <c r="C246" s="2" t="inlineStr">
        <is>
          <t>CAD</t>
        </is>
      </c>
      <c r="D246" s="2" t="n">
        <v>2023</v>
      </c>
      <c r="E246" s="12" t="n">
        <v>45289</v>
      </c>
      <c r="F246" s="2" t="n">
        <v>0.72</v>
      </c>
      <c r="G246" s="2" t="n">
        <v>0.98</v>
      </c>
      <c r="H246" s="2" t="n">
        <v>0.55</v>
      </c>
      <c r="I246" s="2" t="n">
        <v>0.65</v>
      </c>
      <c r="J246" s="2" t="n">
        <v>0.6354</v>
      </c>
      <c r="K246" s="2" t="n">
        <v>0.093</v>
      </c>
      <c r="L246" s="13" t="n">
        <v>0.1431</v>
      </c>
      <c r="M246" s="13" t="n">
        <v>0.0388</v>
      </c>
      <c r="N246" s="2" t="n">
        <v>0.5276</v>
      </c>
      <c r="O246" s="2" t="n">
        <v>2025</v>
      </c>
      <c r="P246" s="2" t="n">
        <v>5.62</v>
      </c>
      <c r="Q246" s="13" t="n">
        <v>9.651199999999999</v>
      </c>
    </row>
    <row r="247">
      <c r="A247" s="2" t="inlineStr">
        <is>
          <t>MSA.TO</t>
        </is>
      </c>
      <c r="B247" s="2" t="inlineStr">
        <is>
          <t>Mineros SA</t>
        </is>
      </c>
      <c r="C247" s="2" t="inlineStr">
        <is>
          <t>CAD</t>
        </is>
      </c>
      <c r="D247" s="2" t="n">
        <v>2024</v>
      </c>
      <c r="E247" s="12" t="n">
        <v>45657</v>
      </c>
      <c r="F247" s="2" t="n">
        <v>0.65</v>
      </c>
      <c r="G247" s="2" t="n">
        <v>1.78</v>
      </c>
      <c r="H247" s="2" t="n">
        <v>0.62</v>
      </c>
      <c r="I247" s="2" t="n">
        <v>1.49</v>
      </c>
      <c r="J247" s="2" t="n">
        <v>1.1137</v>
      </c>
      <c r="K247" s="2" t="n">
        <v>0.126</v>
      </c>
      <c r="L247" s="13" t="n">
        <v>0.08459999999999999</v>
      </c>
      <c r="M247" s="13" t="n">
        <v>0.0293</v>
      </c>
      <c r="N247" s="2" t="n">
        <v>1.3341</v>
      </c>
      <c r="O247" s="2" t="n">
        <v>2026</v>
      </c>
      <c r="P247" s="2" t="n">
        <v>9.949999999999999</v>
      </c>
      <c r="Q247" s="13" t="n">
        <v>6.4583</v>
      </c>
    </row>
    <row r="248">
      <c r="A248" s="2" t="inlineStr">
        <is>
          <t>MSA.TO</t>
        </is>
      </c>
      <c r="B248" s="2" t="inlineStr">
        <is>
          <t>Mineros SA</t>
        </is>
      </c>
      <c r="C248" s="2" t="inlineStr">
        <is>
          <t>CAD</t>
        </is>
      </c>
      <c r="D248" s="2" t="n">
        <v>2025</v>
      </c>
      <c r="E248" s="12" t="n">
        <v>46022</v>
      </c>
      <c r="F248" s="2" t="n">
        <v>1.51</v>
      </c>
      <c r="G248" s="2" t="n">
        <v>5.92</v>
      </c>
      <c r="H248" s="2" t="n">
        <v>1.5</v>
      </c>
      <c r="I248" s="2" t="n">
        <v>5.62</v>
      </c>
      <c r="J248" s="2" t="n">
        <v>3.1694</v>
      </c>
      <c r="K248" s="2" t="n">
        <v>0.14</v>
      </c>
      <c r="L248" s="13" t="n">
        <v>0.0249</v>
      </c>
      <c r="M248" s="13" t="n">
        <v>0.026</v>
      </c>
      <c r="N248" s="2" t="n">
        <v>5.6323</v>
      </c>
      <c r="O248" s="2" t="n">
        <v>2027</v>
      </c>
      <c r="P248" s="2" t="n"/>
      <c r="Q248" s="13" t="n"/>
    </row>
    <row r="249">
      <c r="A249" s="2" t="inlineStr">
        <is>
          <t>MSA.TO</t>
        </is>
      </c>
      <c r="B249" s="2" t="inlineStr">
        <is>
          <t>Mineros SA</t>
        </is>
      </c>
      <c r="C249" s="2" t="inlineStr">
        <is>
          <t>CAD</t>
        </is>
      </c>
      <c r="D249" s="2" t="n">
        <v>2026</v>
      </c>
      <c r="E249" s="12" t="n">
        <v>46290</v>
      </c>
      <c r="F249" s="2" t="n">
        <v>5.7</v>
      </c>
      <c r="G249" s="2" t="n">
        <v>10.09</v>
      </c>
      <c r="H249" s="2" t="n">
        <v>4.38</v>
      </c>
      <c r="I249" s="2" t="n">
        <v>9.949999999999999</v>
      </c>
      <c r="J249" s="2" t="n">
        <v>6.533</v>
      </c>
      <c r="K249" s="2" t="n">
        <v>0.103</v>
      </c>
      <c r="L249" s="13" t="n">
        <v>0.0104</v>
      </c>
      <c r="M249" s="13" t="n">
        <v>0.026</v>
      </c>
      <c r="N249" s="2" t="n">
        <v>10.2663</v>
      </c>
      <c r="O249" s="2" t="n">
        <v>2028</v>
      </c>
      <c r="P249" s="2" t="n"/>
      <c r="Q249" s="13" t="n"/>
    </row>
    <row r="250">
      <c r="A250" s="2" t="inlineStr">
        <is>
          <t>MUX</t>
        </is>
      </c>
      <c r="B250" s="2" t="inlineStr">
        <is>
          <t>McEwen Mining Inc</t>
        </is>
      </c>
      <c r="C250" s="2" t="inlineStr">
        <is>
          <t>USD</t>
        </is>
      </c>
      <c r="D250" s="2" t="n">
        <v>2017</v>
      </c>
      <c r="E250" s="12" t="n">
        <v>43098</v>
      </c>
      <c r="F250" s="2" t="n">
        <v>2.97</v>
      </c>
      <c r="G250" s="2" t="n">
        <v>4.43</v>
      </c>
      <c r="H250" s="2" t="n">
        <v>1.82</v>
      </c>
      <c r="I250" s="2" t="n">
        <v>2.28</v>
      </c>
      <c r="J250" s="2" t="n">
        <v>2.7251</v>
      </c>
      <c r="K250" s="2" t="n">
        <v>0.01</v>
      </c>
      <c r="L250" s="13" t="n">
        <v>0.0044</v>
      </c>
      <c r="M250" s="13" t="n">
        <v>0.0189</v>
      </c>
      <c r="N250" s="2" t="n">
        <v>2.3472</v>
      </c>
      <c r="O250" s="2" t="n">
        <v>2019</v>
      </c>
      <c r="P250" s="2" t="n">
        <v>1.27</v>
      </c>
      <c r="Q250" s="13" t="n">
        <v>-0.4589</v>
      </c>
    </row>
    <row r="251">
      <c r="A251" s="2" t="inlineStr">
        <is>
          <t>MUX</t>
        </is>
      </c>
      <c r="B251" s="2" t="inlineStr">
        <is>
          <t>McEwen Mining Inc</t>
        </is>
      </c>
      <c r="C251" s="2" t="inlineStr">
        <is>
          <t>USD</t>
        </is>
      </c>
      <c r="D251" s="2" t="n">
        <v>2018</v>
      </c>
      <c r="E251" s="12" t="n">
        <v>43465</v>
      </c>
      <c r="F251" s="2" t="n">
        <v>2.33</v>
      </c>
      <c r="G251" s="2" t="n">
        <v>2.55</v>
      </c>
      <c r="H251" s="2" t="n">
        <v>1.68</v>
      </c>
      <c r="I251" s="2" t="n">
        <v>1.82</v>
      </c>
      <c r="J251" s="2" t="n">
        <v>2.0816</v>
      </c>
      <c r="K251" s="2" t="n">
        <v>0.01</v>
      </c>
      <c r="L251" s="13" t="n">
        <v>0.0055</v>
      </c>
      <c r="M251" s="13" t="n">
        <v>0.0249</v>
      </c>
      <c r="N251" s="2" t="n">
        <v>1.892</v>
      </c>
      <c r="O251" s="2" t="n">
        <v>2020</v>
      </c>
      <c r="P251" s="2" t="n">
        <v>0.985</v>
      </c>
      <c r="Q251" s="13" t="n">
        <v>-0.4794</v>
      </c>
    </row>
    <row r="252">
      <c r="A252" s="2" t="inlineStr">
        <is>
          <t>MUX</t>
        </is>
      </c>
      <c r="B252" s="2" t="inlineStr">
        <is>
          <t>McEwen Mining Inc</t>
        </is>
      </c>
      <c r="C252" s="2" t="inlineStr">
        <is>
          <t>USD</t>
        </is>
      </c>
      <c r="D252" s="2" t="n">
        <v>2019</v>
      </c>
      <c r="E252" s="12" t="n">
        <v>43830</v>
      </c>
      <c r="F252" s="2" t="n">
        <v>1.83</v>
      </c>
      <c r="G252" s="2" t="n">
        <v>2.14</v>
      </c>
      <c r="H252" s="2" t="n">
        <v>1.02</v>
      </c>
      <c r="I252" s="2" t="n">
        <v>1.27</v>
      </c>
      <c r="J252" s="2" t="n">
        <v>1.6159</v>
      </c>
      <c r="K252" s="2" t="n">
        <v>0.005</v>
      </c>
      <c r="L252" s="13" t="n">
        <v>0.0039</v>
      </c>
      <c r="M252" s="13" t="n">
        <v>0.0158</v>
      </c>
      <c r="N252" s="2" t="n">
        <v>1.3005</v>
      </c>
      <c r="O252" s="2" t="n">
        <v>2021</v>
      </c>
      <c r="P252" s="2" t="n">
        <v>0.887</v>
      </c>
      <c r="Q252" s="13" t="n">
        <v>-0.318</v>
      </c>
    </row>
    <row r="253">
      <c r="A253" s="2" t="inlineStr">
        <is>
          <t>MUX</t>
        </is>
      </c>
      <c r="B253" s="2" t="inlineStr">
        <is>
          <t>McEwen Mining Inc</t>
        </is>
      </c>
      <c r="C253" s="2" t="inlineStr">
        <is>
          <t>USD</t>
        </is>
      </c>
      <c r="D253" s="2" t="n">
        <v>2020</v>
      </c>
      <c r="E253" s="12" t="n">
        <v>44196</v>
      </c>
      <c r="F253" s="2" t="n">
        <v>1.31</v>
      </c>
      <c r="G253" s="2" t="n">
        <v>1.53</v>
      </c>
      <c r="H253" s="2" t="n">
        <v>0.53</v>
      </c>
      <c r="I253" s="2" t="n">
        <v>0.985</v>
      </c>
      <c r="J253" s="2" t="n">
        <v>1.0491</v>
      </c>
      <c r="K253" s="2" t="n">
        <v>0</v>
      </c>
      <c r="L253" s="13" t="n">
        <v>0</v>
      </c>
      <c r="M253" s="13" t="n">
        <v>0.0013</v>
      </c>
      <c r="N253" s="2" t="n">
        <v>0.9876</v>
      </c>
      <c r="O253" s="2" t="n">
        <v>2022</v>
      </c>
      <c r="P253" s="2" t="n">
        <v>5.86</v>
      </c>
      <c r="Q253" s="13" t="n">
        <v>-0.4066</v>
      </c>
    </row>
    <row r="254">
      <c r="A254" s="2" t="inlineStr">
        <is>
          <t>MUX</t>
        </is>
      </c>
      <c r="B254" s="2" t="inlineStr">
        <is>
          <t>McEwen Mining Inc</t>
        </is>
      </c>
      <c r="C254" s="2" t="inlineStr">
        <is>
          <t>USD</t>
        </is>
      </c>
      <c r="D254" s="2" t="n">
        <v>2021</v>
      </c>
      <c r="E254" s="12" t="n">
        <v>44561</v>
      </c>
      <c r="F254" s="2" t="n">
        <v>1.03</v>
      </c>
      <c r="G254" s="2" t="n">
        <v>1.71</v>
      </c>
      <c r="H254" s="2" t="n">
        <v>0.8</v>
      </c>
      <c r="I254" s="2" t="n">
        <v>0.887</v>
      </c>
      <c r="J254" s="2" t="n">
        <v>1.1523</v>
      </c>
      <c r="K254" s="2" t="n">
        <v>0</v>
      </c>
      <c r="L254" s="13" t="n">
        <v>0</v>
      </c>
      <c r="M254" s="13" t="n">
        <v>0.0073</v>
      </c>
      <c r="N254" s="2" t="n">
        <v>0.9</v>
      </c>
      <c r="O254" s="2" t="n">
        <v>2023</v>
      </c>
      <c r="P254" s="2" t="n">
        <v>7.21</v>
      </c>
      <c r="Q254" s="13" t="n">
        <v>-0.1989</v>
      </c>
    </row>
    <row r="255">
      <c r="A255" s="2" t="inlineStr">
        <is>
          <t>MUX</t>
        </is>
      </c>
      <c r="B255" s="2" t="inlineStr">
        <is>
          <t>McEwen Mining Inc</t>
        </is>
      </c>
      <c r="C255" s="2" t="inlineStr">
        <is>
          <t>USD</t>
        </is>
      </c>
      <c r="D255" s="2" t="n">
        <v>2022</v>
      </c>
      <c r="E255" s="12" t="n">
        <v>44925</v>
      </c>
      <c r="F255" s="2" t="n">
        <v>0.9</v>
      </c>
      <c r="G255" s="2" t="n">
        <v>6.22</v>
      </c>
      <c r="H255" s="2" t="n">
        <v>0.32</v>
      </c>
      <c r="I255" s="2" t="n">
        <v>5.86</v>
      </c>
      <c r="J255" s="2" t="n">
        <v>2.1714</v>
      </c>
      <c r="K255" s="2" t="n">
        <v>0</v>
      </c>
      <c r="L255" s="13" t="n">
        <v>0</v>
      </c>
      <c r="M255" s="13" t="n">
        <v>0.0443</v>
      </c>
      <c r="N255" s="2" t="n">
        <v>6.4029</v>
      </c>
      <c r="O255" s="2" t="n">
        <v>2024</v>
      </c>
      <c r="P255" s="2" t="n">
        <v>7.78</v>
      </c>
      <c r="Q255" s="13" t="n">
        <v>0.2151</v>
      </c>
    </row>
    <row r="256">
      <c r="A256" s="2" t="inlineStr">
        <is>
          <t>MUX</t>
        </is>
      </c>
      <c r="B256" s="2" t="inlineStr">
        <is>
          <t>McEwen Mining Inc</t>
        </is>
      </c>
      <c r="C256" s="2" t="inlineStr">
        <is>
          <t>USD</t>
        </is>
      </c>
      <c r="D256" s="2" t="n">
        <v>2023</v>
      </c>
      <c r="E256" s="12" t="n">
        <v>45289</v>
      </c>
      <c r="F256" s="2" t="n">
        <v>5.89</v>
      </c>
      <c r="G256" s="2" t="n">
        <v>10</v>
      </c>
      <c r="H256" s="2" t="n">
        <v>5.39</v>
      </c>
      <c r="I256" s="2" t="n">
        <v>7.21</v>
      </c>
      <c r="J256" s="2" t="n">
        <v>7.4378</v>
      </c>
      <c r="K256" s="2" t="n">
        <v>0</v>
      </c>
      <c r="L256" s="13" t="n">
        <v>0</v>
      </c>
      <c r="M256" s="13" t="n">
        <v>0.0425</v>
      </c>
      <c r="N256" s="2" t="n">
        <v>7.8497</v>
      </c>
      <c r="O256" s="2" t="n">
        <v>2025</v>
      </c>
      <c r="P256" s="2" t="n">
        <v>18.51</v>
      </c>
      <c r="Q256" s="13" t="n">
        <v>1.3581</v>
      </c>
    </row>
    <row r="257">
      <c r="A257" s="2" t="inlineStr">
        <is>
          <t>MUX</t>
        </is>
      </c>
      <c r="B257" s="2" t="inlineStr">
        <is>
          <t>McEwen Mining Inc</t>
        </is>
      </c>
      <c r="C257" s="2" t="inlineStr">
        <is>
          <t>USD</t>
        </is>
      </c>
      <c r="D257" s="2" t="n">
        <v>2024</v>
      </c>
      <c r="E257" s="12" t="n">
        <v>45657</v>
      </c>
      <c r="F257" s="2" t="n">
        <v>7.14</v>
      </c>
      <c r="G257" s="2" t="n">
        <v>12.5</v>
      </c>
      <c r="H257" s="2" t="n">
        <v>5.92</v>
      </c>
      <c r="I257" s="2" t="n">
        <v>7.78</v>
      </c>
      <c r="J257" s="2" t="n">
        <v>9.136200000000001</v>
      </c>
      <c r="K257" s="2" t="n">
        <v>0</v>
      </c>
      <c r="L257" s="13" t="n">
        <v>0</v>
      </c>
      <c r="M257" s="13" t="n">
        <v>0.0424</v>
      </c>
      <c r="N257" s="2" t="n">
        <v>8.468500000000001</v>
      </c>
      <c r="O257" s="2" t="n">
        <v>2026</v>
      </c>
      <c r="P257" s="2" t="n">
        <v>19.02</v>
      </c>
      <c r="Q257" s="13" t="n">
        <v>1.246</v>
      </c>
    </row>
    <row r="258">
      <c r="A258" s="2" t="inlineStr">
        <is>
          <t>MUX</t>
        </is>
      </c>
      <c r="B258" s="2" t="inlineStr">
        <is>
          <t>McEwen Mining Inc</t>
        </is>
      </c>
      <c r="C258" s="2" t="inlineStr">
        <is>
          <t>USD</t>
        </is>
      </c>
      <c r="D258" s="2" t="n">
        <v>2025</v>
      </c>
      <c r="E258" s="12" t="n">
        <v>46022</v>
      </c>
      <c r="F258" s="2" t="n">
        <v>7.98</v>
      </c>
      <c r="G258" s="2" t="n">
        <v>24.88</v>
      </c>
      <c r="H258" s="2" t="n">
        <v>6.38</v>
      </c>
      <c r="I258" s="2" t="n">
        <v>18.51</v>
      </c>
      <c r="J258" s="2" t="n">
        <v>11.7202</v>
      </c>
      <c r="K258" s="2" t="n">
        <v>0</v>
      </c>
      <c r="L258" s="13" t="n">
        <v>0</v>
      </c>
      <c r="M258" s="13" t="n">
        <v>0.0348</v>
      </c>
      <c r="N258" s="2" t="n">
        <v>19.8442</v>
      </c>
      <c r="O258" s="2" t="n">
        <v>2027</v>
      </c>
      <c r="P258" s="2" t="n"/>
      <c r="Q258" s="13" t="n"/>
    </row>
    <row r="259">
      <c r="A259" s="2" t="inlineStr">
        <is>
          <t>MUX</t>
        </is>
      </c>
      <c r="B259" s="2" t="inlineStr">
        <is>
          <t>McEwen Mining Inc</t>
        </is>
      </c>
      <c r="C259" s="2" t="inlineStr">
        <is>
          <t>USD</t>
        </is>
      </c>
      <c r="D259" s="2" t="n">
        <v>2026</v>
      </c>
      <c r="E259" s="12" t="n">
        <v>46290</v>
      </c>
      <c r="F259" s="2" t="n">
        <v>19.09</v>
      </c>
      <c r="G259" s="2" t="n">
        <v>29.7</v>
      </c>
      <c r="H259" s="2" t="n">
        <v>16.08</v>
      </c>
      <c r="I259" s="2" t="n">
        <v>19.02</v>
      </c>
      <c r="J259" s="2" t="n">
        <v>21.3867</v>
      </c>
      <c r="K259" s="2" t="n">
        <v>0</v>
      </c>
      <c r="L259" s="13" t="n">
        <v>0</v>
      </c>
      <c r="M259" s="13" t="n">
        <v>0.0348</v>
      </c>
      <c r="N259" s="2" t="n">
        <v>20.3909</v>
      </c>
      <c r="O259" s="2" t="n">
        <v>2028</v>
      </c>
      <c r="P259" s="2" t="n"/>
      <c r="Q259" s="13" t="n"/>
    </row>
    <row r="260">
      <c r="A260" s="2" t="inlineStr">
        <is>
          <t>NFGC.TO</t>
        </is>
      </c>
      <c r="B260" s="2" t="inlineStr">
        <is>
          <t>New Found Gold Corp</t>
        </is>
      </c>
      <c r="C260" s="2" t="inlineStr">
        <is>
          <t>CAD</t>
        </is>
      </c>
      <c r="D260" s="2" t="n">
        <v>2020</v>
      </c>
      <c r="E260" s="12" t="n">
        <v>44196</v>
      </c>
      <c r="F260" s="2" t="n">
        <v>1.3</v>
      </c>
      <c r="G260" s="2" t="n">
        <v>4.9</v>
      </c>
      <c r="H260" s="2" t="n">
        <v>1.24</v>
      </c>
      <c r="I260" s="2" t="n">
        <v>4.07</v>
      </c>
      <c r="J260" s="2" t="n">
        <v>3.1261</v>
      </c>
      <c r="K260" s="2" t="n">
        <v>0</v>
      </c>
      <c r="L260" s="13" t="n">
        <v>0</v>
      </c>
      <c r="M260" s="13" t="n">
        <v>0.002</v>
      </c>
      <c r="N260" s="2" t="n">
        <v>4.0863</v>
      </c>
      <c r="O260" s="2" t="n">
        <v>2022</v>
      </c>
      <c r="P260" s="2" t="n">
        <v>5.45</v>
      </c>
      <c r="Q260" s="13" t="n">
        <v>0.3337</v>
      </c>
    </row>
    <row r="261">
      <c r="A261" s="2" t="inlineStr">
        <is>
          <t>NFGC.TO</t>
        </is>
      </c>
      <c r="B261" s="2" t="inlineStr">
        <is>
          <t>New Found Gold Corp</t>
        </is>
      </c>
      <c r="C261" s="2" t="inlineStr">
        <is>
          <t>CAD</t>
        </is>
      </c>
      <c r="D261" s="2" t="n">
        <v>2021</v>
      </c>
      <c r="E261" s="12" t="n">
        <v>44561</v>
      </c>
      <c r="F261" s="2" t="n">
        <v>4.22</v>
      </c>
      <c r="G261" s="2" t="n">
        <v>13.5</v>
      </c>
      <c r="H261" s="2" t="n">
        <v>3.15</v>
      </c>
      <c r="I261" s="2" t="n">
        <v>8.98</v>
      </c>
      <c r="J261" s="2" t="n">
        <v>7.6332</v>
      </c>
      <c r="K261" s="2" t="n">
        <v>0</v>
      </c>
      <c r="L261" s="13" t="n">
        <v>0</v>
      </c>
      <c r="M261" s="13" t="n">
        <v>0.0095</v>
      </c>
      <c r="N261" s="2" t="n">
        <v>9.1523</v>
      </c>
      <c r="O261" s="2" t="n">
        <v>2023</v>
      </c>
      <c r="P261" s="2" t="n">
        <v>4.67</v>
      </c>
      <c r="Q261" s="13" t="n">
        <v>-0.4897</v>
      </c>
    </row>
    <row r="262">
      <c r="A262" s="2" t="inlineStr">
        <is>
          <t>NFGC.TO</t>
        </is>
      </c>
      <c r="B262" s="2" t="inlineStr">
        <is>
          <t>New Found Gold Corp</t>
        </is>
      </c>
      <c r="C262" s="2" t="inlineStr">
        <is>
          <t>CAD</t>
        </is>
      </c>
      <c r="D262" s="2" t="n">
        <v>2022</v>
      </c>
      <c r="E262" s="12" t="n">
        <v>44925</v>
      </c>
      <c r="F262" s="2" t="n">
        <v>8.99</v>
      </c>
      <c r="G262" s="2" t="n">
        <v>9.640000000000001</v>
      </c>
      <c r="H262" s="2" t="n">
        <v>4.03</v>
      </c>
      <c r="I262" s="2" t="n">
        <v>5.45</v>
      </c>
      <c r="J262" s="2" t="n">
        <v>6.4271</v>
      </c>
      <c r="K262" s="2" t="n">
        <v>0</v>
      </c>
      <c r="L262" s="13" t="n">
        <v>0</v>
      </c>
      <c r="M262" s="13" t="n">
        <v>0.0405</v>
      </c>
      <c r="N262" s="2" t="n">
        <v>5.9098</v>
      </c>
      <c r="O262" s="2" t="n">
        <v>2024</v>
      </c>
      <c r="P262" s="2" t="n">
        <v>2.59</v>
      </c>
      <c r="Q262" s="13" t="n">
        <v>-0.5617</v>
      </c>
    </row>
    <row r="263">
      <c r="A263" s="2" t="inlineStr">
        <is>
          <t>NFGC.TO</t>
        </is>
      </c>
      <c r="B263" s="2" t="inlineStr">
        <is>
          <t>New Found Gold Corp</t>
        </is>
      </c>
      <c r="C263" s="2" t="inlineStr">
        <is>
          <t>CAD</t>
        </is>
      </c>
      <c r="D263" s="2" t="n">
        <v>2023</v>
      </c>
      <c r="E263" s="12" t="n">
        <v>45289</v>
      </c>
      <c r="F263" s="2" t="n">
        <v>5.51</v>
      </c>
      <c r="G263" s="2" t="n">
        <v>7.6</v>
      </c>
      <c r="H263" s="2" t="n">
        <v>4.41</v>
      </c>
      <c r="I263" s="2" t="n">
        <v>4.67</v>
      </c>
      <c r="J263" s="2" t="n">
        <v>5.7419</v>
      </c>
      <c r="K263" s="2" t="n">
        <v>0</v>
      </c>
      <c r="L263" s="13" t="n">
        <v>0</v>
      </c>
      <c r="M263" s="13" t="n">
        <v>0.0388</v>
      </c>
      <c r="N263" s="2" t="n">
        <v>5.0468</v>
      </c>
      <c r="O263" s="2" t="n">
        <v>2025</v>
      </c>
      <c r="P263" s="2" t="n">
        <v>4.06</v>
      </c>
      <c r="Q263" s="13" t="n">
        <v>-0.1955</v>
      </c>
    </row>
    <row r="264">
      <c r="A264" s="2" t="inlineStr">
        <is>
          <t>NFGC.TO</t>
        </is>
      </c>
      <c r="B264" s="2" t="inlineStr">
        <is>
          <t>New Found Gold Corp</t>
        </is>
      </c>
      <c r="C264" s="2" t="inlineStr">
        <is>
          <t>CAD</t>
        </is>
      </c>
      <c r="D264" s="2" t="n">
        <v>2024</v>
      </c>
      <c r="E264" s="12" t="n">
        <v>45657</v>
      </c>
      <c r="F264" s="2" t="n">
        <v>4.69</v>
      </c>
      <c r="G264" s="2" t="n">
        <v>5.71</v>
      </c>
      <c r="H264" s="2" t="n">
        <v>2.11</v>
      </c>
      <c r="I264" s="2" t="n">
        <v>2.59</v>
      </c>
      <c r="J264" s="2" t="n">
        <v>3.9728</v>
      </c>
      <c r="K264" s="2" t="n">
        <v>0</v>
      </c>
      <c r="L264" s="13" t="n">
        <v>0</v>
      </c>
      <c r="M264" s="13" t="n">
        <v>0.0293</v>
      </c>
      <c r="N264" s="2" t="n">
        <v>2.7463</v>
      </c>
      <c r="O264" s="2" t="n">
        <v>2026</v>
      </c>
      <c r="P264" s="2" t="n">
        <v>2.49</v>
      </c>
      <c r="Q264" s="13" t="n">
        <v>-0.09329999999999999</v>
      </c>
    </row>
    <row r="265">
      <c r="A265" s="2" t="inlineStr">
        <is>
          <t>NFGC.TO</t>
        </is>
      </c>
      <c r="B265" s="2" t="inlineStr">
        <is>
          <t>New Found Gold Corp</t>
        </is>
      </c>
      <c r="C265" s="2" t="inlineStr">
        <is>
          <t>CAD</t>
        </is>
      </c>
      <c r="D265" s="2" t="n">
        <v>2025</v>
      </c>
      <c r="E265" s="12" t="n">
        <v>46022</v>
      </c>
      <c r="F265" s="2" t="n">
        <v>2.81</v>
      </c>
      <c r="G265" s="2" t="n">
        <v>4.54</v>
      </c>
      <c r="H265" s="2" t="n">
        <v>1.34</v>
      </c>
      <c r="I265" s="2" t="n">
        <v>4.06</v>
      </c>
      <c r="J265" s="2" t="n">
        <v>2.516</v>
      </c>
      <c r="K265" s="2" t="n">
        <v>0</v>
      </c>
      <c r="L265" s="13" t="n">
        <v>0</v>
      </c>
      <c r="M265" s="13" t="n">
        <v>0.026</v>
      </c>
      <c r="N265" s="2" t="n">
        <v>4.2767</v>
      </c>
      <c r="O265" s="2" t="n">
        <v>2027</v>
      </c>
      <c r="P265" s="2" t="n"/>
      <c r="Q265" s="13" t="n"/>
    </row>
    <row r="266">
      <c r="A266" s="2" t="inlineStr">
        <is>
          <t>NFGC.TO</t>
        </is>
      </c>
      <c r="B266" s="2" t="inlineStr">
        <is>
          <t>New Found Gold Corp</t>
        </is>
      </c>
      <c r="C266" s="2" t="inlineStr">
        <is>
          <t>CAD</t>
        </is>
      </c>
      <c r="D266" s="2" t="n">
        <v>2026</v>
      </c>
      <c r="E266" s="12" t="n">
        <v>46290</v>
      </c>
      <c r="F266" s="2" t="n">
        <v>4.18</v>
      </c>
      <c r="G266" s="2" t="n">
        <v>4.89</v>
      </c>
      <c r="H266" s="2" t="n">
        <v>1.88</v>
      </c>
      <c r="I266" s="2" t="n">
        <v>2.49</v>
      </c>
      <c r="J266" s="2" t="n">
        <v>2.8803</v>
      </c>
      <c r="K266" s="2" t="n">
        <v>0</v>
      </c>
      <c r="L266" s="13" t="n">
        <v>0</v>
      </c>
      <c r="M266" s="13" t="n">
        <v>0.026</v>
      </c>
      <c r="N266" s="2" t="n">
        <v>2.6229</v>
      </c>
      <c r="O266" s="2" t="n">
        <v>2028</v>
      </c>
      <c r="P266" s="2" t="n"/>
      <c r="Q266" s="13" t="n"/>
    </row>
    <row r="267">
      <c r="A267" s="2" t="inlineStr">
        <is>
          <t>OBM.AX</t>
        </is>
      </c>
      <c r="B267" s="2" t="inlineStr">
        <is>
          <t>Ora Banda Mining Ltd</t>
        </is>
      </c>
      <c r="C267" s="2" t="inlineStr">
        <is>
          <t>AUD</t>
        </is>
      </c>
      <c r="D267" s="2" t="n">
        <v>2017</v>
      </c>
      <c r="E267" s="2" t="inlineStr">
        <is>
          <t>2017-08-15</t>
        </is>
      </c>
      <c r="F267" s="2" t="n">
        <v>0.1565</v>
      </c>
      <c r="G267" s="2" t="n">
        <v>0.2266</v>
      </c>
      <c r="H267" s="2" t="n">
        <v>0.1106</v>
      </c>
      <c r="I267" s="2" t="n">
        <v>0.235</v>
      </c>
      <c r="J267" s="2" t="n">
        <v>0.1595</v>
      </c>
      <c r="K267" s="2" t="n">
        <v>0</v>
      </c>
      <c r="L267" s="13" t="n">
        <v>0</v>
      </c>
      <c r="M267" s="13" t="n">
        <v>0.02</v>
      </c>
      <c r="N267" s="2" t="n">
        <v>0.2446</v>
      </c>
      <c r="O267" s="2" t="n">
        <v>2019</v>
      </c>
      <c r="P267" s="2" t="n">
        <v>0.185</v>
      </c>
      <c r="Q267" s="13" t="n">
        <v>-0.9066</v>
      </c>
    </row>
    <row r="268">
      <c r="A268" s="2" t="inlineStr">
        <is>
          <t>OBM.AX</t>
        </is>
      </c>
      <c r="B268" s="2" t="inlineStr">
        <is>
          <t>Ora Banda Mining Ltd</t>
        </is>
      </c>
      <c r="C268" s="2" t="inlineStr">
        <is>
          <t>AUD</t>
        </is>
      </c>
      <c r="D268" s="2" t="n">
        <v>2018</v>
      </c>
      <c r="E268" s="2" t="inlineStr">
        <is>
          <t>2018-07-20</t>
        </is>
      </c>
      <c r="F268" s="2" t="n">
        <v>0.1268</v>
      </c>
      <c r="G268" s="2" t="n">
        <v>0.1268</v>
      </c>
      <c r="H268" s="2" t="n">
        <v>0.0625</v>
      </c>
      <c r="I268" s="2" t="n">
        <v>0.115</v>
      </c>
      <c r="J268" s="2" t="n">
        <v>0.0837</v>
      </c>
      <c r="K268" s="2" t="n">
        <v>0</v>
      </c>
      <c r="L268" s="13" t="n">
        <v>0</v>
      </c>
      <c r="M268" s="13" t="n">
        <v>0.019</v>
      </c>
      <c r="N268" s="2" t="n">
        <v>0.1195</v>
      </c>
      <c r="O268" s="2" t="n">
        <v>2020</v>
      </c>
      <c r="P268" s="2" t="n">
        <v>0.305</v>
      </c>
      <c r="Q268" s="13" t="n">
        <v>-0.6837</v>
      </c>
    </row>
    <row r="269">
      <c r="A269" s="2" t="inlineStr">
        <is>
          <t>OBM.AX</t>
        </is>
      </c>
      <c r="B269" s="2" t="inlineStr">
        <is>
          <t>Ora Banda Mining Ltd</t>
        </is>
      </c>
      <c r="C269" s="2" t="inlineStr">
        <is>
          <t>AUD</t>
        </is>
      </c>
      <c r="D269" s="2" t="n">
        <v>2019</v>
      </c>
      <c r="E269" s="12" t="n">
        <v>43830</v>
      </c>
      <c r="F269" s="2" t="n">
        <v>0.0625</v>
      </c>
      <c r="G269" s="2" t="n">
        <v>0.9375</v>
      </c>
      <c r="H269" s="2" t="n">
        <v>0.0625</v>
      </c>
      <c r="I269" s="2" t="n">
        <v>0.185</v>
      </c>
      <c r="J269" s="2" t="n">
        <v>0.1636</v>
      </c>
      <c r="K269" s="2" t="n">
        <v>0</v>
      </c>
      <c r="L269" s="13" t="n">
        <v>0</v>
      </c>
      <c r="M269" s="13" t="n">
        <v>0.008999999999999999</v>
      </c>
      <c r="N269" s="2" t="n">
        <v>0.1884</v>
      </c>
      <c r="O269" s="2" t="n">
        <v>2021</v>
      </c>
      <c r="P269" s="2" t="n">
        <v>0.066</v>
      </c>
      <c r="Q269" s="13" t="n">
        <v>-0.6461</v>
      </c>
    </row>
    <row r="270">
      <c r="A270" s="2" t="inlineStr">
        <is>
          <t>OBM.AX</t>
        </is>
      </c>
      <c r="B270" s="2" t="inlineStr">
        <is>
          <t>Ora Banda Mining Ltd</t>
        </is>
      </c>
      <c r="C270" s="2" t="inlineStr">
        <is>
          <t>AUD</t>
        </is>
      </c>
      <c r="D270" s="2" t="n">
        <v>2020</v>
      </c>
      <c r="E270" s="12" t="n">
        <v>44196</v>
      </c>
      <c r="F270" s="2" t="n">
        <v>0.18</v>
      </c>
      <c r="G270" s="2" t="n">
        <v>0.42</v>
      </c>
      <c r="H270" s="2" t="n">
        <v>0.094</v>
      </c>
      <c r="I270" s="2" t="n">
        <v>0.305</v>
      </c>
      <c r="J270" s="2" t="n">
        <v>0.2584</v>
      </c>
      <c r="K270" s="2" t="n">
        <v>0</v>
      </c>
      <c r="L270" s="13" t="n">
        <v>0</v>
      </c>
      <c r="M270" s="13" t="n">
        <v>0.001</v>
      </c>
      <c r="N270" s="2" t="n">
        <v>0.3056</v>
      </c>
      <c r="O270" s="2" t="n">
        <v>2022</v>
      </c>
      <c r="P270" s="2" t="n">
        <v>0.08400000000000001</v>
      </c>
      <c r="Q270" s="13" t="n">
        <v>-0.7004</v>
      </c>
    </row>
    <row r="271">
      <c r="A271" s="2" t="inlineStr">
        <is>
          <t>OBM.AX</t>
        </is>
      </c>
      <c r="B271" s="2" t="inlineStr">
        <is>
          <t>Ora Banda Mining Ltd</t>
        </is>
      </c>
      <c r="C271" s="2" t="inlineStr">
        <is>
          <t>AUD</t>
        </is>
      </c>
      <c r="D271" s="2" t="n">
        <v>2021</v>
      </c>
      <c r="E271" s="12" t="n">
        <v>44561</v>
      </c>
      <c r="F271" s="2" t="n">
        <v>0.315</v>
      </c>
      <c r="G271" s="2" t="n">
        <v>0.345</v>
      </c>
      <c r="H271" s="2" t="n">
        <v>0.059</v>
      </c>
      <c r="I271" s="2" t="n">
        <v>0.066</v>
      </c>
      <c r="J271" s="2" t="n">
        <v>0.1729</v>
      </c>
      <c r="K271" s="2" t="n">
        <v>0</v>
      </c>
      <c r="L271" s="13" t="n">
        <v>0</v>
      </c>
      <c r="M271" s="13" t="n">
        <v>0.006</v>
      </c>
      <c r="N271" s="2" t="n">
        <v>0.0668</v>
      </c>
      <c r="O271" s="2" t="n">
        <v>2023</v>
      </c>
      <c r="P271" s="2" t="n">
        <v>0.24</v>
      </c>
      <c r="Q271" s="13" t="n">
        <v>2.9161</v>
      </c>
    </row>
    <row r="272">
      <c r="A272" s="2" t="inlineStr">
        <is>
          <t>OBM.AX</t>
        </is>
      </c>
      <c r="B272" s="2" t="inlineStr">
        <is>
          <t>Ora Banda Mining Ltd</t>
        </is>
      </c>
      <c r="C272" s="2" t="inlineStr">
        <is>
          <t>AUD</t>
        </is>
      </c>
      <c r="D272" s="2" t="n">
        <v>2022</v>
      </c>
      <c r="E272" s="12" t="n">
        <v>44925</v>
      </c>
      <c r="F272" s="2" t="n">
        <v>0.066</v>
      </c>
      <c r="G272" s="2" t="n">
        <v>0.098</v>
      </c>
      <c r="H272" s="2" t="n">
        <v>0.023</v>
      </c>
      <c r="I272" s="2" t="n">
        <v>0.08400000000000001</v>
      </c>
      <c r="J272" s="2" t="n">
        <v>0.0574</v>
      </c>
      <c r="K272" s="2" t="n">
        <v>0</v>
      </c>
      <c r="L272" s="13" t="n">
        <v>0</v>
      </c>
      <c r="M272" s="13" t="n">
        <v>0.035</v>
      </c>
      <c r="N272" s="2" t="n">
        <v>0.0901</v>
      </c>
      <c r="O272" s="2" t="n">
        <v>2024</v>
      </c>
      <c r="P272" s="2" t="n">
        <v>0.65</v>
      </c>
      <c r="Q272" s="13" t="n">
        <v>6.215</v>
      </c>
    </row>
    <row r="273">
      <c r="A273" s="2" t="inlineStr">
        <is>
          <t>OBM.AX</t>
        </is>
      </c>
      <c r="B273" s="2" t="inlineStr">
        <is>
          <t>Ora Banda Mining Ltd</t>
        </is>
      </c>
      <c r="C273" s="2" t="inlineStr">
        <is>
          <t>AUD</t>
        </is>
      </c>
      <c r="D273" s="2" t="n">
        <v>2023</v>
      </c>
      <c r="E273" s="12" t="n">
        <v>45289</v>
      </c>
      <c r="F273" s="2" t="n">
        <v>0.082</v>
      </c>
      <c r="G273" s="2" t="n">
        <v>0.25</v>
      </c>
      <c r="H273" s="2" t="n">
        <v>0.078</v>
      </c>
      <c r="I273" s="2" t="n">
        <v>0.24</v>
      </c>
      <c r="J273" s="2" t="n">
        <v>0.1301</v>
      </c>
      <c r="K273" s="2" t="n">
        <v>0</v>
      </c>
      <c r="L273" s="13" t="n">
        <v>0</v>
      </c>
      <c r="M273" s="13" t="n">
        <v>0.037</v>
      </c>
      <c r="N273" s="2" t="n">
        <v>0.2584</v>
      </c>
      <c r="O273" s="2" t="n">
        <v>2025</v>
      </c>
      <c r="P273" s="2" t="n">
        <v>1.53</v>
      </c>
      <c r="Q273" s="13" t="n">
        <v>4.9203</v>
      </c>
    </row>
    <row r="274">
      <c r="A274" s="2" t="inlineStr">
        <is>
          <t>OBM.AX</t>
        </is>
      </c>
      <c r="B274" s="2" t="inlineStr">
        <is>
          <t>Ora Banda Mining Ltd</t>
        </is>
      </c>
      <c r="C274" s="2" t="inlineStr">
        <is>
          <t>AUD</t>
        </is>
      </c>
      <c r="D274" s="2" t="n">
        <v>2024</v>
      </c>
      <c r="E274" s="12" t="n">
        <v>45657</v>
      </c>
      <c r="F274" s="2" t="n">
        <v>0.24</v>
      </c>
      <c r="G274" s="2" t="n">
        <v>0.9625</v>
      </c>
      <c r="H274" s="2" t="n">
        <v>0.205</v>
      </c>
      <c r="I274" s="2" t="n">
        <v>0.65</v>
      </c>
      <c r="J274" s="2" t="n">
        <v>0.4524</v>
      </c>
      <c r="K274" s="2" t="n">
        <v>0</v>
      </c>
      <c r="L274" s="13" t="n">
        <v>0</v>
      </c>
      <c r="M274" s="13" t="n">
        <v>0.0385</v>
      </c>
      <c r="N274" s="2" t="n">
        <v>0.702</v>
      </c>
      <c r="O274" s="2" t="n">
        <v>2026</v>
      </c>
      <c r="P274" s="2" t="n">
        <v>1.545</v>
      </c>
      <c r="Q274" s="13" t="n">
        <v>1.2008</v>
      </c>
    </row>
    <row r="275">
      <c r="A275" s="2" t="inlineStr">
        <is>
          <t>OBM.AX</t>
        </is>
      </c>
      <c r="B275" s="2" t="inlineStr">
        <is>
          <t>Ora Banda Mining Ltd</t>
        </is>
      </c>
      <c r="C275" s="2" t="inlineStr">
        <is>
          <t>AUD</t>
        </is>
      </c>
      <c r="D275" s="2" t="n">
        <v>2025</v>
      </c>
      <c r="E275" s="12" t="n">
        <v>46022</v>
      </c>
      <c r="F275" s="2" t="n">
        <v>0.65</v>
      </c>
      <c r="G275" s="2" t="n">
        <v>1.575</v>
      </c>
      <c r="H275" s="2" t="n">
        <v>0.615</v>
      </c>
      <c r="I275" s="2" t="n">
        <v>1.53</v>
      </c>
      <c r="J275" s="2" t="n">
        <v>1.0073</v>
      </c>
      <c r="K275" s="2" t="n">
        <v>0</v>
      </c>
      <c r="L275" s="13" t="n">
        <v>0</v>
      </c>
      <c r="M275" s="13" t="n">
        <v>0.039</v>
      </c>
      <c r="N275" s="2" t="n">
        <v>1.6541</v>
      </c>
      <c r="O275" s="2" t="n">
        <v>2027</v>
      </c>
      <c r="P275" s="2" t="n"/>
      <c r="Q275" s="13" t="n"/>
    </row>
    <row r="276">
      <c r="A276" s="2" t="inlineStr">
        <is>
          <t>OBM.AX</t>
        </is>
      </c>
      <c r="B276" s="2" t="inlineStr">
        <is>
          <t>Ora Banda Mining Ltd</t>
        </is>
      </c>
      <c r="C276" s="2" t="inlineStr">
        <is>
          <t>AUD</t>
        </is>
      </c>
      <c r="D276" s="2" t="n">
        <v>2026</v>
      </c>
      <c r="E276" s="12" t="n">
        <v>46290</v>
      </c>
      <c r="F276" s="2" t="n">
        <v>1.53</v>
      </c>
      <c r="G276" s="2" t="n">
        <v>1.72</v>
      </c>
      <c r="H276" s="2" t="n">
        <v>0.98</v>
      </c>
      <c r="I276" s="2" t="n">
        <v>1.545</v>
      </c>
      <c r="J276" s="2" t="n">
        <v>1.3346</v>
      </c>
      <c r="K276" s="2" t="n">
        <v>0</v>
      </c>
      <c r="L276" s="13" t="n">
        <v>0</v>
      </c>
      <c r="M276" s="13" t="n">
        <v>0.039</v>
      </c>
      <c r="N276" s="2" t="n">
        <v>1.6703</v>
      </c>
      <c r="O276" s="2" t="n">
        <v>2028</v>
      </c>
      <c r="P276" s="2" t="n"/>
      <c r="Q276" s="13" t="n"/>
    </row>
    <row r="277">
      <c r="A277" s="2" t="inlineStr">
        <is>
          <t>OGC.TO</t>
        </is>
      </c>
      <c r="B277" s="2" t="inlineStr">
        <is>
          <t>OceanaGold Corp</t>
        </is>
      </c>
      <c r="C277" s="2" t="inlineStr">
        <is>
          <t>CAD</t>
        </is>
      </c>
      <c r="D277" s="2" t="n">
        <v>2017</v>
      </c>
      <c r="E277" s="12" t="n">
        <v>43098</v>
      </c>
      <c r="F277" s="2" t="n">
        <v>3.92</v>
      </c>
      <c r="G277" s="2" t="n">
        <v>5</v>
      </c>
      <c r="H277" s="2" t="n">
        <v>2.92</v>
      </c>
      <c r="I277" s="2" t="n">
        <v>3.23</v>
      </c>
      <c r="J277" s="2" t="n">
        <v>3.9054</v>
      </c>
      <c r="K277" s="2" t="n">
        <v>0.026</v>
      </c>
      <c r="L277" s="13" t="n">
        <v>0.008</v>
      </c>
      <c r="M277" s="13" t="n">
        <v>0.0169</v>
      </c>
      <c r="N277" s="2" t="n">
        <v>3.2877</v>
      </c>
      <c r="O277" s="2" t="n">
        <v>2019</v>
      </c>
      <c r="P277" s="2" t="n">
        <v>2.55</v>
      </c>
      <c r="Q277" s="13" t="n">
        <v>-0.2244</v>
      </c>
    </row>
    <row r="278">
      <c r="A278" s="2" t="inlineStr">
        <is>
          <t>OGC.TO</t>
        </is>
      </c>
      <c r="B278" s="2" t="inlineStr">
        <is>
          <t>OceanaGold Corp</t>
        </is>
      </c>
      <c r="C278" s="2" t="inlineStr">
        <is>
          <t>CAD</t>
        </is>
      </c>
      <c r="D278" s="2" t="n">
        <v>2018</v>
      </c>
      <c r="E278" s="12" t="n">
        <v>43465</v>
      </c>
      <c r="F278" s="2" t="n">
        <v>3.3</v>
      </c>
      <c r="G278" s="2" t="n">
        <v>4.99</v>
      </c>
      <c r="H278" s="2" t="n">
        <v>2.97</v>
      </c>
      <c r="I278" s="2" t="n">
        <v>4.98</v>
      </c>
      <c r="J278" s="2" t="n">
        <v>3.6317</v>
      </c>
      <c r="K278" s="2" t="n">
        <v>0.039</v>
      </c>
      <c r="L278" s="13" t="n">
        <v>0.0078</v>
      </c>
      <c r="M278" s="13" t="n">
        <v>0.0186</v>
      </c>
      <c r="N278" s="2" t="n">
        <v>5.0884</v>
      </c>
      <c r="O278" s="2" t="n">
        <v>2020</v>
      </c>
      <c r="P278" s="2" t="n">
        <v>2.46</v>
      </c>
      <c r="Q278" s="13" t="n">
        <v>-0.5165</v>
      </c>
    </row>
    <row r="279">
      <c r="A279" s="2" t="inlineStr">
        <is>
          <t>OGC.TO</t>
        </is>
      </c>
      <c r="B279" s="2" t="inlineStr">
        <is>
          <t>OceanaGold Corp</t>
        </is>
      </c>
      <c r="C279" s="2" t="inlineStr">
        <is>
          <t>CAD</t>
        </is>
      </c>
      <c r="D279" s="2" t="n">
        <v>2019</v>
      </c>
      <c r="E279" s="12" t="n">
        <v>43830</v>
      </c>
      <c r="F279" s="2" t="n">
        <v>4.98</v>
      </c>
      <c r="G279" s="2" t="n">
        <v>5.01</v>
      </c>
      <c r="H279" s="2" t="n">
        <v>2.12</v>
      </c>
      <c r="I279" s="2" t="n">
        <v>2.55</v>
      </c>
      <c r="J279" s="2" t="n">
        <v>3.6314</v>
      </c>
      <c r="K279" s="2" t="n">
        <v>0.013</v>
      </c>
      <c r="L279" s="13" t="n">
        <v>0.0051</v>
      </c>
      <c r="M279" s="13" t="n">
        <v>0.017</v>
      </c>
      <c r="N279" s="2" t="n">
        <v>2.6114</v>
      </c>
      <c r="O279" s="2" t="n">
        <v>2021</v>
      </c>
      <c r="P279" s="2" t="n">
        <v>2.2</v>
      </c>
      <c r="Q279" s="13" t="n">
        <v>-0.1575</v>
      </c>
    </row>
    <row r="280">
      <c r="A280" s="2" t="inlineStr">
        <is>
          <t>OGC.TO</t>
        </is>
      </c>
      <c r="B280" s="2" t="inlineStr">
        <is>
          <t>OceanaGold Corp</t>
        </is>
      </c>
      <c r="C280" s="2" t="inlineStr">
        <is>
          <t>CAD</t>
        </is>
      </c>
      <c r="D280" s="2" t="n">
        <v>2020</v>
      </c>
      <c r="E280" s="12" t="n">
        <v>44196</v>
      </c>
      <c r="F280" s="2" t="n">
        <v>2.64</v>
      </c>
      <c r="G280" s="2" t="n">
        <v>4.01</v>
      </c>
      <c r="H280" s="2" t="n">
        <v>1.16</v>
      </c>
      <c r="I280" s="2" t="n">
        <v>2.46</v>
      </c>
      <c r="J280" s="2" t="n">
        <v>2.4515</v>
      </c>
      <c r="K280" s="2" t="n">
        <v>0</v>
      </c>
      <c r="L280" s="13" t="n">
        <v>0</v>
      </c>
      <c r="M280" s="13" t="n">
        <v>0.002</v>
      </c>
      <c r="N280" s="2" t="n">
        <v>2.4699</v>
      </c>
      <c r="O280" s="2" t="n">
        <v>2022</v>
      </c>
      <c r="P280" s="2" t="n">
        <v>2.58</v>
      </c>
      <c r="Q280" s="13" t="n">
        <v>0.0446</v>
      </c>
    </row>
    <row r="281">
      <c r="A281" s="2" t="inlineStr">
        <is>
          <t>OGC.TO</t>
        </is>
      </c>
      <c r="B281" s="2" t="inlineStr">
        <is>
          <t>OceanaGold Corp</t>
        </is>
      </c>
      <c r="C281" s="2" t="inlineStr">
        <is>
          <t>CAD</t>
        </is>
      </c>
      <c r="D281" s="2" t="n">
        <v>2021</v>
      </c>
      <c r="E281" s="12" t="n">
        <v>44561</v>
      </c>
      <c r="F281" s="2" t="n">
        <v>2.58</v>
      </c>
      <c r="G281" s="2" t="n">
        <v>2.85</v>
      </c>
      <c r="H281" s="2" t="n">
        <v>1.75</v>
      </c>
      <c r="I281" s="2" t="n">
        <v>2.2</v>
      </c>
      <c r="J281" s="2" t="n">
        <v>2.2841</v>
      </c>
      <c r="K281" s="2" t="n">
        <v>0</v>
      </c>
      <c r="L281" s="13" t="n">
        <v>0</v>
      </c>
      <c r="M281" s="13" t="n">
        <v>0.0095</v>
      </c>
      <c r="N281" s="2" t="n">
        <v>2.2422</v>
      </c>
      <c r="O281" s="2" t="n">
        <v>2023</v>
      </c>
      <c r="P281" s="2" t="n">
        <v>2.54</v>
      </c>
      <c r="Q281" s="13" t="n">
        <v>0.1328</v>
      </c>
    </row>
    <row r="282">
      <c r="A282" s="2" t="inlineStr">
        <is>
          <t>OGC.TO</t>
        </is>
      </c>
      <c r="B282" s="2" t="inlineStr">
        <is>
          <t>OceanaGold Corp</t>
        </is>
      </c>
      <c r="C282" s="2" t="inlineStr">
        <is>
          <t>CAD</t>
        </is>
      </c>
      <c r="D282" s="2" t="n">
        <v>2022</v>
      </c>
      <c r="E282" s="12" t="n">
        <v>44925</v>
      </c>
      <c r="F282" s="2" t="n">
        <v>2.17</v>
      </c>
      <c r="G282" s="2" t="n">
        <v>3.41</v>
      </c>
      <c r="H282" s="2" t="n">
        <v>1.78</v>
      </c>
      <c r="I282" s="2" t="n">
        <v>2.58</v>
      </c>
      <c r="J282" s="2" t="n">
        <v>2.431</v>
      </c>
      <c r="K282" s="2" t="n">
        <v>0</v>
      </c>
      <c r="L282" s="13" t="n">
        <v>0</v>
      </c>
      <c r="M282" s="13" t="n">
        <v>0.0405</v>
      </c>
      <c r="N282" s="2" t="n">
        <v>2.7977</v>
      </c>
      <c r="O282" s="2" t="n">
        <v>2024</v>
      </c>
      <c r="P282" s="2" t="n">
        <v>3.98</v>
      </c>
      <c r="Q282" s="13" t="n">
        <v>0.4226</v>
      </c>
    </row>
    <row r="283">
      <c r="A283" s="2" t="inlineStr">
        <is>
          <t>OGC.TO</t>
        </is>
      </c>
      <c r="B283" s="2" t="inlineStr">
        <is>
          <t>OceanaGold Corp</t>
        </is>
      </c>
      <c r="C283" s="2" t="inlineStr">
        <is>
          <t>CAD</t>
        </is>
      </c>
      <c r="D283" s="2" t="n">
        <v>2023</v>
      </c>
      <c r="E283" s="12" t="n">
        <v>45289</v>
      </c>
      <c r="F283" s="2" t="n">
        <v>2.62</v>
      </c>
      <c r="G283" s="2" t="n">
        <v>3.5</v>
      </c>
      <c r="H283" s="2" t="n">
        <v>2.14</v>
      </c>
      <c r="I283" s="2" t="n">
        <v>2.54</v>
      </c>
      <c r="J283" s="2" t="n">
        <v>2.7668</v>
      </c>
      <c r="K283" s="2" t="n">
        <v>0.028</v>
      </c>
      <c r="L283" s="13" t="n">
        <v>0.011</v>
      </c>
      <c r="M283" s="13" t="n">
        <v>0.0388</v>
      </c>
      <c r="N283" s="2" t="n">
        <v>2.6851</v>
      </c>
      <c r="O283" s="2" t="n">
        <v>2025</v>
      </c>
      <c r="P283" s="2" t="n">
        <v>38.9</v>
      </c>
      <c r="Q283" s="13" t="n">
        <v>3.8291</v>
      </c>
    </row>
    <row r="284">
      <c r="A284" s="2" t="inlineStr">
        <is>
          <t>OGC.TO</t>
        </is>
      </c>
      <c r="B284" s="2" t="inlineStr">
        <is>
          <t>OceanaGold Corp</t>
        </is>
      </c>
      <c r="C284" s="2" t="inlineStr">
        <is>
          <t>CAD</t>
        </is>
      </c>
      <c r="D284" s="2" t="n">
        <v>2024</v>
      </c>
      <c r="E284" s="12" t="n">
        <v>45657</v>
      </c>
      <c r="F284" s="2" t="n">
        <v>2.52</v>
      </c>
      <c r="G284" s="2" t="n">
        <v>4.58</v>
      </c>
      <c r="H284" s="2" t="n">
        <v>2.08</v>
      </c>
      <c r="I284" s="2" t="n">
        <v>3.98</v>
      </c>
      <c r="J284" s="2" t="n">
        <v>3.3653</v>
      </c>
      <c r="K284" s="2" t="n">
        <v>0.027</v>
      </c>
      <c r="L284" s="13" t="n">
        <v>0.0068</v>
      </c>
      <c r="M284" s="13" t="n">
        <v>0.0293</v>
      </c>
      <c r="N284" s="2" t="n">
        <v>4.1633</v>
      </c>
      <c r="O284" s="2" t="n">
        <v>2026</v>
      </c>
      <c r="P284" s="2" t="n">
        <v>39.88</v>
      </c>
      <c r="Q284" s="13" t="n">
        <v>2.193</v>
      </c>
    </row>
    <row r="285">
      <c r="A285" s="2" t="inlineStr">
        <is>
          <t>OGC.TO</t>
        </is>
      </c>
      <c r="B285" s="2" t="inlineStr">
        <is>
          <t>OceanaGold Corp</t>
        </is>
      </c>
      <c r="C285" s="2" t="inlineStr">
        <is>
          <t>CAD</t>
        </is>
      </c>
      <c r="D285" s="2" t="n">
        <v>2025</v>
      </c>
      <c r="E285" s="12" t="n">
        <v>46022</v>
      </c>
      <c r="F285" s="2" t="n">
        <v>4</v>
      </c>
      <c r="G285" s="2" t="n">
        <v>41.35</v>
      </c>
      <c r="H285" s="2" t="n">
        <v>3.62</v>
      </c>
      <c r="I285" s="2" t="n">
        <v>38.9</v>
      </c>
      <c r="J285" s="2" t="n">
        <v>17.2653</v>
      </c>
      <c r="K285" s="2" t="n">
        <v>0.112</v>
      </c>
      <c r="L285" s="13" t="n">
        <v>0.0043</v>
      </c>
      <c r="M285" s="13" t="n">
        <v>0.026</v>
      </c>
      <c r="N285" s="2" t="n">
        <v>40.6239</v>
      </c>
      <c r="O285" s="2" t="n">
        <v>2027</v>
      </c>
      <c r="P285" s="2" t="n"/>
      <c r="Q285" s="13" t="n"/>
    </row>
    <row r="286">
      <c r="A286" s="2" t="inlineStr">
        <is>
          <t>OGC.TO</t>
        </is>
      </c>
      <c r="B286" s="2" t="inlineStr">
        <is>
          <t>OceanaGold Corp</t>
        </is>
      </c>
      <c r="C286" s="2" t="inlineStr">
        <is>
          <t>CAD</t>
        </is>
      </c>
      <c r="D286" s="2" t="n">
        <v>2026</v>
      </c>
      <c r="E286" s="12" t="n">
        <v>46290</v>
      </c>
      <c r="F286" s="2" t="n">
        <v>39.6</v>
      </c>
      <c r="G286" s="2" t="n">
        <v>59.2</v>
      </c>
      <c r="H286" s="2" t="n">
        <v>30.67</v>
      </c>
      <c r="I286" s="2" t="n">
        <v>39.88</v>
      </c>
      <c r="J286" s="2" t="n">
        <v>42.5832</v>
      </c>
      <c r="K286" s="2" t="n">
        <v>0.372</v>
      </c>
      <c r="L286" s="13" t="n">
        <v>0.009299999999999999</v>
      </c>
      <c r="M286" s="13" t="n">
        <v>0.026</v>
      </c>
      <c r="N286" s="2" t="n">
        <v>41.2322</v>
      </c>
      <c r="O286" s="2" t="n">
        <v>2028</v>
      </c>
      <c r="P286" s="2" t="n"/>
      <c r="Q286" s="13" t="n"/>
    </row>
    <row r="287">
      <c r="A287" s="2" t="inlineStr">
        <is>
          <t>OGG.V</t>
        </is>
      </c>
      <c r="B287" s="2" t="inlineStr">
        <is>
          <t>Osisko Gold Group Inc (formerly Osisko Development)</t>
        </is>
      </c>
      <c r="C287" s="2" t="inlineStr">
        <is>
          <t>CAD</t>
        </is>
      </c>
      <c r="D287" s="2" t="n">
        <v>2020</v>
      </c>
      <c r="E287" s="12" t="n">
        <v>44196</v>
      </c>
      <c r="F287" s="2" t="n">
        <v>7.5</v>
      </c>
      <c r="G287" s="2" t="n">
        <v>7.98</v>
      </c>
      <c r="H287" s="2" t="n">
        <v>7.01</v>
      </c>
      <c r="I287" s="2" t="n">
        <v>7.59</v>
      </c>
      <c r="J287" s="2" t="n">
        <v>7.5215</v>
      </c>
      <c r="K287" s="2" t="n">
        <v>0</v>
      </c>
      <c r="L287" s="13" t="n">
        <v>0</v>
      </c>
      <c r="M287" s="13" t="n">
        <v>0.002</v>
      </c>
      <c r="N287" s="2" t="n">
        <v>7.6204</v>
      </c>
      <c r="O287" s="2" t="n">
        <v>2022</v>
      </c>
      <c r="P287" s="2" t="n">
        <v>5.77</v>
      </c>
      <c r="Q287" s="13" t="n">
        <v>-0.7476</v>
      </c>
    </row>
    <row r="288">
      <c r="A288" s="2" t="inlineStr">
        <is>
          <t>OGG.V</t>
        </is>
      </c>
      <c r="B288" s="2" t="inlineStr">
        <is>
          <t>Osisko Gold Group Inc (formerly Osisko Development)</t>
        </is>
      </c>
      <c r="C288" s="2" t="inlineStr">
        <is>
          <t>CAD</t>
        </is>
      </c>
      <c r="D288" s="2" t="n">
        <v>2021</v>
      </c>
      <c r="E288" s="12" t="n">
        <v>44561</v>
      </c>
      <c r="F288" s="2" t="n">
        <v>7.98</v>
      </c>
      <c r="G288" s="2" t="n">
        <v>9</v>
      </c>
      <c r="H288" s="2" t="n">
        <v>3.89</v>
      </c>
      <c r="I288" s="2" t="n">
        <v>4.06</v>
      </c>
      <c r="J288" s="2" t="n">
        <v>6.4595</v>
      </c>
      <c r="K288" s="2" t="n">
        <v>0</v>
      </c>
      <c r="L288" s="13" t="n">
        <v>0</v>
      </c>
      <c r="M288" s="13" t="n">
        <v>0.0095</v>
      </c>
      <c r="N288" s="2" t="n">
        <v>4.1379</v>
      </c>
      <c r="O288" s="2" t="n">
        <v>2023</v>
      </c>
      <c r="P288" s="2" t="n">
        <v>3.85</v>
      </c>
      <c r="Q288" s="13" t="n">
        <v>-0.6899</v>
      </c>
    </row>
    <row r="289">
      <c r="A289" s="2" t="inlineStr">
        <is>
          <t>OGG.V</t>
        </is>
      </c>
      <c r="B289" s="2" t="inlineStr">
        <is>
          <t>Osisko Gold Group Inc (formerly Osisko Development)</t>
        </is>
      </c>
      <c r="C289" s="2" t="inlineStr">
        <is>
          <t>CAD</t>
        </is>
      </c>
      <c r="D289" s="2" t="n">
        <v>2022</v>
      </c>
      <c r="E289" s="12" t="n">
        <v>44925</v>
      </c>
      <c r="F289" s="2" t="n">
        <v>4.1</v>
      </c>
      <c r="G289" s="2" t="n">
        <v>13.43</v>
      </c>
      <c r="H289" s="2" t="n">
        <v>3.98</v>
      </c>
      <c r="I289" s="2" t="n">
        <v>5.77</v>
      </c>
      <c r="J289" s="2" t="n">
        <v>6.0314</v>
      </c>
      <c r="K289" s="2" t="n">
        <v>0</v>
      </c>
      <c r="L289" s="13" t="n">
        <v>0</v>
      </c>
      <c r="M289" s="13" t="n">
        <v>0.0405</v>
      </c>
      <c r="N289" s="2" t="n">
        <v>6.2568</v>
      </c>
      <c r="O289" s="2" t="n">
        <v>2024</v>
      </c>
      <c r="P289" s="2" t="n">
        <v>2.34</v>
      </c>
      <c r="Q289" s="13" t="n">
        <v>-0.626</v>
      </c>
    </row>
    <row r="290">
      <c r="A290" s="2" t="inlineStr">
        <is>
          <t>OGG.V</t>
        </is>
      </c>
      <c r="B290" s="2" t="inlineStr">
        <is>
          <t>Osisko Gold Group Inc (formerly Osisko Development)</t>
        </is>
      </c>
      <c r="C290" s="2" t="inlineStr">
        <is>
          <t>CAD</t>
        </is>
      </c>
      <c r="D290" s="2" t="n">
        <v>2023</v>
      </c>
      <c r="E290" s="12" t="n">
        <v>45289</v>
      </c>
      <c r="F290" s="2" t="n">
        <v>6.1</v>
      </c>
      <c r="G290" s="2" t="n">
        <v>8.33</v>
      </c>
      <c r="H290" s="2" t="n">
        <v>3.29</v>
      </c>
      <c r="I290" s="2" t="n">
        <v>3.85</v>
      </c>
      <c r="J290" s="2" t="n">
        <v>5.4898</v>
      </c>
      <c r="K290" s="2" t="n">
        <v>0</v>
      </c>
      <c r="L290" s="13" t="n">
        <v>0</v>
      </c>
      <c r="M290" s="13" t="n">
        <v>0.0388</v>
      </c>
      <c r="N290" s="2" t="n">
        <v>4.1607</v>
      </c>
      <c r="O290" s="2" t="n">
        <v>2025</v>
      </c>
      <c r="P290" s="2" t="n">
        <v>4.65</v>
      </c>
      <c r="Q290" s="13" t="n">
        <v>0.1176</v>
      </c>
    </row>
    <row r="291">
      <c r="A291" s="2" t="inlineStr">
        <is>
          <t>OGG.V</t>
        </is>
      </c>
      <c r="B291" s="2" t="inlineStr">
        <is>
          <t>Osisko Gold Group Inc (formerly Osisko Development)</t>
        </is>
      </c>
      <c r="C291" s="2" t="inlineStr">
        <is>
          <t>CAD</t>
        </is>
      </c>
      <c r="D291" s="2" t="n">
        <v>2024</v>
      </c>
      <c r="E291" s="12" t="n">
        <v>45657</v>
      </c>
      <c r="F291" s="2" t="n">
        <v>4.08</v>
      </c>
      <c r="G291" s="2" t="n">
        <v>4.2</v>
      </c>
      <c r="H291" s="2" t="n">
        <v>1.89</v>
      </c>
      <c r="I291" s="2" t="n">
        <v>2.34</v>
      </c>
      <c r="J291" s="2" t="n">
        <v>2.8834</v>
      </c>
      <c r="K291" s="2" t="n">
        <v>0</v>
      </c>
      <c r="L291" s="13" t="n">
        <v>0</v>
      </c>
      <c r="M291" s="13" t="n">
        <v>0.0293</v>
      </c>
      <c r="N291" s="2" t="n">
        <v>2.4812</v>
      </c>
      <c r="O291" s="2" t="n">
        <v>2026</v>
      </c>
      <c r="P291" s="2" t="n">
        <v>3.98</v>
      </c>
      <c r="Q291" s="13" t="n">
        <v>0.604</v>
      </c>
    </row>
    <row r="292">
      <c r="A292" s="2" t="inlineStr">
        <is>
          <t>OGG.V</t>
        </is>
      </c>
      <c r="B292" s="2" t="inlineStr">
        <is>
          <t>Osisko Gold Group Inc (formerly Osisko Development)</t>
        </is>
      </c>
      <c r="C292" s="2" t="inlineStr">
        <is>
          <t>CAD</t>
        </is>
      </c>
      <c r="D292" s="2" t="n">
        <v>2025</v>
      </c>
      <c r="E292" s="12" t="n">
        <v>46022</v>
      </c>
      <c r="F292" s="2" t="n">
        <v>2.28</v>
      </c>
      <c r="G292" s="2" t="n">
        <v>5.78</v>
      </c>
      <c r="H292" s="2" t="n">
        <v>1.64</v>
      </c>
      <c r="I292" s="2" t="n">
        <v>4.65</v>
      </c>
      <c r="J292" s="2" t="n">
        <v>3.284</v>
      </c>
      <c r="K292" s="2" t="n">
        <v>0</v>
      </c>
      <c r="L292" s="13" t="n">
        <v>0</v>
      </c>
      <c r="M292" s="13" t="n">
        <v>0.026</v>
      </c>
      <c r="N292" s="2" t="n">
        <v>4.8982</v>
      </c>
      <c r="O292" s="2" t="n">
        <v>2027</v>
      </c>
      <c r="P292" s="2" t="n"/>
      <c r="Q292" s="13" t="n"/>
    </row>
    <row r="293">
      <c r="A293" s="2" t="inlineStr">
        <is>
          <t>OGG.V</t>
        </is>
      </c>
      <c r="B293" s="2" t="inlineStr">
        <is>
          <t>Osisko Gold Group Inc (formerly Osisko Development)</t>
        </is>
      </c>
      <c r="C293" s="2" t="inlineStr">
        <is>
          <t>CAD</t>
        </is>
      </c>
      <c r="D293" s="2" t="n">
        <v>2026</v>
      </c>
      <c r="E293" s="12" t="n">
        <v>46290</v>
      </c>
      <c r="F293" s="2" t="n">
        <v>4.77</v>
      </c>
      <c r="G293" s="2" t="n">
        <v>6.63</v>
      </c>
      <c r="H293" s="2" t="n">
        <v>3.07</v>
      </c>
      <c r="I293" s="2" t="n">
        <v>3.98</v>
      </c>
      <c r="J293" s="2" t="n">
        <v>4.3073</v>
      </c>
      <c r="K293" s="2" t="n">
        <v>0</v>
      </c>
      <c r="L293" s="13" t="n">
        <v>0</v>
      </c>
      <c r="M293" s="13" t="n">
        <v>0.026</v>
      </c>
      <c r="N293" s="2" t="n">
        <v>4.1924</v>
      </c>
      <c r="O293" s="2" t="n">
        <v>2028</v>
      </c>
      <c r="P293" s="2" t="n"/>
      <c r="Q293" s="13" t="n"/>
    </row>
    <row r="294">
      <c r="A294" s="2" t="inlineStr">
        <is>
          <t>OLA.TO</t>
        </is>
      </c>
      <c r="B294" s="2" t="inlineStr">
        <is>
          <t>Orla Mining Ltd</t>
        </is>
      </c>
      <c r="C294" s="2" t="inlineStr">
        <is>
          <t>CAD</t>
        </is>
      </c>
      <c r="D294" s="2" t="n">
        <v>2017</v>
      </c>
      <c r="E294" s="2" t="inlineStr">
        <is>
          <t>2017-12-29</t>
        </is>
      </c>
      <c r="F294" s="2" t="n"/>
      <c r="G294" s="2" t="n"/>
      <c r="H294" s="2" t="n"/>
      <c r="I294" s="2" t="n">
        <v>1.78</v>
      </c>
      <c r="J294" s="2" t="n"/>
      <c r="K294" s="2" t="n"/>
      <c r="L294" s="13" t="n"/>
      <c r="M294" s="13" t="n">
        <v>0.0169</v>
      </c>
      <c r="N294" s="2" t="n">
        <v>1.8412</v>
      </c>
      <c r="O294" s="2" t="n">
        <v>2019</v>
      </c>
      <c r="P294" s="2" t="n">
        <v>2</v>
      </c>
      <c r="Q294" s="13" t="n">
        <v>0.0863</v>
      </c>
    </row>
    <row r="295">
      <c r="A295" s="2" t="inlineStr">
        <is>
          <t>OLA.TO</t>
        </is>
      </c>
      <c r="B295" s="2" t="inlineStr">
        <is>
          <t>Orla Mining Ltd</t>
        </is>
      </c>
      <c r="C295" s="2" t="inlineStr">
        <is>
          <t>CAD</t>
        </is>
      </c>
      <c r="D295" s="2" t="n">
        <v>2018</v>
      </c>
      <c r="E295" s="2" t="inlineStr">
        <is>
          <t>2018-12-31</t>
        </is>
      </c>
      <c r="F295" s="2" t="n"/>
      <c r="G295" s="2" t="n"/>
      <c r="H295" s="2" t="n"/>
      <c r="I295" s="2" t="n">
        <v>1.05</v>
      </c>
      <c r="J295" s="2" t="n"/>
      <c r="K295" s="2" t="n"/>
      <c r="L295" s="13" t="n"/>
      <c r="M295" s="13" t="n">
        <v>0.0186</v>
      </c>
      <c r="N295" s="2" t="n">
        <v>1.0898</v>
      </c>
      <c r="O295" s="2" t="n">
        <v>2020</v>
      </c>
      <c r="P295" s="2" t="n">
        <v>6.86</v>
      </c>
      <c r="Q295" s="13" t="n">
        <v>5.2948</v>
      </c>
    </row>
    <row r="296">
      <c r="A296" s="2" t="inlineStr">
        <is>
          <t>OLA.TO</t>
        </is>
      </c>
      <c r="B296" s="2" t="inlineStr">
        <is>
          <t>Orla Mining Ltd</t>
        </is>
      </c>
      <c r="C296" s="2" t="inlineStr">
        <is>
          <t>CAD</t>
        </is>
      </c>
      <c r="D296" s="2" t="n">
        <v>2019</v>
      </c>
      <c r="E296" s="2" t="inlineStr">
        <is>
          <t>2019-12-31</t>
        </is>
      </c>
      <c r="F296" s="2" t="n"/>
      <c r="G296" s="2" t="n"/>
      <c r="H296" s="2" t="n"/>
      <c r="I296" s="2" t="n">
        <v>2</v>
      </c>
      <c r="J296" s="2" t="n"/>
      <c r="K296" s="2" t="n"/>
      <c r="L296" s="13" t="n"/>
      <c r="M296" s="13" t="n">
        <v>0.017</v>
      </c>
      <c r="N296" s="2" t="n">
        <v>2.0692</v>
      </c>
      <c r="O296" s="2" t="n">
        <v>2021</v>
      </c>
      <c r="P296" s="2" t="n">
        <v>4.83</v>
      </c>
      <c r="Q296" s="13" t="n">
        <v>1.3343</v>
      </c>
    </row>
    <row r="297">
      <c r="A297" s="2" t="inlineStr">
        <is>
          <t>OLA.TO</t>
        </is>
      </c>
      <c r="B297" s="2" t="inlineStr">
        <is>
          <t>Orla Mining Ltd</t>
        </is>
      </c>
      <c r="C297" s="2" t="inlineStr">
        <is>
          <t>CAD</t>
        </is>
      </c>
      <c r="D297" s="2" t="n">
        <v>2020</v>
      </c>
      <c r="E297" s="2" t="inlineStr">
        <is>
          <t>2020-12-31</t>
        </is>
      </c>
      <c r="F297" s="2" t="n"/>
      <c r="G297" s="2" t="n"/>
      <c r="H297" s="2" t="n"/>
      <c r="I297" s="2" t="n">
        <v>6.86</v>
      </c>
      <c r="J297" s="2" t="n"/>
      <c r="K297" s="2" t="n"/>
      <c r="L297" s="13" t="n"/>
      <c r="M297" s="13" t="n">
        <v>0.002</v>
      </c>
      <c r="N297" s="2" t="n">
        <v>6.8875</v>
      </c>
      <c r="O297" s="2" t="n">
        <v>2022</v>
      </c>
      <c r="P297" s="2" t="n">
        <v>5.48</v>
      </c>
      <c r="Q297" s="13" t="n">
        <v>-0.2044</v>
      </c>
    </row>
    <row r="298">
      <c r="A298" s="2" t="inlineStr">
        <is>
          <t>OLA.TO</t>
        </is>
      </c>
      <c r="B298" s="2" t="inlineStr">
        <is>
          <t>Orla Mining Ltd</t>
        </is>
      </c>
      <c r="C298" s="2" t="inlineStr">
        <is>
          <t>CAD</t>
        </is>
      </c>
      <c r="D298" s="2" t="n">
        <v>2021</v>
      </c>
      <c r="E298" s="2" t="inlineStr">
        <is>
          <t>2021-12-31</t>
        </is>
      </c>
      <c r="F298" s="2" t="n"/>
      <c r="G298" s="2" t="n"/>
      <c r="H298" s="2" t="n"/>
      <c r="I298" s="2" t="n">
        <v>4.83</v>
      </c>
      <c r="J298" s="2" t="n"/>
      <c r="K298" s="2" t="n"/>
      <c r="L298" s="13" t="n"/>
      <c r="M298" s="13" t="n">
        <v>0.0095</v>
      </c>
      <c r="N298" s="2" t="n">
        <v>4.9226</v>
      </c>
      <c r="O298" s="2" t="n">
        <v>2023</v>
      </c>
      <c r="P298" s="2" t="n">
        <v>4.32</v>
      </c>
      <c r="Q298" s="13" t="n">
        <v>-0.1224</v>
      </c>
    </row>
    <row r="299">
      <c r="A299" s="2" t="inlineStr">
        <is>
          <t>OLA.TO</t>
        </is>
      </c>
      <c r="B299" s="2" t="inlineStr">
        <is>
          <t>Orla Mining Ltd</t>
        </is>
      </c>
      <c r="C299" s="2" t="inlineStr">
        <is>
          <t>CAD</t>
        </is>
      </c>
      <c r="D299" s="2" t="n">
        <v>2022</v>
      </c>
      <c r="E299" s="2" t="inlineStr">
        <is>
          <t>2022-12-30</t>
        </is>
      </c>
      <c r="F299" s="2" t="n"/>
      <c r="G299" s="2" t="n"/>
      <c r="H299" s="2" t="n"/>
      <c r="I299" s="2" t="n">
        <v>5.48</v>
      </c>
      <c r="J299" s="2" t="n"/>
      <c r="K299" s="2" t="n"/>
      <c r="L299" s="13" t="n"/>
      <c r="M299" s="13" t="n">
        <v>0.0405</v>
      </c>
      <c r="N299" s="2" t="n">
        <v>5.9424</v>
      </c>
      <c r="O299" s="2" t="n">
        <v>2024</v>
      </c>
      <c r="P299" s="2" t="n">
        <v>7.96</v>
      </c>
      <c r="Q299" s="13" t="n">
        <v>0.3395</v>
      </c>
    </row>
    <row r="300">
      <c r="A300" s="2" t="inlineStr">
        <is>
          <t>OLA.TO</t>
        </is>
      </c>
      <c r="B300" s="2" t="inlineStr">
        <is>
          <t>Orla Mining Ltd</t>
        </is>
      </c>
      <c r="C300" s="2" t="inlineStr">
        <is>
          <t>CAD</t>
        </is>
      </c>
      <c r="D300" s="2" t="n">
        <v>2023</v>
      </c>
      <c r="E300" s="2" t="inlineStr">
        <is>
          <t>2023-12-29</t>
        </is>
      </c>
      <c r="F300" s="2" t="n"/>
      <c r="G300" s="2" t="n"/>
      <c r="H300" s="2" t="n"/>
      <c r="I300" s="2" t="n">
        <v>4.32</v>
      </c>
      <c r="J300" s="2" t="n"/>
      <c r="K300" s="2" t="n"/>
      <c r="L300" s="13" t="n"/>
      <c r="M300" s="13" t="n">
        <v>0.0388</v>
      </c>
      <c r="N300" s="2" t="n">
        <v>4.6686</v>
      </c>
      <c r="O300" s="2" t="n">
        <v>2025</v>
      </c>
      <c r="P300" s="2" t="n">
        <v>18.46</v>
      </c>
      <c r="Q300" s="13" t="n">
        <v>2.9541</v>
      </c>
    </row>
    <row r="301">
      <c r="A301" s="2" t="inlineStr">
        <is>
          <t>OLA.TO</t>
        </is>
      </c>
      <c r="B301" s="2" t="inlineStr">
        <is>
          <t>Orla Mining Ltd</t>
        </is>
      </c>
      <c r="C301" s="2" t="inlineStr">
        <is>
          <t>CAD</t>
        </is>
      </c>
      <c r="D301" s="2" t="n">
        <v>2024</v>
      </c>
      <c r="E301" s="2" t="inlineStr">
        <is>
          <t>2024-12-31</t>
        </is>
      </c>
      <c r="F301" s="2" t="n"/>
      <c r="G301" s="2" t="n"/>
      <c r="H301" s="2" t="n"/>
      <c r="I301" s="2" t="n">
        <v>7.96</v>
      </c>
      <c r="J301" s="2" t="n"/>
      <c r="K301" s="2" t="n"/>
      <c r="L301" s="13" t="n"/>
      <c r="M301" s="13" t="n">
        <v>0.0293</v>
      </c>
      <c r="N301" s="2" t="n">
        <v>8.4404</v>
      </c>
      <c r="O301" s="2" t="n">
        <v>2026</v>
      </c>
      <c r="P301" s="2" t="n">
        <v>13.46</v>
      </c>
      <c r="Q301" s="13" t="n">
        <v>0.5947</v>
      </c>
    </row>
    <row r="302">
      <c r="A302" s="2" t="inlineStr">
        <is>
          <t>OLA.TO</t>
        </is>
      </c>
      <c r="B302" s="2" t="inlineStr">
        <is>
          <t>Orla Mining Ltd</t>
        </is>
      </c>
      <c r="C302" s="2" t="inlineStr">
        <is>
          <t>CAD</t>
        </is>
      </c>
      <c r="D302" s="2" t="n">
        <v>2025</v>
      </c>
      <c r="E302" s="2" t="inlineStr">
        <is>
          <t>2025-12-31</t>
        </is>
      </c>
      <c r="F302" s="2" t="n"/>
      <c r="G302" s="2" t="n"/>
      <c r="H302" s="2" t="n"/>
      <c r="I302" s="2" t="n">
        <v>18.46</v>
      </c>
      <c r="J302" s="2" t="n"/>
      <c r="K302" s="2" t="n"/>
      <c r="L302" s="13" t="n"/>
      <c r="M302" s="13" t="n">
        <v>0.026</v>
      </c>
      <c r="N302" s="2" t="n">
        <v>19.4453</v>
      </c>
      <c r="O302" s="2" t="n">
        <v>2027</v>
      </c>
      <c r="P302" s="2" t="n"/>
      <c r="Q302" s="13" t="n"/>
    </row>
    <row r="303">
      <c r="A303" s="2" t="inlineStr">
        <is>
          <t>OLA.TO</t>
        </is>
      </c>
      <c r="B303" s="2" t="inlineStr">
        <is>
          <t>Orla Mining Ltd</t>
        </is>
      </c>
      <c r="C303" s="2" t="inlineStr">
        <is>
          <t>CAD</t>
        </is>
      </c>
      <c r="D303" s="2" t="n">
        <v>2026</v>
      </c>
      <c r="E303" s="2" t="inlineStr">
        <is>
          <t>2026-08-04</t>
        </is>
      </c>
      <c r="F303" s="2" t="n">
        <v>12.36</v>
      </c>
      <c r="G303" s="2" t="n">
        <v>13.61</v>
      </c>
      <c r="H303" s="2" t="n">
        <v>12.26</v>
      </c>
      <c r="I303" s="2" t="n">
        <v>13.46</v>
      </c>
      <c r="J303" s="2" t="n">
        <v>13.46</v>
      </c>
      <c r="K303" s="2" t="n">
        <v>0</v>
      </c>
      <c r="L303" s="13" t="n">
        <v>0</v>
      </c>
      <c r="M303" s="13" t="n">
        <v>0.026</v>
      </c>
      <c r="N303" s="2" t="n">
        <v>14.1784</v>
      </c>
      <c r="O303" s="2" t="n">
        <v>2028</v>
      </c>
      <c r="P303" s="2" t="n"/>
      <c r="Q303" s="13" t="n"/>
    </row>
    <row r="304">
      <c r="A304" s="2" t="inlineStr">
        <is>
          <t>PGM.V</t>
        </is>
      </c>
      <c r="B304" s="2" t="inlineStr">
        <is>
          <t>Pure Gold Mining Inc</t>
        </is>
      </c>
      <c r="C304" s="2" t="inlineStr">
        <is>
          <t>CAD</t>
        </is>
      </c>
      <c r="D304" s="2" t="n">
        <v>2017</v>
      </c>
      <c r="E304" s="2" t="inlineStr">
        <is>
          <t>2017-12-29</t>
        </is>
      </c>
      <c r="F304" s="2" t="n"/>
      <c r="G304" s="2" t="n"/>
      <c r="H304" s="2" t="n"/>
      <c r="I304" s="2" t="n">
        <v>0.5600000000000001</v>
      </c>
      <c r="J304" s="2" t="n"/>
      <c r="K304" s="2" t="n"/>
      <c r="L304" s="13" t="n"/>
      <c r="M304" s="13" t="n">
        <v>0.0169</v>
      </c>
      <c r="N304" s="2" t="n">
        <v>0.5793</v>
      </c>
      <c r="O304" s="2" t="n">
        <v>2019</v>
      </c>
      <c r="P304" s="2" t="n">
        <v>0.8100000000000001</v>
      </c>
      <c r="Q304" s="13" t="n">
        <v>0.3984</v>
      </c>
    </row>
    <row r="305">
      <c r="A305" s="2" t="inlineStr">
        <is>
          <t>PGM.V</t>
        </is>
      </c>
      <c r="B305" s="2" t="inlineStr">
        <is>
          <t>Pure Gold Mining Inc</t>
        </is>
      </c>
      <c r="C305" s="2" t="inlineStr">
        <is>
          <t>CAD</t>
        </is>
      </c>
      <c r="D305" s="2" t="n">
        <v>2018</v>
      </c>
      <c r="E305" s="2" t="inlineStr">
        <is>
          <t>2018-12-31</t>
        </is>
      </c>
      <c r="F305" s="2" t="n"/>
      <c r="G305" s="2" t="n"/>
      <c r="H305" s="2" t="n"/>
      <c r="I305" s="2" t="n">
        <v>0.65</v>
      </c>
      <c r="J305" s="2" t="n"/>
      <c r="K305" s="2" t="n"/>
      <c r="L305" s="13" t="n"/>
      <c r="M305" s="13" t="n">
        <v>0.0186</v>
      </c>
      <c r="N305" s="2" t="n">
        <v>0.6746</v>
      </c>
      <c r="O305" s="2" t="n">
        <v>2020</v>
      </c>
      <c r="P305" s="2" t="n">
        <v>2.58</v>
      </c>
      <c r="Q305" s="13" t="n">
        <v>2.8243</v>
      </c>
    </row>
    <row r="306">
      <c r="A306" s="2" t="inlineStr">
        <is>
          <t>PGM.V</t>
        </is>
      </c>
      <c r="B306" s="2" t="inlineStr">
        <is>
          <t>Pure Gold Mining Inc</t>
        </is>
      </c>
      <c r="C306" s="2" t="inlineStr">
        <is>
          <t>CAD</t>
        </is>
      </c>
      <c r="D306" s="2" t="n">
        <v>2019</v>
      </c>
      <c r="E306" s="2" t="inlineStr">
        <is>
          <t>2019-12-31</t>
        </is>
      </c>
      <c r="F306" s="2" t="n"/>
      <c r="G306" s="2" t="n"/>
      <c r="H306" s="2" t="n"/>
      <c r="I306" s="2" t="n">
        <v>0.8100000000000001</v>
      </c>
      <c r="J306" s="2" t="n"/>
      <c r="K306" s="2" t="n"/>
      <c r="L306" s="13" t="n"/>
      <c r="M306" s="13" t="n">
        <v>0.017</v>
      </c>
      <c r="N306" s="2" t="n">
        <v>0.838</v>
      </c>
      <c r="O306" s="2" t="n">
        <v>2021</v>
      </c>
      <c r="P306" s="2" t="n">
        <v>0.68</v>
      </c>
      <c r="Q306" s="13" t="n">
        <v>-0.1886</v>
      </c>
    </row>
    <row r="307">
      <c r="A307" s="2" t="inlineStr">
        <is>
          <t>PGM.V</t>
        </is>
      </c>
      <c r="B307" s="2" t="inlineStr">
        <is>
          <t>Pure Gold Mining Inc</t>
        </is>
      </c>
      <c r="C307" s="2" t="inlineStr">
        <is>
          <t>CAD</t>
        </is>
      </c>
      <c r="D307" s="2" t="n">
        <v>2020</v>
      </c>
      <c r="E307" s="2" t="inlineStr">
        <is>
          <t>2020-12-31</t>
        </is>
      </c>
      <c r="F307" s="2" t="n"/>
      <c r="G307" s="2" t="n"/>
      <c r="H307" s="2" t="n"/>
      <c r="I307" s="2" t="n">
        <v>2.58</v>
      </c>
      <c r="J307" s="2" t="n"/>
      <c r="K307" s="2" t="n"/>
      <c r="L307" s="13" t="n"/>
      <c r="M307" s="13" t="n">
        <v>0.002</v>
      </c>
      <c r="N307" s="2" t="n">
        <v>2.5903</v>
      </c>
      <c r="O307" s="2" t="n">
        <v>2022</v>
      </c>
      <c r="P307" s="2" t="n">
        <v>0.015</v>
      </c>
      <c r="Q307" s="13" t="n">
        <v>-0.9942</v>
      </c>
    </row>
    <row r="308">
      <c r="A308" s="2" t="inlineStr">
        <is>
          <t>PGM.V</t>
        </is>
      </c>
      <c r="B308" s="2" t="inlineStr">
        <is>
          <t>Pure Gold Mining Inc</t>
        </is>
      </c>
      <c r="C308" s="2" t="inlineStr">
        <is>
          <t>CAD</t>
        </is>
      </c>
      <c r="D308" s="2" t="n">
        <v>2021</v>
      </c>
      <c r="E308" s="2" t="inlineStr">
        <is>
          <t>2021-12-31</t>
        </is>
      </c>
      <c r="F308" s="2" t="n"/>
      <c r="G308" s="2" t="n"/>
      <c r="H308" s="2" t="n"/>
      <c r="I308" s="2" t="n">
        <v>0.68</v>
      </c>
      <c r="J308" s="2" t="n"/>
      <c r="K308" s="2" t="n"/>
      <c r="L308" s="13" t="n"/>
      <c r="M308" s="13" t="n">
        <v>0.0095</v>
      </c>
      <c r="N308" s="2" t="n">
        <v>0.6929999999999999</v>
      </c>
      <c r="O308" s="2" t="n">
        <v>2023</v>
      </c>
      <c r="P308" s="2" t="n"/>
      <c r="Q308" s="13" t="n"/>
    </row>
    <row r="309">
      <c r="A309" s="2" t="inlineStr">
        <is>
          <t>PGM.V</t>
        </is>
      </c>
      <c r="B309" s="2" t="inlineStr">
        <is>
          <t>Pure Gold Mining Inc</t>
        </is>
      </c>
      <c r="C309" s="2" t="inlineStr">
        <is>
          <t>CAD</t>
        </is>
      </c>
      <c r="D309" s="2" t="n">
        <v>2022</v>
      </c>
      <c r="E309" s="2" t="inlineStr">
        <is>
          <t>2022-11-01</t>
        </is>
      </c>
      <c r="F309" s="2" t="n"/>
      <c r="G309" s="2" t="n"/>
      <c r="H309" s="2" t="n"/>
      <c r="I309" s="2" t="n">
        <v>0.015</v>
      </c>
      <c r="J309" s="2" t="n"/>
      <c r="K309" s="2" t="n"/>
      <c r="L309" s="13" t="n"/>
      <c r="M309" s="13" t="n">
        <v>0.0405</v>
      </c>
      <c r="N309" s="2" t="n">
        <v>0.0163</v>
      </c>
      <c r="O309" s="2" t="n">
        <v>2024</v>
      </c>
      <c r="P309" s="2" t="n"/>
      <c r="Q309" s="13" t="n"/>
    </row>
    <row r="310">
      <c r="A310" s="2" t="inlineStr">
        <is>
          <t>PNR.AX</t>
        </is>
      </c>
      <c r="B310" s="2" t="inlineStr">
        <is>
          <t>Pantoro Gold Ltd</t>
        </is>
      </c>
      <c r="C310" s="2" t="inlineStr">
        <is>
          <t>AUD</t>
        </is>
      </c>
      <c r="D310" s="2" t="n">
        <v>2017</v>
      </c>
      <c r="E310" s="12" t="n">
        <v>43098</v>
      </c>
      <c r="F310" s="2" t="n">
        <v>0.17</v>
      </c>
      <c r="G310" s="2" t="n">
        <v>0.255</v>
      </c>
      <c r="H310" s="2" t="n">
        <v>0.17</v>
      </c>
      <c r="I310" s="2" t="n">
        <v>0.215</v>
      </c>
      <c r="J310" s="2" t="n">
        <v>0.2137</v>
      </c>
      <c r="K310" s="2" t="n">
        <v>0</v>
      </c>
      <c r="L310" s="13" t="n">
        <v>0</v>
      </c>
      <c r="M310" s="13" t="n">
        <v>0.02</v>
      </c>
      <c r="N310" s="2" t="n">
        <v>0.2238</v>
      </c>
      <c r="O310" s="2" t="n">
        <v>2019</v>
      </c>
      <c r="P310" s="2" t="n">
        <v>0.155</v>
      </c>
      <c r="Q310" s="13" t="n">
        <v>-0.3073</v>
      </c>
    </row>
    <row r="311">
      <c r="A311" s="2" t="inlineStr">
        <is>
          <t>PNR.AX</t>
        </is>
      </c>
      <c r="B311" s="2" t="inlineStr">
        <is>
          <t>Pantoro Gold Ltd</t>
        </is>
      </c>
      <c r="C311" s="2" t="inlineStr">
        <is>
          <t>AUD</t>
        </is>
      </c>
      <c r="D311" s="2" t="n">
        <v>2018</v>
      </c>
      <c r="E311" s="12" t="n">
        <v>43465</v>
      </c>
      <c r="F311" s="2" t="n">
        <v>0.21</v>
      </c>
      <c r="G311" s="2" t="n">
        <v>0.38</v>
      </c>
      <c r="H311" s="2" t="n">
        <v>0.155</v>
      </c>
      <c r="I311" s="2" t="n">
        <v>0.2</v>
      </c>
      <c r="J311" s="2" t="n">
        <v>0.2598</v>
      </c>
      <c r="K311" s="2" t="n">
        <v>0</v>
      </c>
      <c r="L311" s="13" t="n">
        <v>0</v>
      </c>
      <c r="M311" s="13" t="n">
        <v>0.019</v>
      </c>
      <c r="N311" s="2" t="n">
        <v>0.2077</v>
      </c>
      <c r="O311" s="2" t="n">
        <v>2020</v>
      </c>
      <c r="P311" s="2" t="n">
        <v>0.22</v>
      </c>
      <c r="Q311" s="13" t="n">
        <v>0.059</v>
      </c>
    </row>
    <row r="312">
      <c r="A312" s="2" t="inlineStr">
        <is>
          <t>PNR.AX</t>
        </is>
      </c>
      <c r="B312" s="2" t="inlineStr">
        <is>
          <t>Pantoro Gold Ltd</t>
        </is>
      </c>
      <c r="C312" s="2" t="inlineStr">
        <is>
          <t>AUD</t>
        </is>
      </c>
      <c r="D312" s="2" t="n">
        <v>2019</v>
      </c>
      <c r="E312" s="12" t="n">
        <v>43830</v>
      </c>
      <c r="F312" s="2" t="n">
        <v>0.2</v>
      </c>
      <c r="G312" s="2" t="n">
        <v>0.275</v>
      </c>
      <c r="H312" s="2" t="n">
        <v>0.135</v>
      </c>
      <c r="I312" s="2" t="n">
        <v>0.155</v>
      </c>
      <c r="J312" s="2" t="n">
        <v>0.2043</v>
      </c>
      <c r="K312" s="2" t="n">
        <v>0</v>
      </c>
      <c r="L312" s="13" t="n">
        <v>0</v>
      </c>
      <c r="M312" s="13" t="n">
        <v>0.008999999999999999</v>
      </c>
      <c r="N312" s="2" t="n">
        <v>0.1578</v>
      </c>
      <c r="O312" s="2" t="n">
        <v>2021</v>
      </c>
      <c r="P312" s="2" t="n">
        <v>0.335</v>
      </c>
      <c r="Q312" s="13" t="n">
        <v>1.1227</v>
      </c>
    </row>
    <row r="313">
      <c r="A313" s="2" t="inlineStr">
        <is>
          <t>PNR.AX</t>
        </is>
      </c>
      <c r="B313" s="2" t="inlineStr">
        <is>
          <t>Pantoro Gold Ltd</t>
        </is>
      </c>
      <c r="C313" s="2" t="inlineStr">
        <is>
          <t>AUD</t>
        </is>
      </c>
      <c r="D313" s="2" t="n">
        <v>2020</v>
      </c>
      <c r="E313" s="12" t="n">
        <v>44196</v>
      </c>
      <c r="F313" s="2" t="n">
        <v>0.155</v>
      </c>
      <c r="G313" s="2" t="n">
        <v>0.29</v>
      </c>
      <c r="H313" s="2" t="n">
        <v>0.065</v>
      </c>
      <c r="I313" s="2" t="n">
        <v>0.22</v>
      </c>
      <c r="J313" s="2" t="n">
        <v>0.1813</v>
      </c>
      <c r="K313" s="2" t="n">
        <v>0</v>
      </c>
      <c r="L313" s="13" t="n">
        <v>0</v>
      </c>
      <c r="M313" s="13" t="n">
        <v>0.001</v>
      </c>
      <c r="N313" s="2" t="n">
        <v>0.2204</v>
      </c>
      <c r="O313" s="2" t="n">
        <v>2022</v>
      </c>
      <c r="P313" s="2" t="n">
        <v>0.096</v>
      </c>
      <c r="Q313" s="13" t="n">
        <v>-0.5645</v>
      </c>
    </row>
    <row r="314">
      <c r="A314" s="2" t="inlineStr">
        <is>
          <t>PNR.AX</t>
        </is>
      </c>
      <c r="B314" s="2" t="inlineStr">
        <is>
          <t>Pantoro Gold Ltd</t>
        </is>
      </c>
      <c r="C314" s="2" t="inlineStr">
        <is>
          <t>AUD</t>
        </is>
      </c>
      <c r="D314" s="2" t="n">
        <v>2021</v>
      </c>
      <c r="E314" s="12" t="n">
        <v>44561</v>
      </c>
      <c r="F314" s="2" t="n">
        <v>0.22</v>
      </c>
      <c r="G314" s="2" t="n">
        <v>0.365</v>
      </c>
      <c r="H314" s="2" t="n">
        <v>0.18</v>
      </c>
      <c r="I314" s="2" t="n">
        <v>0.335</v>
      </c>
      <c r="J314" s="2" t="n">
        <v>0.2301</v>
      </c>
      <c r="K314" s="2" t="n">
        <v>0</v>
      </c>
      <c r="L314" s="13" t="n">
        <v>0</v>
      </c>
      <c r="M314" s="13" t="n">
        <v>0.006</v>
      </c>
      <c r="N314" s="2" t="n">
        <v>0.339</v>
      </c>
      <c r="O314" s="2" t="n">
        <v>2023</v>
      </c>
      <c r="P314" s="2" t="n">
        <v>0.057</v>
      </c>
      <c r="Q314" s="13" t="n">
        <v>-0.8319</v>
      </c>
    </row>
    <row r="315">
      <c r="A315" s="2" t="inlineStr">
        <is>
          <t>PNR.AX</t>
        </is>
      </c>
      <c r="B315" s="2" t="inlineStr">
        <is>
          <t>Pantoro Gold Ltd</t>
        </is>
      </c>
      <c r="C315" s="2" t="inlineStr">
        <is>
          <t>AUD</t>
        </is>
      </c>
      <c r="D315" s="2" t="n">
        <v>2022</v>
      </c>
      <c r="E315" s="12" t="n">
        <v>44925</v>
      </c>
      <c r="F315" s="2" t="n">
        <v>0.335</v>
      </c>
      <c r="G315" s="2" t="n">
        <v>0.425</v>
      </c>
      <c r="H315" s="2" t="n">
        <v>0.08699999999999999</v>
      </c>
      <c r="I315" s="2" t="n">
        <v>0.096</v>
      </c>
      <c r="J315" s="2" t="n">
        <v>0.2268</v>
      </c>
      <c r="K315" s="2" t="n">
        <v>0</v>
      </c>
      <c r="L315" s="13" t="n">
        <v>0</v>
      </c>
      <c r="M315" s="13" t="n">
        <v>0.035</v>
      </c>
      <c r="N315" s="2" t="n">
        <v>0.103</v>
      </c>
      <c r="O315" s="2" t="n">
        <v>2024</v>
      </c>
      <c r="P315" s="2" t="n">
        <v>0.09</v>
      </c>
      <c r="Q315" s="13" t="n">
        <v>-0.1259</v>
      </c>
    </row>
    <row r="316">
      <c r="A316" s="2" t="inlineStr">
        <is>
          <t>PNR.AX</t>
        </is>
      </c>
      <c r="B316" s="2" t="inlineStr">
        <is>
          <t>Pantoro Gold Ltd</t>
        </is>
      </c>
      <c r="C316" s="2" t="inlineStr">
        <is>
          <t>AUD</t>
        </is>
      </c>
      <c r="D316" s="2" t="n">
        <v>2023</v>
      </c>
      <c r="E316" s="12" t="n">
        <v>45289</v>
      </c>
      <c r="F316" s="2" t="n">
        <v>0.1</v>
      </c>
      <c r="G316" s="2" t="n">
        <v>0.115</v>
      </c>
      <c r="H316" s="2" t="n">
        <v>0.0275</v>
      </c>
      <c r="I316" s="2" t="n">
        <v>0.057</v>
      </c>
      <c r="J316" s="2" t="n">
        <v>0.0629</v>
      </c>
      <c r="K316" s="2" t="n">
        <v>0</v>
      </c>
      <c r="L316" s="13" t="n">
        <v>0</v>
      </c>
      <c r="M316" s="13" t="n">
        <v>0.037</v>
      </c>
      <c r="N316" s="2" t="n">
        <v>0.0614</v>
      </c>
      <c r="O316" s="2" t="n">
        <v>2025</v>
      </c>
      <c r="P316" s="2" t="n">
        <v>4.89</v>
      </c>
      <c r="Q316" s="13" t="n">
        <v>3.6865</v>
      </c>
    </row>
    <row r="317">
      <c r="A317" s="2" t="inlineStr">
        <is>
          <t>PNR.AX</t>
        </is>
      </c>
      <c r="B317" s="2" t="inlineStr">
        <is>
          <t>Pantoro Gold Ltd</t>
        </is>
      </c>
      <c r="C317" s="2" t="inlineStr">
        <is>
          <t>AUD</t>
        </is>
      </c>
      <c r="D317" s="2" t="n">
        <v>2024</v>
      </c>
      <c r="E317" s="12" t="n">
        <v>45657</v>
      </c>
      <c r="F317" s="2" t="n">
        <v>0.055</v>
      </c>
      <c r="G317" s="2" t="n">
        <v>0.13</v>
      </c>
      <c r="H317" s="2" t="n">
        <v>0.038</v>
      </c>
      <c r="I317" s="2" t="n">
        <v>0.09</v>
      </c>
      <c r="J317" s="2" t="n">
        <v>0.08599999999999999</v>
      </c>
      <c r="K317" s="2" t="n">
        <v>0</v>
      </c>
      <c r="L317" s="13" t="n">
        <v>0</v>
      </c>
      <c r="M317" s="13" t="n">
        <v>0.0385</v>
      </c>
      <c r="N317" s="2" t="n">
        <v>0.09719999999999999</v>
      </c>
      <c r="O317" s="2" t="n">
        <v>2026</v>
      </c>
      <c r="P317" s="2" t="n">
        <v>2.94</v>
      </c>
      <c r="Q317" s="13" t="n">
        <v>0.7792</v>
      </c>
    </row>
    <row r="318">
      <c r="A318" s="2" t="inlineStr">
        <is>
          <t>PNR.AX</t>
        </is>
      </c>
      <c r="B318" s="2" t="inlineStr">
        <is>
          <t>Pantoro Gold Ltd</t>
        </is>
      </c>
      <c r="C318" s="2" t="inlineStr">
        <is>
          <t>AUD</t>
        </is>
      </c>
      <c r="D318" s="2" t="n">
        <v>2025</v>
      </c>
      <c r="E318" s="12" t="n">
        <v>46022</v>
      </c>
      <c r="F318" s="2" t="n">
        <v>0.09</v>
      </c>
      <c r="G318" s="2" t="n">
        <v>6.61</v>
      </c>
      <c r="H318" s="2" t="n">
        <v>0.08799999999999999</v>
      </c>
      <c r="I318" s="2" t="n">
        <v>4.89</v>
      </c>
      <c r="J318" s="2" t="n">
        <v>3.1995</v>
      </c>
      <c r="K318" s="2" t="n">
        <v>0</v>
      </c>
      <c r="L318" s="13" t="n">
        <v>0</v>
      </c>
      <c r="M318" s="13" t="n">
        <v>0.039</v>
      </c>
      <c r="N318" s="2" t="n">
        <v>5.2867</v>
      </c>
      <c r="O318" s="2" t="n">
        <v>2027</v>
      </c>
      <c r="P318" s="2" t="n"/>
      <c r="Q318" s="13" t="n"/>
    </row>
    <row r="319">
      <c r="A319" s="2" t="inlineStr">
        <is>
          <t>PNR.AX</t>
        </is>
      </c>
      <c r="B319" s="2" t="inlineStr">
        <is>
          <t>Pantoro Gold Ltd</t>
        </is>
      </c>
      <c r="C319" s="2" t="inlineStr">
        <is>
          <t>AUD</t>
        </is>
      </c>
      <c r="D319" s="2" t="n">
        <v>2026</v>
      </c>
      <c r="E319" s="12" t="n">
        <v>46290</v>
      </c>
      <c r="F319" s="2" t="n">
        <v>4.9</v>
      </c>
      <c r="G319" s="2" t="n">
        <v>5.98</v>
      </c>
      <c r="H319" s="2" t="n">
        <v>1.715</v>
      </c>
      <c r="I319" s="2" t="n">
        <v>2.94</v>
      </c>
      <c r="J319" s="2" t="n">
        <v>3.4512</v>
      </c>
      <c r="K319" s="2" t="n">
        <v>0</v>
      </c>
      <c r="L319" s="13" t="n">
        <v>0</v>
      </c>
      <c r="M319" s="13" t="n">
        <v>0.039</v>
      </c>
      <c r="N319" s="2" t="n">
        <v>3.1785</v>
      </c>
      <c r="O319" s="2" t="n">
        <v>2028</v>
      </c>
      <c r="P319" s="2" t="n"/>
      <c r="Q319" s="13" t="n"/>
    </row>
    <row r="320">
      <c r="A320" s="2" t="inlineStr">
        <is>
          <t>PSAB.JK</t>
        </is>
      </c>
      <c r="B320" s="2" t="inlineStr">
        <is>
          <t>PT J Resources Asia Pasifik Tbk</t>
        </is>
      </c>
      <c r="C320" s="2" t="inlineStr">
        <is>
          <t>IDR</t>
        </is>
      </c>
      <c r="D320" s="2" t="n">
        <v>2017</v>
      </c>
      <c r="E320" s="12" t="n">
        <v>43098</v>
      </c>
      <c r="F320" s="2" t="n">
        <v>244</v>
      </c>
      <c r="G320" s="2" t="n">
        <v>316</v>
      </c>
      <c r="H320" s="2" t="n">
        <v>153</v>
      </c>
      <c r="I320" s="2" t="n">
        <v>179</v>
      </c>
      <c r="J320" s="2" t="n">
        <v>218.9646</v>
      </c>
      <c r="K320" s="2" t="n">
        <v>0</v>
      </c>
      <c r="L320" s="13" t="n">
        <v>0</v>
      </c>
      <c r="M320" s="13" t="n">
        <v>0.058</v>
      </c>
      <c r="N320" s="2" t="n">
        <v>201.0163</v>
      </c>
      <c r="O320" s="2" t="n">
        <v>2019</v>
      </c>
      <c r="P320" s="2" t="n">
        <v>260</v>
      </c>
      <c r="Q320" s="13" t="n">
        <v>0.2934</v>
      </c>
    </row>
    <row r="321">
      <c r="A321" s="2" t="inlineStr">
        <is>
          <t>PSAB.JK</t>
        </is>
      </c>
      <c r="B321" s="2" t="inlineStr">
        <is>
          <t>PT J Resources Asia Pasifik Tbk</t>
        </is>
      </c>
      <c r="C321" s="2" t="inlineStr">
        <is>
          <t>IDR</t>
        </is>
      </c>
      <c r="D321" s="2" t="n">
        <v>2018</v>
      </c>
      <c r="E321" s="12" t="n">
        <v>43465</v>
      </c>
      <c r="F321" s="2" t="n">
        <v>179</v>
      </c>
      <c r="G321" s="2" t="n">
        <v>312</v>
      </c>
      <c r="H321" s="2" t="n">
        <v>147</v>
      </c>
      <c r="I321" s="2" t="n">
        <v>202</v>
      </c>
      <c r="J321" s="2" t="n">
        <v>212.0345</v>
      </c>
      <c r="K321" s="2" t="n">
        <v>0</v>
      </c>
      <c r="L321" s="13" t="n">
        <v>0</v>
      </c>
      <c r="M321" s="13" t="n">
        <v>0.077</v>
      </c>
      <c r="N321" s="2" t="n">
        <v>235.6312</v>
      </c>
      <c r="O321" s="2" t="n">
        <v>2020</v>
      </c>
      <c r="P321" s="2" t="n">
        <v>264</v>
      </c>
      <c r="Q321" s="13" t="n">
        <v>0.1204</v>
      </c>
    </row>
    <row r="322">
      <c r="A322" s="2" t="inlineStr">
        <is>
          <t>PSAB.JK</t>
        </is>
      </c>
      <c r="B322" s="2" t="inlineStr">
        <is>
          <t>PT J Resources Asia Pasifik Tbk</t>
        </is>
      </c>
      <c r="C322" s="2" t="inlineStr">
        <is>
          <t>IDR</t>
        </is>
      </c>
      <c r="D322" s="2" t="n">
        <v>2019</v>
      </c>
      <c r="E322" s="12" t="n">
        <v>43829</v>
      </c>
      <c r="F322" s="2" t="n">
        <v>202</v>
      </c>
      <c r="G322" s="2" t="n">
        <v>360</v>
      </c>
      <c r="H322" s="2" t="n">
        <v>177</v>
      </c>
      <c r="I322" s="2" t="n">
        <v>260</v>
      </c>
      <c r="J322" s="2" t="n">
        <v>231.3696</v>
      </c>
      <c r="K322" s="2" t="n">
        <v>0</v>
      </c>
      <c r="L322" s="13" t="n">
        <v>0</v>
      </c>
      <c r="M322" s="13" t="n">
        <v>0.057</v>
      </c>
      <c r="N322" s="2" t="n">
        <v>291.3956</v>
      </c>
      <c r="O322" s="2" t="n">
        <v>2021</v>
      </c>
      <c r="P322" s="2" t="n">
        <v>139</v>
      </c>
      <c r="Q322" s="13" t="n">
        <v>-0.523</v>
      </c>
    </row>
    <row r="323">
      <c r="A323" s="2" t="inlineStr">
        <is>
          <t>PSAB.JK</t>
        </is>
      </c>
      <c r="B323" s="2" t="inlineStr">
        <is>
          <t>PT J Resources Asia Pasifik Tbk</t>
        </is>
      </c>
      <c r="C323" s="2" t="inlineStr">
        <is>
          <t>IDR</t>
        </is>
      </c>
      <c r="D323" s="2" t="n">
        <v>2020</v>
      </c>
      <c r="E323" s="12" t="n">
        <v>44195</v>
      </c>
      <c r="F323" s="2" t="n">
        <v>262</v>
      </c>
      <c r="G323" s="2" t="n">
        <v>346</v>
      </c>
      <c r="H323" s="2" t="n">
        <v>173</v>
      </c>
      <c r="I323" s="2" t="n">
        <v>264</v>
      </c>
      <c r="J323" s="2" t="n">
        <v>220.6488</v>
      </c>
      <c r="K323" s="2" t="n">
        <v>0</v>
      </c>
      <c r="L323" s="13" t="n">
        <v>0</v>
      </c>
      <c r="M323" s="13" t="n">
        <v>0.041</v>
      </c>
      <c r="N323" s="2" t="n">
        <v>286.5603</v>
      </c>
      <c r="O323" s="2" t="n">
        <v>2022</v>
      </c>
      <c r="P323" s="2" t="n">
        <v>107</v>
      </c>
      <c r="Q323" s="13" t="n">
        <v>-0.6266</v>
      </c>
    </row>
    <row r="324">
      <c r="A324" s="2" t="inlineStr">
        <is>
          <t>PSAB.JK</t>
        </is>
      </c>
      <c r="B324" s="2" t="inlineStr">
        <is>
          <t>PT J Resources Asia Pasifik Tbk</t>
        </is>
      </c>
      <c r="C324" s="2" t="inlineStr">
        <is>
          <t>IDR</t>
        </is>
      </c>
      <c r="D324" s="2" t="n">
        <v>2021</v>
      </c>
      <c r="E324" s="12" t="n">
        <v>44560</v>
      </c>
      <c r="F324" s="2" t="n">
        <v>278</v>
      </c>
      <c r="G324" s="2" t="n">
        <v>284</v>
      </c>
      <c r="H324" s="2" t="n">
        <v>129</v>
      </c>
      <c r="I324" s="2" t="n">
        <v>139</v>
      </c>
      <c r="J324" s="2" t="n">
        <v>183.502</v>
      </c>
      <c r="K324" s="2" t="n">
        <v>0</v>
      </c>
      <c r="L324" s="13" t="n">
        <v>0</v>
      </c>
      <c r="M324" s="13" t="n">
        <v>0.039</v>
      </c>
      <c r="N324" s="2" t="n">
        <v>150.276</v>
      </c>
      <c r="O324" s="2" t="n">
        <v>2023</v>
      </c>
      <c r="P324" s="2" t="n">
        <v>88</v>
      </c>
      <c r="Q324" s="13" t="n">
        <v>-0.4144</v>
      </c>
    </row>
    <row r="325">
      <c r="A325" s="2" t="inlineStr">
        <is>
          <t>PSAB.JK</t>
        </is>
      </c>
      <c r="B325" s="2" t="inlineStr">
        <is>
          <t>PT J Resources Asia Pasifik Tbk</t>
        </is>
      </c>
      <c r="C325" s="2" t="inlineStr">
        <is>
          <t>IDR</t>
        </is>
      </c>
      <c r="D325" s="2" t="n">
        <v>2022</v>
      </c>
      <c r="E325" s="12" t="n">
        <v>44925</v>
      </c>
      <c r="F325" s="2" t="n">
        <v>145</v>
      </c>
      <c r="G325" s="2" t="n">
        <v>164</v>
      </c>
      <c r="H325" s="2" t="n">
        <v>103</v>
      </c>
      <c r="I325" s="2" t="n">
        <v>107</v>
      </c>
      <c r="J325" s="2" t="n">
        <v>122.5528</v>
      </c>
      <c r="K325" s="2" t="n">
        <v>0</v>
      </c>
      <c r="L325" s="13" t="n">
        <v>0</v>
      </c>
      <c r="M325" s="13" t="n">
        <v>0.059</v>
      </c>
      <c r="N325" s="2" t="n">
        <v>120.4011</v>
      </c>
      <c r="O325" s="2" t="n">
        <v>2024</v>
      </c>
      <c r="P325" s="2" t="n">
        <v>234</v>
      </c>
      <c r="Q325" s="13" t="n">
        <v>0.9435</v>
      </c>
    </row>
    <row r="326">
      <c r="A326" s="2" t="inlineStr">
        <is>
          <t>PSAB.JK</t>
        </is>
      </c>
      <c r="B326" s="2" t="inlineStr">
        <is>
          <t>PT J Resources Asia Pasifik Tbk</t>
        </is>
      </c>
      <c r="C326" s="2" t="inlineStr">
        <is>
          <t>IDR</t>
        </is>
      </c>
      <c r="D326" s="2" t="n">
        <v>2023</v>
      </c>
      <c r="E326" s="12" t="n">
        <v>45289</v>
      </c>
      <c r="F326" s="2" t="n">
        <v>108</v>
      </c>
      <c r="G326" s="2" t="n">
        <v>158</v>
      </c>
      <c r="H326" s="2" t="n">
        <v>74</v>
      </c>
      <c r="I326" s="2" t="n">
        <v>88</v>
      </c>
      <c r="J326" s="2" t="n">
        <v>95.5774</v>
      </c>
      <c r="K326" s="2" t="n">
        <v>0</v>
      </c>
      <c r="L326" s="13" t="n">
        <v>0</v>
      </c>
      <c r="M326" s="13" t="n">
        <v>0.064</v>
      </c>
      <c r="N326" s="2" t="n">
        <v>100.0167</v>
      </c>
      <c r="O326" s="2" t="n">
        <v>2025</v>
      </c>
      <c r="P326" s="2" t="n">
        <v>550</v>
      </c>
      <c r="Q326" s="13" t="n">
        <v>4.4991</v>
      </c>
    </row>
    <row r="327">
      <c r="A327" s="2" t="inlineStr">
        <is>
          <t>PSAB.JK</t>
        </is>
      </c>
      <c r="B327" s="2" t="inlineStr">
        <is>
          <t>PT J Resources Asia Pasifik Tbk</t>
        </is>
      </c>
      <c r="C327" s="2" t="inlineStr">
        <is>
          <t>IDR</t>
        </is>
      </c>
      <c r="D327" s="2" t="n">
        <v>2024</v>
      </c>
      <c r="E327" s="12" t="n">
        <v>45656</v>
      </c>
      <c r="F327" s="2" t="n">
        <v>88</v>
      </c>
      <c r="G327" s="2" t="n">
        <v>420</v>
      </c>
      <c r="H327" s="2" t="n">
        <v>88</v>
      </c>
      <c r="I327" s="2" t="n">
        <v>234</v>
      </c>
      <c r="J327" s="2" t="n">
        <v>211.0717</v>
      </c>
      <c r="K327" s="2" t="n">
        <v>0</v>
      </c>
      <c r="L327" s="13" t="n">
        <v>0</v>
      </c>
      <c r="M327" s="13" t="n">
        <v>0.06900000000000001</v>
      </c>
      <c r="N327" s="2" t="n">
        <v>268.6263</v>
      </c>
      <c r="O327" s="2" t="n">
        <v>2026</v>
      </c>
      <c r="P327" s="2" t="n">
        <v>535</v>
      </c>
      <c r="Q327" s="13" t="n">
        <v>0.9916</v>
      </c>
    </row>
    <row r="328">
      <c r="A328" s="2" t="inlineStr">
        <is>
          <t>PSAB.JK</t>
        </is>
      </c>
      <c r="B328" s="2" t="inlineStr">
        <is>
          <t>PT J Resources Asia Pasifik Tbk</t>
        </is>
      </c>
      <c r="C328" s="2" t="inlineStr">
        <is>
          <t>IDR</t>
        </is>
      </c>
      <c r="D328" s="2" t="n">
        <v>2025</v>
      </c>
      <c r="E328" s="12" t="n">
        <v>46021</v>
      </c>
      <c r="F328" s="2" t="n">
        <v>236</v>
      </c>
      <c r="G328" s="2" t="n">
        <v>755</v>
      </c>
      <c r="H328" s="2" t="n">
        <v>206</v>
      </c>
      <c r="I328" s="2" t="n">
        <v>550</v>
      </c>
      <c r="J328" s="2" t="n">
        <v>423.7331</v>
      </c>
      <c r="K328" s="2" t="n">
        <v>0</v>
      </c>
      <c r="L328" s="13" t="n">
        <v>0</v>
      </c>
      <c r="M328" s="13" t="n">
        <v>0.05</v>
      </c>
      <c r="N328" s="2" t="n">
        <v>607.8440000000001</v>
      </c>
      <c r="O328" s="2" t="n">
        <v>2027</v>
      </c>
      <c r="P328" s="2" t="n"/>
      <c r="Q328" s="13" t="n"/>
    </row>
    <row r="329">
      <c r="A329" s="2" t="inlineStr">
        <is>
          <t>PSAB.JK</t>
        </is>
      </c>
      <c r="B329" s="2" t="inlineStr">
        <is>
          <t>PT J Resources Asia Pasifik Tbk</t>
        </is>
      </c>
      <c r="C329" s="2" t="inlineStr">
        <is>
          <t>IDR</t>
        </is>
      </c>
      <c r="D329" s="2" t="n">
        <v>2026</v>
      </c>
      <c r="E329" s="12" t="n">
        <v>46290</v>
      </c>
      <c r="F329" s="2" t="n">
        <v>550</v>
      </c>
      <c r="G329" s="2" t="n">
        <v>680</v>
      </c>
      <c r="H329" s="2" t="n">
        <v>360</v>
      </c>
      <c r="I329" s="2" t="n">
        <v>535</v>
      </c>
      <c r="J329" s="2" t="n">
        <v>515.3652</v>
      </c>
      <c r="K329" s="2" t="n">
        <v>135</v>
      </c>
      <c r="L329" s="13" t="n">
        <v>0.2523</v>
      </c>
      <c r="M329" s="13" t="n">
        <v>0.05</v>
      </c>
      <c r="N329" s="2" t="n">
        <v>356.9493</v>
      </c>
      <c r="O329" s="2" t="n">
        <v>2028</v>
      </c>
      <c r="P329" s="2" t="n"/>
      <c r="Q329" s="13" t="n"/>
    </row>
    <row r="330">
      <c r="A330" s="2" t="inlineStr">
        <is>
          <t>RMS.AX</t>
        </is>
      </c>
      <c r="B330" s="2" t="inlineStr">
        <is>
          <t>Ramelius Resources Ltd</t>
        </is>
      </c>
      <c r="C330" s="2" t="inlineStr">
        <is>
          <t>AUD</t>
        </is>
      </c>
      <c r="D330" s="2" t="n">
        <v>2017</v>
      </c>
      <c r="E330" s="12" t="n">
        <v>43098</v>
      </c>
      <c r="F330" s="2" t="n">
        <v>0.5</v>
      </c>
      <c r="G330" s="2" t="n">
        <v>0.745</v>
      </c>
      <c r="H330" s="2" t="n">
        <v>0.32</v>
      </c>
      <c r="I330" s="2" t="n">
        <v>0.385</v>
      </c>
      <c r="J330" s="2" t="n">
        <v>0.4565</v>
      </c>
      <c r="K330" s="2" t="n">
        <v>0</v>
      </c>
      <c r="L330" s="13" t="n">
        <v>0</v>
      </c>
      <c r="M330" s="13" t="n">
        <v>0.02</v>
      </c>
      <c r="N330" s="2" t="n">
        <v>0.4007</v>
      </c>
      <c r="O330" s="2" t="n">
        <v>2019</v>
      </c>
      <c r="P330" s="2" t="n">
        <v>1.235</v>
      </c>
      <c r="Q330" s="13" t="n">
        <v>2.082</v>
      </c>
    </row>
    <row r="331">
      <c r="A331" s="2" t="inlineStr">
        <is>
          <t>RMS.AX</t>
        </is>
      </c>
      <c r="B331" s="2" t="inlineStr">
        <is>
          <t>Ramelius Resources Ltd</t>
        </is>
      </c>
      <c r="C331" s="2" t="inlineStr">
        <is>
          <t>AUD</t>
        </is>
      </c>
      <c r="D331" s="2" t="n">
        <v>2018</v>
      </c>
      <c r="E331" s="12" t="n">
        <v>43465</v>
      </c>
      <c r="F331" s="2" t="n">
        <v>0.395</v>
      </c>
      <c r="G331" s="2" t="n">
        <v>0.645</v>
      </c>
      <c r="H331" s="2" t="n">
        <v>0.38</v>
      </c>
      <c r="I331" s="2" t="n">
        <v>0.47</v>
      </c>
      <c r="J331" s="2" t="n">
        <v>0.4887</v>
      </c>
      <c r="K331" s="2" t="n">
        <v>0</v>
      </c>
      <c r="L331" s="13" t="n">
        <v>0</v>
      </c>
      <c r="M331" s="13" t="n">
        <v>0.019</v>
      </c>
      <c r="N331" s="2" t="n">
        <v>0.4882</v>
      </c>
      <c r="O331" s="2" t="n">
        <v>2020</v>
      </c>
      <c r="P331" s="2" t="n">
        <v>1.685</v>
      </c>
      <c r="Q331" s="13" t="n">
        <v>2.4514</v>
      </c>
    </row>
    <row r="332">
      <c r="A332" s="2" t="inlineStr">
        <is>
          <t>RMS.AX</t>
        </is>
      </c>
      <c r="B332" s="2" t="inlineStr">
        <is>
          <t>Ramelius Resources Ltd</t>
        </is>
      </c>
      <c r="C332" s="2" t="inlineStr">
        <is>
          <t>AUD</t>
        </is>
      </c>
      <c r="D332" s="2" t="n">
        <v>2019</v>
      </c>
      <c r="E332" s="12" t="n">
        <v>43830</v>
      </c>
      <c r="F332" s="2" t="n">
        <v>0.475</v>
      </c>
      <c r="G332" s="2" t="n">
        <v>1.44</v>
      </c>
      <c r="H332" s="2" t="n">
        <v>0.465</v>
      </c>
      <c r="I332" s="2" t="n">
        <v>1.235</v>
      </c>
      <c r="J332" s="2" t="n">
        <v>0.9196</v>
      </c>
      <c r="K332" s="2" t="n">
        <v>0.01</v>
      </c>
      <c r="L332" s="13" t="n">
        <v>0.0081</v>
      </c>
      <c r="M332" s="13" t="n">
        <v>0.008999999999999999</v>
      </c>
      <c r="N332" s="2" t="n">
        <v>1.2372</v>
      </c>
      <c r="O332" s="2" t="n">
        <v>2021</v>
      </c>
      <c r="P332" s="2" t="n">
        <v>1.57</v>
      </c>
      <c r="Q332" s="13" t="n">
        <v>0.269</v>
      </c>
    </row>
    <row r="333">
      <c r="A333" s="2" t="inlineStr">
        <is>
          <t>RMS.AX</t>
        </is>
      </c>
      <c r="B333" s="2" t="inlineStr">
        <is>
          <t>Ramelius Resources Ltd</t>
        </is>
      </c>
      <c r="C333" s="2" t="inlineStr">
        <is>
          <t>AUD</t>
        </is>
      </c>
      <c r="D333" s="2" t="n">
        <v>2020</v>
      </c>
      <c r="E333" s="12" t="n">
        <v>44196</v>
      </c>
      <c r="F333" s="2" t="n">
        <v>1.205</v>
      </c>
      <c r="G333" s="2" t="n">
        <v>2.53</v>
      </c>
      <c r="H333" s="2" t="n">
        <v>0.762</v>
      </c>
      <c r="I333" s="2" t="n">
        <v>1.685</v>
      </c>
      <c r="J333" s="2" t="n">
        <v>1.6912</v>
      </c>
      <c r="K333" s="2" t="n">
        <v>0.02</v>
      </c>
      <c r="L333" s="13" t="n">
        <v>0.0119</v>
      </c>
      <c r="M333" s="13" t="n">
        <v>0.001</v>
      </c>
      <c r="N333" s="2" t="n">
        <v>1.6488</v>
      </c>
      <c r="O333" s="2" t="n">
        <v>2022</v>
      </c>
      <c r="P333" s="2" t="n">
        <v>0.93</v>
      </c>
      <c r="Q333" s="13" t="n">
        <v>-0.4359</v>
      </c>
    </row>
    <row r="334">
      <c r="A334" s="2" t="inlineStr">
        <is>
          <t>RMS.AX</t>
        </is>
      </c>
      <c r="B334" s="2" t="inlineStr">
        <is>
          <t>Ramelius Resources Ltd</t>
        </is>
      </c>
      <c r="C334" s="2" t="inlineStr">
        <is>
          <t>AUD</t>
        </is>
      </c>
      <c r="D334" s="2" t="n">
        <v>2021</v>
      </c>
      <c r="E334" s="12" t="n">
        <v>44561</v>
      </c>
      <c r="F334" s="2" t="n">
        <v>1.705</v>
      </c>
      <c r="G334" s="2" t="n">
        <v>1.9975</v>
      </c>
      <c r="H334" s="2" t="n">
        <v>1.18</v>
      </c>
      <c r="I334" s="2" t="n">
        <v>1.57</v>
      </c>
      <c r="J334" s="2" t="n">
        <v>1.6075</v>
      </c>
      <c r="K334" s="2" t="n">
        <v>0.025</v>
      </c>
      <c r="L334" s="13" t="n">
        <v>0.0159</v>
      </c>
      <c r="M334" s="13" t="n">
        <v>0.006</v>
      </c>
      <c r="N334" s="2" t="n">
        <v>1.5391</v>
      </c>
      <c r="O334" s="2" t="n">
        <v>2023</v>
      </c>
      <c r="P334" s="2" t="n">
        <v>1.685</v>
      </c>
      <c r="Q334" s="13" t="n">
        <v>0.0948</v>
      </c>
    </row>
    <row r="335">
      <c r="A335" s="2" t="inlineStr">
        <is>
          <t>RMS.AX</t>
        </is>
      </c>
      <c r="B335" s="2" t="inlineStr">
        <is>
          <t>Ramelius Resources Ltd</t>
        </is>
      </c>
      <c r="C335" s="2" t="inlineStr">
        <is>
          <t>AUD</t>
        </is>
      </c>
      <c r="D335" s="2" t="n">
        <v>2022</v>
      </c>
      <c r="E335" s="12" t="n">
        <v>44925</v>
      </c>
      <c r="F335" s="2" t="n">
        <v>1.55</v>
      </c>
      <c r="G335" s="2" t="n">
        <v>1.655</v>
      </c>
      <c r="H335" s="2" t="n">
        <v>0.585</v>
      </c>
      <c r="I335" s="2" t="n">
        <v>0.93</v>
      </c>
      <c r="J335" s="2" t="n">
        <v>1.1141</v>
      </c>
      <c r="K335" s="2" t="n">
        <v>0.01</v>
      </c>
      <c r="L335" s="13" t="n">
        <v>0.0108</v>
      </c>
      <c r="M335" s="13" t="n">
        <v>0.035</v>
      </c>
      <c r="N335" s="2" t="n">
        <v>0.9762</v>
      </c>
      <c r="O335" s="2" t="n">
        <v>2024</v>
      </c>
      <c r="P335" s="2" t="n">
        <v>2.07</v>
      </c>
      <c r="Q335" s="13" t="n">
        <v>1.1204</v>
      </c>
    </row>
    <row r="336">
      <c r="A336" s="2" t="inlineStr">
        <is>
          <t>RMS.AX</t>
        </is>
      </c>
      <c r="B336" s="2" t="inlineStr">
        <is>
          <t>Ramelius Resources Ltd</t>
        </is>
      </c>
      <c r="C336" s="2" t="inlineStr">
        <is>
          <t>AUD</t>
        </is>
      </c>
      <c r="D336" s="2" t="n">
        <v>2023</v>
      </c>
      <c r="E336" s="12" t="n">
        <v>45289</v>
      </c>
      <c r="F336" s="2" t="n">
        <v>0.925</v>
      </c>
      <c r="G336" s="2" t="n">
        <v>1.785</v>
      </c>
      <c r="H336" s="2" t="n">
        <v>0.825</v>
      </c>
      <c r="I336" s="2" t="n">
        <v>1.685</v>
      </c>
      <c r="J336" s="2" t="n">
        <v>1.3366</v>
      </c>
      <c r="K336" s="2" t="n">
        <v>0.02</v>
      </c>
      <c r="L336" s="13" t="n">
        <v>0.0119</v>
      </c>
      <c r="M336" s="13" t="n">
        <v>0.037</v>
      </c>
      <c r="N336" s="2" t="n">
        <v>1.7719</v>
      </c>
      <c r="O336" s="2" t="n">
        <v>2025</v>
      </c>
      <c r="P336" s="2" t="n">
        <v>4.16</v>
      </c>
      <c r="Q336" s="13" t="n">
        <v>1.3478</v>
      </c>
    </row>
    <row r="337">
      <c r="A337" s="2" t="inlineStr">
        <is>
          <t>RMS.AX</t>
        </is>
      </c>
      <c r="B337" s="2" t="inlineStr">
        <is>
          <t>Ramelius Resources Ltd</t>
        </is>
      </c>
      <c r="C337" s="2" t="inlineStr">
        <is>
          <t>AUD</t>
        </is>
      </c>
      <c r="D337" s="2" t="n">
        <v>2024</v>
      </c>
      <c r="E337" s="12" t="n">
        <v>45657</v>
      </c>
      <c r="F337" s="2" t="n">
        <v>1.67</v>
      </c>
      <c r="G337" s="2" t="n">
        <v>2.51</v>
      </c>
      <c r="H337" s="2" t="n">
        <v>1.345</v>
      </c>
      <c r="I337" s="2" t="n">
        <v>2.07</v>
      </c>
      <c r="J337" s="2" t="n">
        <v>1.9451</v>
      </c>
      <c r="K337" s="2" t="n">
        <v>0.05</v>
      </c>
      <c r="L337" s="13" t="n">
        <v>0.0242</v>
      </c>
      <c r="M337" s="13" t="n">
        <v>0.0385</v>
      </c>
      <c r="N337" s="2" t="n">
        <v>2.1303</v>
      </c>
      <c r="O337" s="2" t="n">
        <v>2026</v>
      </c>
      <c r="P337" s="2" t="n">
        <v>3.87</v>
      </c>
      <c r="Q337" s="13" t="n">
        <v>0.8167</v>
      </c>
    </row>
    <row r="338">
      <c r="A338" s="2" t="inlineStr">
        <is>
          <t>RMS.AX</t>
        </is>
      </c>
      <c r="B338" s="2" t="inlineStr">
        <is>
          <t>Ramelius Resources Ltd</t>
        </is>
      </c>
      <c r="C338" s="2" t="inlineStr">
        <is>
          <t>AUD</t>
        </is>
      </c>
      <c r="D338" s="2" t="n">
        <v>2025</v>
      </c>
      <c r="E338" s="12" t="n">
        <v>46022</v>
      </c>
      <c r="F338" s="2" t="n">
        <v>2.09</v>
      </c>
      <c r="G338" s="2" t="n">
        <v>4.26</v>
      </c>
      <c r="H338" s="2" t="n">
        <v>2.06</v>
      </c>
      <c r="I338" s="2" t="n">
        <v>4.16</v>
      </c>
      <c r="J338" s="2" t="n">
        <v>2.9428</v>
      </c>
      <c r="K338" s="2" t="n">
        <v>0.08</v>
      </c>
      <c r="L338" s="13" t="n">
        <v>0.0192</v>
      </c>
      <c r="M338" s="13" t="n">
        <v>0.039</v>
      </c>
      <c r="N338" s="2" t="n">
        <v>4.3278</v>
      </c>
      <c r="O338" s="2" t="n">
        <v>2027</v>
      </c>
      <c r="P338" s="2" t="n"/>
      <c r="Q338" s="13" t="n"/>
    </row>
    <row r="339">
      <c r="A339" s="2" t="inlineStr">
        <is>
          <t>RMS.AX</t>
        </is>
      </c>
      <c r="B339" s="2" t="inlineStr">
        <is>
          <t>Ramelius Resources Ltd</t>
        </is>
      </c>
      <c r="C339" s="2" t="inlineStr">
        <is>
          <t>AUD</t>
        </is>
      </c>
      <c r="D339" s="2" t="n">
        <v>2026</v>
      </c>
      <c r="E339" s="12" t="n">
        <v>46290</v>
      </c>
      <c r="F339" s="2" t="n">
        <v>4.09</v>
      </c>
      <c r="G339" s="2" t="n">
        <v>5.16</v>
      </c>
      <c r="H339" s="2" t="n">
        <v>2.7</v>
      </c>
      <c r="I339" s="2" t="n">
        <v>3.87</v>
      </c>
      <c r="J339" s="2" t="n">
        <v>3.7548</v>
      </c>
      <c r="K339" s="2" t="n">
        <v>0.06</v>
      </c>
      <c r="L339" s="13" t="n">
        <v>0.0155</v>
      </c>
      <c r="M339" s="13" t="n">
        <v>0.039</v>
      </c>
      <c r="N339" s="2" t="n">
        <v>4.0562</v>
      </c>
      <c r="O339" s="2" t="n">
        <v>2028</v>
      </c>
      <c r="P339" s="2" t="n"/>
      <c r="Q339" s="13" t="n"/>
    </row>
    <row r="340">
      <c r="A340" s="2" t="inlineStr">
        <is>
          <t>RRL.AX</t>
        </is>
      </c>
      <c r="B340" s="2" t="inlineStr">
        <is>
          <t>Regis Resources Ltd</t>
        </is>
      </c>
      <c r="C340" s="2" t="inlineStr">
        <is>
          <t>AUD</t>
        </is>
      </c>
      <c r="D340" s="2" t="n">
        <v>2017</v>
      </c>
      <c r="E340" s="12" t="n">
        <v>43098</v>
      </c>
      <c r="F340" s="2" t="n">
        <v>2.91</v>
      </c>
      <c r="G340" s="2" t="n">
        <v>4.4</v>
      </c>
      <c r="H340" s="2" t="n">
        <v>2.84</v>
      </c>
      <c r="I340" s="2" t="n">
        <v>4.3</v>
      </c>
      <c r="J340" s="2" t="n">
        <v>3.6598</v>
      </c>
      <c r="K340" s="2" t="n">
        <v>0.15</v>
      </c>
      <c r="L340" s="13" t="n">
        <v>0.0349</v>
      </c>
      <c r="M340" s="13" t="n">
        <v>0.02</v>
      </c>
      <c r="N340" s="2" t="n">
        <v>4.1739</v>
      </c>
      <c r="O340" s="2" t="n">
        <v>2019</v>
      </c>
      <c r="P340" s="2" t="n">
        <v>4.34</v>
      </c>
      <c r="Q340" s="13" t="n">
        <v>0.0398</v>
      </c>
    </row>
    <row r="341">
      <c r="A341" s="2" t="inlineStr">
        <is>
          <t>RRL.AX</t>
        </is>
      </c>
      <c r="B341" s="2" t="inlineStr">
        <is>
          <t>Regis Resources Ltd</t>
        </is>
      </c>
      <c r="C341" s="2" t="inlineStr">
        <is>
          <t>AUD</t>
        </is>
      </c>
      <c r="D341" s="2" t="n">
        <v>2018</v>
      </c>
      <c r="E341" s="12" t="n">
        <v>43465</v>
      </c>
      <c r="F341" s="2" t="n">
        <v>4.35</v>
      </c>
      <c r="G341" s="2" t="n">
        <v>5.3</v>
      </c>
      <c r="H341" s="2" t="n">
        <v>3.65</v>
      </c>
      <c r="I341" s="2" t="n">
        <v>4.83</v>
      </c>
      <c r="J341" s="2" t="n">
        <v>4.4483</v>
      </c>
      <c r="K341" s="2" t="n">
        <v>0.16</v>
      </c>
      <c r="L341" s="13" t="n">
        <v>0.0331</v>
      </c>
      <c r="M341" s="13" t="n">
        <v>0.019</v>
      </c>
      <c r="N341" s="2" t="n">
        <v>4.6955</v>
      </c>
      <c r="O341" s="2" t="n">
        <v>2020</v>
      </c>
      <c r="P341" s="2" t="n">
        <v>3.74</v>
      </c>
      <c r="Q341" s="13" t="n">
        <v>-0.2035</v>
      </c>
    </row>
    <row r="342">
      <c r="A342" s="2" t="inlineStr">
        <is>
          <t>RRL.AX</t>
        </is>
      </c>
      <c r="B342" s="2" t="inlineStr">
        <is>
          <t>Regis Resources Ltd</t>
        </is>
      </c>
      <c r="C342" s="2" t="inlineStr">
        <is>
          <t>AUD</t>
        </is>
      </c>
      <c r="D342" s="2" t="n">
        <v>2019</v>
      </c>
      <c r="E342" s="12" t="n">
        <v>43830</v>
      </c>
      <c r="F342" s="2" t="n">
        <v>4.86</v>
      </c>
      <c r="G342" s="2" t="n">
        <v>6.72</v>
      </c>
      <c r="H342" s="2" t="n">
        <v>4.005</v>
      </c>
      <c r="I342" s="2" t="n">
        <v>4.34</v>
      </c>
      <c r="J342" s="2" t="n">
        <v>4.9959</v>
      </c>
      <c r="K342" s="2" t="n">
        <v>0.16</v>
      </c>
      <c r="L342" s="13" t="n">
        <v>0.0369</v>
      </c>
      <c r="M342" s="13" t="n">
        <v>0.008999999999999999</v>
      </c>
      <c r="N342" s="2" t="n">
        <v>4.1047</v>
      </c>
      <c r="O342" s="2" t="n">
        <v>2021</v>
      </c>
      <c r="P342" s="2" t="n">
        <v>1.95</v>
      </c>
      <c r="Q342" s="13" t="n">
        <v>-0.507</v>
      </c>
    </row>
    <row r="343">
      <c r="A343" s="2" t="inlineStr">
        <is>
          <t>RRL.AX</t>
        </is>
      </c>
      <c r="B343" s="2" t="inlineStr">
        <is>
          <t>Regis Resources Ltd</t>
        </is>
      </c>
      <c r="C343" s="2" t="inlineStr">
        <is>
          <t>AUD</t>
        </is>
      </c>
      <c r="D343" s="2" t="n">
        <v>2020</v>
      </c>
      <c r="E343" s="12" t="n">
        <v>44196</v>
      </c>
      <c r="F343" s="2" t="n">
        <v>4.34</v>
      </c>
      <c r="G343" s="2" t="n">
        <v>6.18</v>
      </c>
      <c r="H343" s="2" t="n">
        <v>2.9</v>
      </c>
      <c r="I343" s="2" t="n">
        <v>3.74</v>
      </c>
      <c r="J343" s="2" t="n">
        <v>4.6749</v>
      </c>
      <c r="K343" s="2" t="n">
        <v>0.16</v>
      </c>
      <c r="L343" s="13" t="n">
        <v>0.0428</v>
      </c>
      <c r="M343" s="13" t="n">
        <v>0.001</v>
      </c>
      <c r="N343" s="2" t="n">
        <v>3.4402</v>
      </c>
      <c r="O343" s="2" t="n">
        <v>2022</v>
      </c>
      <c r="P343" s="2" t="n">
        <v>2.06</v>
      </c>
      <c r="Q343" s="13" t="n">
        <v>-0.3786</v>
      </c>
    </row>
    <row r="344">
      <c r="A344" s="2" t="inlineStr">
        <is>
          <t>RRL.AX</t>
        </is>
      </c>
      <c r="B344" s="2" t="inlineStr">
        <is>
          <t>Regis Resources Ltd</t>
        </is>
      </c>
      <c r="C344" s="2" t="inlineStr">
        <is>
          <t>AUD</t>
        </is>
      </c>
      <c r="D344" s="2" t="n">
        <v>2021</v>
      </c>
      <c r="E344" s="12" t="n">
        <v>44561</v>
      </c>
      <c r="F344" s="2" t="n">
        <v>3.77</v>
      </c>
      <c r="G344" s="2" t="n">
        <v>3.97</v>
      </c>
      <c r="H344" s="2" t="n">
        <v>1.665</v>
      </c>
      <c r="I344" s="2" t="n">
        <v>1.95</v>
      </c>
      <c r="J344" s="2" t="n">
        <v>2.6055</v>
      </c>
      <c r="K344" s="2" t="n">
        <v>0.07000000000000001</v>
      </c>
      <c r="L344" s="13" t="n">
        <v>0.0352</v>
      </c>
      <c r="M344" s="13" t="n">
        <v>0.006</v>
      </c>
      <c r="N344" s="2" t="n">
        <v>1.8396</v>
      </c>
      <c r="O344" s="2" t="n">
        <v>2023</v>
      </c>
      <c r="P344" s="2" t="n">
        <v>2.18</v>
      </c>
      <c r="Q344" s="13" t="n">
        <v>0.1851</v>
      </c>
    </row>
    <row r="345">
      <c r="A345" s="2" t="inlineStr">
        <is>
          <t>RRL.AX</t>
        </is>
      </c>
      <c r="B345" s="2" t="inlineStr">
        <is>
          <t>Regis Resources Ltd</t>
        </is>
      </c>
      <c r="C345" s="2" t="inlineStr">
        <is>
          <t>AUD</t>
        </is>
      </c>
      <c r="D345" s="2" t="n">
        <v>2022</v>
      </c>
      <c r="E345" s="12" t="n">
        <v>44925</v>
      </c>
      <c r="F345" s="2" t="n">
        <v>1.93</v>
      </c>
      <c r="G345" s="2" t="n">
        <v>2.47</v>
      </c>
      <c r="H345" s="2" t="n">
        <v>1.285</v>
      </c>
      <c r="I345" s="2" t="n">
        <v>2.06</v>
      </c>
      <c r="J345" s="2" t="n">
        <v>1.8196</v>
      </c>
      <c r="K345" s="2" t="n">
        <v>0.02</v>
      </c>
      <c r="L345" s="13" t="n">
        <v>0.0097</v>
      </c>
      <c r="M345" s="13" t="n">
        <v>0.035</v>
      </c>
      <c r="N345" s="2" t="n">
        <v>2.1669</v>
      </c>
      <c r="O345" s="2" t="n">
        <v>2024</v>
      </c>
      <c r="P345" s="2" t="n">
        <v>2.55</v>
      </c>
      <c r="Q345" s="13" t="n">
        <v>0.1768</v>
      </c>
    </row>
    <row r="346">
      <c r="A346" s="2" t="inlineStr">
        <is>
          <t>RRL.AX</t>
        </is>
      </c>
      <c r="B346" s="2" t="inlineStr">
        <is>
          <t>Regis Resources Ltd</t>
        </is>
      </c>
      <c r="C346" s="2" t="inlineStr">
        <is>
          <t>AUD</t>
        </is>
      </c>
      <c r="D346" s="2" t="n">
        <v>2023</v>
      </c>
      <c r="E346" s="12" t="n">
        <v>45289</v>
      </c>
      <c r="F346" s="2" t="n">
        <v>2.09</v>
      </c>
      <c r="G346" s="2" t="n">
        <v>2.46</v>
      </c>
      <c r="H346" s="2" t="n">
        <v>1.44</v>
      </c>
      <c r="I346" s="2" t="n">
        <v>2.18</v>
      </c>
      <c r="J346" s="2" t="n">
        <v>1.8917</v>
      </c>
      <c r="K346" s="2" t="n">
        <v>0</v>
      </c>
      <c r="L346" s="13" t="n">
        <v>0</v>
      </c>
      <c r="M346" s="13" t="n">
        <v>0.037</v>
      </c>
      <c r="N346" s="2" t="n">
        <v>2.3474</v>
      </c>
      <c r="O346" s="2" t="n">
        <v>2025</v>
      </c>
      <c r="P346" s="2" t="n">
        <v>7.55</v>
      </c>
      <c r="Q346" s="13" t="n">
        <v>2.2163</v>
      </c>
    </row>
    <row r="347">
      <c r="A347" s="2" t="inlineStr">
        <is>
          <t>RRL.AX</t>
        </is>
      </c>
      <c r="B347" s="2" t="inlineStr">
        <is>
          <t>Regis Resources Ltd</t>
        </is>
      </c>
      <c r="C347" s="2" t="inlineStr">
        <is>
          <t>AUD</t>
        </is>
      </c>
      <c r="D347" s="2" t="n">
        <v>2024</v>
      </c>
      <c r="E347" s="12" t="n">
        <v>45657</v>
      </c>
      <c r="F347" s="2" t="n">
        <v>2.17</v>
      </c>
      <c r="G347" s="2" t="n">
        <v>2.97</v>
      </c>
      <c r="H347" s="2" t="n">
        <v>1.51</v>
      </c>
      <c r="I347" s="2" t="n">
        <v>2.55</v>
      </c>
      <c r="J347" s="2" t="n">
        <v>2.0811</v>
      </c>
      <c r="K347" s="2" t="n">
        <v>0</v>
      </c>
      <c r="L347" s="13" t="n">
        <v>0</v>
      </c>
      <c r="M347" s="13" t="n">
        <v>0.0385</v>
      </c>
      <c r="N347" s="2" t="n">
        <v>2.7541</v>
      </c>
      <c r="O347" s="2" t="n">
        <v>2026</v>
      </c>
      <c r="P347" s="2" t="n">
        <v>7.72</v>
      </c>
      <c r="Q347" s="13" t="n">
        <v>1.8031</v>
      </c>
    </row>
    <row r="348">
      <c r="A348" s="2" t="inlineStr">
        <is>
          <t>RRL.AX</t>
        </is>
      </c>
      <c r="B348" s="2" t="inlineStr">
        <is>
          <t>Regis Resources Ltd</t>
        </is>
      </c>
      <c r="C348" s="2" t="inlineStr">
        <is>
          <t>AUD</t>
        </is>
      </c>
      <c r="D348" s="2" t="n">
        <v>2025</v>
      </c>
      <c r="E348" s="12" t="n">
        <v>46022</v>
      </c>
      <c r="F348" s="2" t="n">
        <v>2.57</v>
      </c>
      <c r="G348" s="2" t="n">
        <v>7.825</v>
      </c>
      <c r="H348" s="2" t="n">
        <v>2.55</v>
      </c>
      <c r="I348" s="2" t="n">
        <v>7.55</v>
      </c>
      <c r="J348" s="2" t="n">
        <v>4.8443</v>
      </c>
      <c r="K348" s="2" t="n">
        <v>0.05</v>
      </c>
      <c r="L348" s="13" t="n">
        <v>0.0066</v>
      </c>
      <c r="M348" s="13" t="n">
        <v>0.039</v>
      </c>
      <c r="N348" s="2" t="n">
        <v>8.055099999999999</v>
      </c>
      <c r="O348" s="2" t="n">
        <v>2027</v>
      </c>
      <c r="P348" s="2" t="n"/>
      <c r="Q348" s="13" t="n"/>
    </row>
    <row r="349">
      <c r="A349" s="2" t="inlineStr">
        <is>
          <t>RRL.AX</t>
        </is>
      </c>
      <c r="B349" s="2" t="inlineStr">
        <is>
          <t>Regis Resources Ltd</t>
        </is>
      </c>
      <c r="C349" s="2" t="inlineStr">
        <is>
          <t>AUD</t>
        </is>
      </c>
      <c r="D349" s="2" t="n">
        <v>2026</v>
      </c>
      <c r="E349" s="12" t="n">
        <v>46290</v>
      </c>
      <c r="F349" s="2" t="n">
        <v>7.52</v>
      </c>
      <c r="G349" s="2" t="n">
        <v>10</v>
      </c>
      <c r="H349" s="2" t="n">
        <v>5.335</v>
      </c>
      <c r="I349" s="2" t="n">
        <v>7.72</v>
      </c>
      <c r="J349" s="2" t="n">
        <v>7.2886</v>
      </c>
      <c r="K349" s="2" t="n">
        <v>0.35</v>
      </c>
      <c r="L349" s="13" t="n">
        <v>0.0453</v>
      </c>
      <c r="M349" s="13" t="n">
        <v>0.039</v>
      </c>
      <c r="N349" s="2" t="n">
        <v>7.6228</v>
      </c>
      <c r="O349" s="2" t="n">
        <v>2028</v>
      </c>
      <c r="P349" s="2" t="n"/>
      <c r="Q349" s="13" t="n"/>
    </row>
    <row r="350">
      <c r="A350" s="2" t="inlineStr">
        <is>
          <t>RSG.AX</t>
        </is>
      </c>
      <c r="B350" s="2" t="inlineStr">
        <is>
          <t>Resolute Mining Ltd</t>
        </is>
      </c>
      <c r="C350" s="2" t="inlineStr">
        <is>
          <t>AUD</t>
        </is>
      </c>
      <c r="D350" s="2" t="n">
        <v>2017</v>
      </c>
      <c r="E350" s="12" t="n">
        <v>43098</v>
      </c>
      <c r="F350" s="2" t="n">
        <v>1.25</v>
      </c>
      <c r="G350" s="2" t="n">
        <v>1.9125</v>
      </c>
      <c r="H350" s="2" t="n">
        <v>0.945</v>
      </c>
      <c r="I350" s="2" t="n">
        <v>1.14</v>
      </c>
      <c r="J350" s="2" t="n">
        <v>1.2156</v>
      </c>
      <c r="K350" s="2" t="n">
        <v>0.02</v>
      </c>
      <c r="L350" s="13" t="n">
        <v>0.0175</v>
      </c>
      <c r="M350" s="13" t="n">
        <v>0.02</v>
      </c>
      <c r="N350" s="2" t="n">
        <v>1.1456</v>
      </c>
      <c r="O350" s="2" t="n">
        <v>2019</v>
      </c>
      <c r="P350" s="2" t="n">
        <v>1.26</v>
      </c>
      <c r="Q350" s="13" t="n">
        <v>0.0998</v>
      </c>
    </row>
    <row r="351">
      <c r="A351" s="2" t="inlineStr">
        <is>
          <t>RSG.AX</t>
        </is>
      </c>
      <c r="B351" s="2" t="inlineStr">
        <is>
          <t>Resolute Mining Ltd</t>
        </is>
      </c>
      <c r="C351" s="2" t="inlineStr">
        <is>
          <t>AUD</t>
        </is>
      </c>
      <c r="D351" s="2" t="n">
        <v>2018</v>
      </c>
      <c r="E351" s="12" t="n">
        <v>43465</v>
      </c>
      <c r="F351" s="2" t="n">
        <v>1.15</v>
      </c>
      <c r="G351" s="2" t="n">
        <v>1.44</v>
      </c>
      <c r="H351" s="2" t="n">
        <v>0.91</v>
      </c>
      <c r="I351" s="2" t="n">
        <v>1.155</v>
      </c>
      <c r="J351" s="2" t="n">
        <v>1.1752</v>
      </c>
      <c r="K351" s="2" t="n">
        <v>0.02</v>
      </c>
      <c r="L351" s="13" t="n">
        <v>0.0173</v>
      </c>
      <c r="M351" s="13" t="n">
        <v>0.019</v>
      </c>
      <c r="N351" s="2" t="n">
        <v>1.1589</v>
      </c>
      <c r="O351" s="2" t="n">
        <v>2020</v>
      </c>
      <c r="P351" s="2" t="n">
        <v>0.795</v>
      </c>
      <c r="Q351" s="13" t="n">
        <v>-0.314</v>
      </c>
    </row>
    <row r="352">
      <c r="A352" s="2" t="inlineStr">
        <is>
          <t>RSG.AX</t>
        </is>
      </c>
      <c r="B352" s="2" t="inlineStr">
        <is>
          <t>Resolute Mining Ltd</t>
        </is>
      </c>
      <c r="C352" s="2" t="inlineStr">
        <is>
          <t>AUD</t>
        </is>
      </c>
      <c r="D352" s="2" t="n">
        <v>2019</v>
      </c>
      <c r="E352" s="12" t="n">
        <v>43830</v>
      </c>
      <c r="F352" s="2" t="n">
        <v>1.165</v>
      </c>
      <c r="G352" s="2" t="n">
        <v>2.12</v>
      </c>
      <c r="H352" s="2" t="n">
        <v>0.965</v>
      </c>
      <c r="I352" s="2" t="n">
        <v>1.26</v>
      </c>
      <c r="J352" s="2" t="n">
        <v>1.2872</v>
      </c>
      <c r="K352" s="2" t="n">
        <v>0</v>
      </c>
      <c r="L352" s="13" t="n">
        <v>0</v>
      </c>
      <c r="M352" s="13" t="n">
        <v>0.008999999999999999</v>
      </c>
      <c r="N352" s="2" t="n">
        <v>1.2829</v>
      </c>
      <c r="O352" s="2" t="n">
        <v>2021</v>
      </c>
      <c r="P352" s="2" t="n">
        <v>0.39</v>
      </c>
      <c r="Q352" s="13" t="n">
        <v>-0.696</v>
      </c>
    </row>
    <row r="353">
      <c r="A353" s="2" t="inlineStr">
        <is>
          <t>RSG.AX</t>
        </is>
      </c>
      <c r="B353" s="2" t="inlineStr">
        <is>
          <t>Resolute Mining Ltd</t>
        </is>
      </c>
      <c r="C353" s="2" t="inlineStr">
        <is>
          <t>AUD</t>
        </is>
      </c>
      <c r="D353" s="2" t="n">
        <v>2020</v>
      </c>
      <c r="E353" s="12" t="n">
        <v>44196</v>
      </c>
      <c r="F353" s="2" t="n">
        <v>1.265</v>
      </c>
      <c r="G353" s="2" t="n">
        <v>1.4975</v>
      </c>
      <c r="H353" s="2" t="n">
        <v>0.605</v>
      </c>
      <c r="I353" s="2" t="n">
        <v>0.795</v>
      </c>
      <c r="J353" s="2" t="n">
        <v>1.0129</v>
      </c>
      <c r="K353" s="2" t="n">
        <v>0</v>
      </c>
      <c r="L353" s="13" t="n">
        <v>0</v>
      </c>
      <c r="M353" s="13" t="n">
        <v>0.001</v>
      </c>
      <c r="N353" s="2" t="n">
        <v>0.7966</v>
      </c>
      <c r="O353" s="2" t="n">
        <v>2022</v>
      </c>
      <c r="P353" s="2" t="n">
        <v>0.2</v>
      </c>
      <c r="Q353" s="13" t="n">
        <v>-0.7198</v>
      </c>
    </row>
    <row r="354">
      <c r="A354" s="2" t="inlineStr">
        <is>
          <t>RSG.AX</t>
        </is>
      </c>
      <c r="B354" s="2" t="inlineStr">
        <is>
          <t>Resolute Mining Ltd</t>
        </is>
      </c>
      <c r="C354" s="2" t="inlineStr">
        <is>
          <t>AUD</t>
        </is>
      </c>
      <c r="D354" s="2" t="n">
        <v>2021</v>
      </c>
      <c r="E354" s="12" t="n">
        <v>44561</v>
      </c>
      <c r="F354" s="2" t="n">
        <v>0.8100000000000001</v>
      </c>
      <c r="G354" s="2" t="n">
        <v>0.87</v>
      </c>
      <c r="H354" s="2" t="n">
        <v>0.335</v>
      </c>
      <c r="I354" s="2" t="n">
        <v>0.39</v>
      </c>
      <c r="J354" s="2" t="n">
        <v>0.5272</v>
      </c>
      <c r="K354" s="2" t="n">
        <v>0</v>
      </c>
      <c r="L354" s="13" t="n">
        <v>0</v>
      </c>
      <c r="M354" s="13" t="n">
        <v>0.006</v>
      </c>
      <c r="N354" s="2" t="n">
        <v>0.3947</v>
      </c>
      <c r="O354" s="2" t="n">
        <v>2023</v>
      </c>
      <c r="P354" s="2" t="n">
        <v>0.445</v>
      </c>
      <c r="Q354" s="13" t="n">
        <v>0.2583</v>
      </c>
    </row>
    <row r="355">
      <c r="A355" s="2" t="inlineStr">
        <is>
          <t>RSG.AX</t>
        </is>
      </c>
      <c r="B355" s="2" t="inlineStr">
        <is>
          <t>Resolute Mining Ltd</t>
        </is>
      </c>
      <c r="C355" s="2" t="inlineStr">
        <is>
          <t>AUD</t>
        </is>
      </c>
      <c r="D355" s="2" t="n">
        <v>2022</v>
      </c>
      <c r="E355" s="12" t="n">
        <v>44925</v>
      </c>
      <c r="F355" s="2" t="n">
        <v>0.38</v>
      </c>
      <c r="G355" s="2" t="n">
        <v>0.4025</v>
      </c>
      <c r="H355" s="2" t="n">
        <v>0.16</v>
      </c>
      <c r="I355" s="2" t="n">
        <v>0.2</v>
      </c>
      <c r="J355" s="2" t="n">
        <v>0.2674</v>
      </c>
      <c r="K355" s="2" t="n">
        <v>0</v>
      </c>
      <c r="L355" s="13" t="n">
        <v>0</v>
      </c>
      <c r="M355" s="13" t="n">
        <v>0.035</v>
      </c>
      <c r="N355" s="2" t="n">
        <v>0.2145</v>
      </c>
      <c r="O355" s="2" t="n">
        <v>2024</v>
      </c>
      <c r="P355" s="2" t="n">
        <v>0.395</v>
      </c>
      <c r="Q355" s="13" t="n">
        <v>0.8415</v>
      </c>
    </row>
    <row r="356">
      <c r="A356" s="2" t="inlineStr">
        <is>
          <t>RSG.AX</t>
        </is>
      </c>
      <c r="B356" s="2" t="inlineStr">
        <is>
          <t>Resolute Mining Ltd</t>
        </is>
      </c>
      <c r="C356" s="2" t="inlineStr">
        <is>
          <t>AUD</t>
        </is>
      </c>
      <c r="D356" s="2" t="n">
        <v>2023</v>
      </c>
      <c r="E356" s="12" t="n">
        <v>45289</v>
      </c>
      <c r="F356" s="2" t="n">
        <v>0.2</v>
      </c>
      <c r="G356" s="2" t="n">
        <v>0.53</v>
      </c>
      <c r="H356" s="2" t="n">
        <v>0.195</v>
      </c>
      <c r="I356" s="2" t="n">
        <v>0.445</v>
      </c>
      <c r="J356" s="2" t="n">
        <v>0.3732</v>
      </c>
      <c r="K356" s="2" t="n">
        <v>0</v>
      </c>
      <c r="L356" s="13" t="n">
        <v>0</v>
      </c>
      <c r="M356" s="13" t="n">
        <v>0.037</v>
      </c>
      <c r="N356" s="2" t="n">
        <v>0.4792</v>
      </c>
      <c r="O356" s="2" t="n">
        <v>2025</v>
      </c>
      <c r="P356" s="2" t="n">
        <v>1.225</v>
      </c>
      <c r="Q356" s="13" t="n">
        <v>1.5565</v>
      </c>
    </row>
    <row r="357">
      <c r="A357" s="2" t="inlineStr">
        <is>
          <t>RSG.AX</t>
        </is>
      </c>
      <c r="B357" s="2" t="inlineStr">
        <is>
          <t>Resolute Mining Ltd</t>
        </is>
      </c>
      <c r="C357" s="2" t="inlineStr">
        <is>
          <t>AUD</t>
        </is>
      </c>
      <c r="D357" s="2" t="n">
        <v>2024</v>
      </c>
      <c r="E357" s="12" t="n">
        <v>45657</v>
      </c>
      <c r="F357" s="2" t="n">
        <v>0.445</v>
      </c>
      <c r="G357" s="2" t="n">
        <v>0.89</v>
      </c>
      <c r="H357" s="2" t="n">
        <v>0.325</v>
      </c>
      <c r="I357" s="2" t="n">
        <v>0.395</v>
      </c>
      <c r="J357" s="2" t="n">
        <v>0.5278</v>
      </c>
      <c r="K357" s="2" t="n">
        <v>0</v>
      </c>
      <c r="L357" s="13" t="n">
        <v>0</v>
      </c>
      <c r="M357" s="13" t="n">
        <v>0.0385</v>
      </c>
      <c r="N357" s="2" t="n">
        <v>0.4266</v>
      </c>
      <c r="O357" s="2" t="n">
        <v>2026</v>
      </c>
      <c r="P357" s="2" t="n">
        <v>1.22</v>
      </c>
      <c r="Q357" s="13" t="n">
        <v>1.8597</v>
      </c>
    </row>
    <row r="358">
      <c r="A358" s="2" t="inlineStr">
        <is>
          <t>RSG.AX</t>
        </is>
      </c>
      <c r="B358" s="2" t="inlineStr">
        <is>
          <t>Resolute Mining Ltd</t>
        </is>
      </c>
      <c r="C358" s="2" t="inlineStr">
        <is>
          <t>AUD</t>
        </is>
      </c>
      <c r="D358" s="2" t="n">
        <v>2025</v>
      </c>
      <c r="E358" s="12" t="n">
        <v>46022</v>
      </c>
      <c r="F358" s="2" t="n">
        <v>0.4</v>
      </c>
      <c r="G358" s="2" t="n">
        <v>1.315</v>
      </c>
      <c r="H358" s="2" t="n">
        <v>0.34</v>
      </c>
      <c r="I358" s="2" t="n">
        <v>1.225</v>
      </c>
      <c r="J358" s="2" t="n">
        <v>0.6943</v>
      </c>
      <c r="K358" s="2" t="n">
        <v>0</v>
      </c>
      <c r="L358" s="13" t="n">
        <v>0</v>
      </c>
      <c r="M358" s="13" t="n">
        <v>0.039</v>
      </c>
      <c r="N358" s="2" t="n">
        <v>1.3244</v>
      </c>
      <c r="O358" s="2" t="n">
        <v>2027</v>
      </c>
      <c r="P358" s="2" t="n"/>
      <c r="Q358" s="13" t="n"/>
    </row>
    <row r="359">
      <c r="A359" s="2" t="inlineStr">
        <is>
          <t>RSG.AX</t>
        </is>
      </c>
      <c r="B359" s="2" t="inlineStr">
        <is>
          <t>Resolute Mining Ltd</t>
        </is>
      </c>
      <c r="C359" s="2" t="inlineStr">
        <is>
          <t>AUD</t>
        </is>
      </c>
      <c r="D359" s="2" t="n">
        <v>2026</v>
      </c>
      <c r="E359" s="12" t="n">
        <v>46290</v>
      </c>
      <c r="F359" s="2" t="n">
        <v>1.225</v>
      </c>
      <c r="G359" s="2" t="n">
        <v>1.685</v>
      </c>
      <c r="H359" s="2" t="n">
        <v>0.875</v>
      </c>
      <c r="I359" s="2" t="n">
        <v>1.22</v>
      </c>
      <c r="J359" s="2" t="n">
        <v>1.2583</v>
      </c>
      <c r="K359" s="2" t="n">
        <v>0</v>
      </c>
      <c r="L359" s="13" t="n">
        <v>0</v>
      </c>
      <c r="M359" s="13" t="n">
        <v>0.039</v>
      </c>
      <c r="N359" s="2" t="n">
        <v>1.319</v>
      </c>
      <c r="O359" s="2" t="n">
        <v>2028</v>
      </c>
      <c r="P359" s="2" t="n"/>
      <c r="Q359" s="13" t="n"/>
    </row>
    <row r="360">
      <c r="A360" s="2" t="inlineStr">
        <is>
          <t>SBM.AX</t>
        </is>
      </c>
      <c r="B360" s="2" t="inlineStr">
        <is>
          <t>St Barbara Ltd</t>
        </is>
      </c>
      <c r="C360" s="2" t="inlineStr">
        <is>
          <t>AUD</t>
        </is>
      </c>
      <c r="D360" s="2" t="n">
        <v>2017</v>
      </c>
      <c r="E360" s="12" t="n">
        <v>43098</v>
      </c>
      <c r="F360" s="2" t="n">
        <v>1.99</v>
      </c>
      <c r="G360" s="2" t="n">
        <v>3.95</v>
      </c>
      <c r="H360" s="2" t="n">
        <v>1.94</v>
      </c>
      <c r="I360" s="2" t="n">
        <v>3.82</v>
      </c>
      <c r="J360" s="2" t="n">
        <v>2.7957</v>
      </c>
      <c r="K360" s="2" t="n">
        <v>0.1378</v>
      </c>
      <c r="L360" s="13" t="n">
        <v>0.0361</v>
      </c>
      <c r="M360" s="13" t="n">
        <v>0.02</v>
      </c>
      <c r="N360" s="2" t="n">
        <v>3.699</v>
      </c>
      <c r="O360" s="2" t="n">
        <v>2019</v>
      </c>
      <c r="P360" s="2" t="n">
        <v>2.72</v>
      </c>
      <c r="Q360" s="13" t="n">
        <v>-0.2407</v>
      </c>
    </row>
    <row r="361">
      <c r="A361" s="2" t="inlineStr">
        <is>
          <t>SBM.AX</t>
        </is>
      </c>
      <c r="B361" s="2" t="inlineStr">
        <is>
          <t>St Barbara Ltd</t>
        </is>
      </c>
      <c r="C361" s="2" t="inlineStr">
        <is>
          <t>AUD</t>
        </is>
      </c>
      <c r="D361" s="2" t="n">
        <v>2018</v>
      </c>
      <c r="E361" s="12" t="n">
        <v>43465</v>
      </c>
      <c r="F361" s="2" t="n">
        <v>3.82</v>
      </c>
      <c r="G361" s="2" t="n">
        <v>5.28</v>
      </c>
      <c r="H361" s="2" t="n">
        <v>3.27</v>
      </c>
      <c r="I361" s="2" t="n">
        <v>4.7</v>
      </c>
      <c r="J361" s="2" t="n">
        <v>4.2158</v>
      </c>
      <c r="K361" s="2" t="n">
        <v>0.2757</v>
      </c>
      <c r="L361" s="13" t="n">
        <v>0.0587</v>
      </c>
      <c r="M361" s="13" t="n">
        <v>0.019</v>
      </c>
      <c r="N361" s="2" t="n">
        <v>4.3416</v>
      </c>
      <c r="O361" s="2" t="n">
        <v>2020</v>
      </c>
      <c r="P361" s="2" t="n">
        <v>2.36</v>
      </c>
      <c r="Q361" s="13" t="n">
        <v>-0.4387</v>
      </c>
    </row>
    <row r="362">
      <c r="A362" s="2" t="inlineStr">
        <is>
          <t>SBM.AX</t>
        </is>
      </c>
      <c r="B362" s="2" t="inlineStr">
        <is>
          <t>St Barbara Ltd</t>
        </is>
      </c>
      <c r="C362" s="2" t="inlineStr">
        <is>
          <t>AUD</t>
        </is>
      </c>
      <c r="D362" s="2" t="n">
        <v>2019</v>
      </c>
      <c r="E362" s="12" t="n">
        <v>43830</v>
      </c>
      <c r="F362" s="2" t="n">
        <v>4.72</v>
      </c>
      <c r="G362" s="2" t="n">
        <v>5.32</v>
      </c>
      <c r="H362" s="2" t="n">
        <v>2.43</v>
      </c>
      <c r="I362" s="2" t="n">
        <v>2.72</v>
      </c>
      <c r="J362" s="2" t="n">
        <v>3.3755</v>
      </c>
      <c r="K362" s="2" t="n">
        <v>0.1838</v>
      </c>
      <c r="L362" s="13" t="n">
        <v>0.0665</v>
      </c>
      <c r="M362" s="13" t="n">
        <v>0.008999999999999999</v>
      </c>
      <c r="N362" s="2" t="n">
        <v>2.4245</v>
      </c>
      <c r="O362" s="2" t="n">
        <v>2021</v>
      </c>
      <c r="P362" s="2" t="n">
        <v>1.465</v>
      </c>
      <c r="Q362" s="13" t="n">
        <v>-0.3958</v>
      </c>
    </row>
    <row r="363">
      <c r="A363" s="2" t="inlineStr">
        <is>
          <t>SBM.AX</t>
        </is>
      </c>
      <c r="B363" s="2" t="inlineStr">
        <is>
          <t>St Barbara Ltd</t>
        </is>
      </c>
      <c r="C363" s="2" t="inlineStr">
        <is>
          <t>AUD</t>
        </is>
      </c>
      <c r="D363" s="2" t="n">
        <v>2020</v>
      </c>
      <c r="E363" s="12" t="n">
        <v>44196</v>
      </c>
      <c r="F363" s="2" t="n">
        <v>2.71</v>
      </c>
      <c r="G363" s="2" t="n">
        <v>3.98</v>
      </c>
      <c r="H363" s="2" t="n">
        <v>1.615</v>
      </c>
      <c r="I363" s="2" t="n">
        <v>2.36</v>
      </c>
      <c r="J363" s="2" t="n">
        <v>2.8712</v>
      </c>
      <c r="K363" s="2" t="n">
        <v>0.1838</v>
      </c>
      <c r="L363" s="13" t="n">
        <v>0.0779</v>
      </c>
      <c r="M363" s="13" t="n">
        <v>0.001</v>
      </c>
      <c r="N363" s="2" t="n">
        <v>2.0236</v>
      </c>
      <c r="O363" s="2" t="n">
        <v>2022</v>
      </c>
      <c r="P363" s="2" t="n">
        <v>0.775</v>
      </c>
      <c r="Q363" s="13" t="n">
        <v>-0.617</v>
      </c>
    </row>
    <row r="364">
      <c r="A364" s="2" t="inlineStr">
        <is>
          <t>SBM.AX</t>
        </is>
      </c>
      <c r="B364" s="2" t="inlineStr">
        <is>
          <t>St Barbara Ltd</t>
        </is>
      </c>
      <c r="C364" s="2" t="inlineStr">
        <is>
          <t>AUD</t>
        </is>
      </c>
      <c r="D364" s="2" t="n">
        <v>2021</v>
      </c>
      <c r="E364" s="12" t="n">
        <v>44561</v>
      </c>
      <c r="F364" s="2" t="n">
        <v>2.39</v>
      </c>
      <c r="G364" s="2" t="n">
        <v>2.56</v>
      </c>
      <c r="H364" s="2" t="n">
        <v>1.255</v>
      </c>
      <c r="I364" s="2" t="n">
        <v>1.465</v>
      </c>
      <c r="J364" s="2" t="n">
        <v>1.7912</v>
      </c>
      <c r="K364" s="2" t="n">
        <v>0.1378</v>
      </c>
      <c r="L364" s="13" t="n">
        <v>0.0941</v>
      </c>
      <c r="M364" s="13" t="n">
        <v>0.006</v>
      </c>
      <c r="N364" s="2" t="n">
        <v>1.2283</v>
      </c>
      <c r="O364" s="2" t="n">
        <v>2023</v>
      </c>
      <c r="P364" s="2" t="n">
        <v>0.21</v>
      </c>
      <c r="Q364" s="13" t="n">
        <v>-0.6072</v>
      </c>
    </row>
    <row r="365">
      <c r="A365" s="2" t="inlineStr">
        <is>
          <t>SBM.AX</t>
        </is>
      </c>
      <c r="B365" s="2" t="inlineStr">
        <is>
          <t>St Barbara Ltd</t>
        </is>
      </c>
      <c r="C365" s="2" t="inlineStr">
        <is>
          <t>AUD</t>
        </is>
      </c>
      <c r="D365" s="2" t="n">
        <v>2022</v>
      </c>
      <c r="E365" s="12" t="n">
        <v>44925</v>
      </c>
      <c r="F365" s="2" t="n">
        <v>1.44</v>
      </c>
      <c r="G365" s="2" t="n">
        <v>1.64</v>
      </c>
      <c r="H365" s="2" t="n">
        <v>0.45</v>
      </c>
      <c r="I365" s="2" t="n">
        <v>0.775</v>
      </c>
      <c r="J365" s="2" t="n">
        <v>1.0468</v>
      </c>
      <c r="K365" s="2" t="n">
        <v>0</v>
      </c>
      <c r="L365" s="13" t="n">
        <v>0</v>
      </c>
      <c r="M365" s="13" t="n">
        <v>0.035</v>
      </c>
      <c r="N365" s="2" t="n">
        <v>0.8312</v>
      </c>
      <c r="O365" s="2" t="n">
        <v>2024</v>
      </c>
      <c r="P365" s="2" t="n">
        <v>0.225</v>
      </c>
      <c r="Q365" s="13" t="n">
        <v>-0.3781</v>
      </c>
    </row>
    <row r="366">
      <c r="A366" s="2" t="inlineStr">
        <is>
          <t>SBM.AX</t>
        </is>
      </c>
      <c r="B366" s="2" t="inlineStr">
        <is>
          <t>St Barbara Ltd</t>
        </is>
      </c>
      <c r="C366" s="2" t="inlineStr">
        <is>
          <t>AUD</t>
        </is>
      </c>
      <c r="D366" s="2" t="n">
        <v>2023</v>
      </c>
      <c r="E366" s="12" t="n">
        <v>45289</v>
      </c>
      <c r="F366" s="2" t="n">
        <v>0.785</v>
      </c>
      <c r="G366" s="2" t="n">
        <v>0.93</v>
      </c>
      <c r="H366" s="2" t="n">
        <v>0.17</v>
      </c>
      <c r="I366" s="2" t="n">
        <v>0.21</v>
      </c>
      <c r="J366" s="2" t="n">
        <v>0.4219</v>
      </c>
      <c r="K366" s="2" t="n">
        <v>0</v>
      </c>
      <c r="L366" s="13" t="n">
        <v>0</v>
      </c>
      <c r="M366" s="13" t="n">
        <v>0.037</v>
      </c>
      <c r="N366" s="2" t="n">
        <v>0.2261</v>
      </c>
      <c r="O366" s="2" t="n">
        <v>2025</v>
      </c>
      <c r="P366" s="2" t="n">
        <v>0.58</v>
      </c>
      <c r="Q366" s="13" t="n">
        <v>1.5649</v>
      </c>
    </row>
    <row r="367">
      <c r="A367" s="2" t="inlineStr">
        <is>
          <t>SBM.AX</t>
        </is>
      </c>
      <c r="B367" s="2" t="inlineStr">
        <is>
          <t>St Barbara Ltd</t>
        </is>
      </c>
      <c r="C367" s="2" t="inlineStr">
        <is>
          <t>AUD</t>
        </is>
      </c>
      <c r="D367" s="2" t="n">
        <v>2024</v>
      </c>
      <c r="E367" s="12" t="n">
        <v>45657</v>
      </c>
      <c r="F367" s="2" t="n">
        <v>0.21</v>
      </c>
      <c r="G367" s="2" t="n">
        <v>0.5</v>
      </c>
      <c r="H367" s="2" t="n">
        <v>0.1375</v>
      </c>
      <c r="I367" s="2" t="n">
        <v>0.225</v>
      </c>
      <c r="J367" s="2" t="n">
        <v>0.2529</v>
      </c>
      <c r="K367" s="2" t="n">
        <v>0</v>
      </c>
      <c r="L367" s="13" t="n">
        <v>0</v>
      </c>
      <c r="M367" s="13" t="n">
        <v>0.0385</v>
      </c>
      <c r="N367" s="2" t="n">
        <v>0.243</v>
      </c>
      <c r="O367" s="2" t="n">
        <v>2026</v>
      </c>
      <c r="P367" s="2" t="n">
        <v>0.82</v>
      </c>
      <c r="Q367" s="13" t="n">
        <v>2.3744</v>
      </c>
    </row>
    <row r="368">
      <c r="A368" s="2" t="inlineStr">
        <is>
          <t>SBM.AX</t>
        </is>
      </c>
      <c r="B368" s="2" t="inlineStr">
        <is>
          <t>St Barbara Ltd</t>
        </is>
      </c>
      <c r="C368" s="2" t="inlineStr">
        <is>
          <t>AUD</t>
        </is>
      </c>
      <c r="D368" s="2" t="n">
        <v>2025</v>
      </c>
      <c r="E368" s="12" t="n">
        <v>46022</v>
      </c>
      <c r="F368" s="2" t="n">
        <v>0.23</v>
      </c>
      <c r="G368" s="2" t="n">
        <v>0.66</v>
      </c>
      <c r="H368" s="2" t="n">
        <v>0.1925</v>
      </c>
      <c r="I368" s="2" t="n">
        <v>0.58</v>
      </c>
      <c r="J368" s="2" t="n">
        <v>0.3622</v>
      </c>
      <c r="K368" s="2" t="n">
        <v>0</v>
      </c>
      <c r="L368" s="13" t="n">
        <v>0</v>
      </c>
      <c r="M368" s="13" t="n">
        <v>0.039</v>
      </c>
      <c r="N368" s="2" t="n">
        <v>0.6271</v>
      </c>
      <c r="O368" s="2" t="n">
        <v>2027</v>
      </c>
      <c r="P368" s="2" t="n"/>
      <c r="Q368" s="13" t="n"/>
    </row>
    <row r="369">
      <c r="A369" s="2" t="inlineStr">
        <is>
          <t>SBM.AX</t>
        </is>
      </c>
      <c r="B369" s="2" t="inlineStr">
        <is>
          <t>St Barbara Ltd</t>
        </is>
      </c>
      <c r="C369" s="2" t="inlineStr">
        <is>
          <t>AUD</t>
        </is>
      </c>
      <c r="D369" s="2" t="n">
        <v>2026</v>
      </c>
      <c r="E369" s="12" t="n">
        <v>46290</v>
      </c>
      <c r="F369" s="2" t="n">
        <v>0.575</v>
      </c>
      <c r="G369" s="2" t="n">
        <v>0.93</v>
      </c>
      <c r="H369" s="2" t="n">
        <v>0.405</v>
      </c>
      <c r="I369" s="2" t="n">
        <v>0.82</v>
      </c>
      <c r="J369" s="2" t="n">
        <v>0.6382</v>
      </c>
      <c r="K369" s="2" t="n">
        <v>0.05</v>
      </c>
      <c r="L369" s="13" t="n">
        <v>0.061</v>
      </c>
      <c r="M369" s="13" t="n">
        <v>0.039</v>
      </c>
      <c r="N369" s="2" t="n">
        <v>0.7847</v>
      </c>
      <c r="O369" s="2" t="n">
        <v>2028</v>
      </c>
      <c r="P369" s="2" t="n"/>
      <c r="Q369" s="13" t="n"/>
    </row>
    <row r="370">
      <c r="A370" s="2" t="inlineStr">
        <is>
          <t>SPA.V</t>
        </is>
      </c>
      <c r="B370" s="2" t="inlineStr">
        <is>
          <t>Spanish Mountain Gold Ltd</t>
        </is>
      </c>
      <c r="C370" s="2" t="inlineStr">
        <is>
          <t>CAD</t>
        </is>
      </c>
      <c r="D370" s="2" t="n">
        <v>2017</v>
      </c>
      <c r="E370" s="12" t="n">
        <v>43098</v>
      </c>
      <c r="F370" s="2" t="n">
        <v>0.12</v>
      </c>
      <c r="G370" s="2" t="n">
        <v>0.23</v>
      </c>
      <c r="H370" s="2" t="n">
        <v>0.08</v>
      </c>
      <c r="I370" s="2" t="n">
        <v>0.14</v>
      </c>
      <c r="J370" s="2" t="n">
        <v>0.142</v>
      </c>
      <c r="K370" s="2" t="n">
        <v>0</v>
      </c>
      <c r="L370" s="13" t="n">
        <v>0</v>
      </c>
      <c r="M370" s="13" t="n">
        <v>0.0169</v>
      </c>
      <c r="N370" s="2" t="n">
        <v>0.1448</v>
      </c>
      <c r="O370" s="2" t="n">
        <v>2019</v>
      </c>
      <c r="P370" s="2" t="n">
        <v>0.09</v>
      </c>
      <c r="Q370" s="13" t="n">
        <v>-0.3785</v>
      </c>
    </row>
    <row r="371">
      <c r="A371" s="2" t="inlineStr">
        <is>
          <t>SPA.V</t>
        </is>
      </c>
      <c r="B371" s="2" t="inlineStr">
        <is>
          <t>Spanish Mountain Gold Ltd</t>
        </is>
      </c>
      <c r="C371" s="2" t="inlineStr">
        <is>
          <t>CAD</t>
        </is>
      </c>
      <c r="D371" s="2" t="n">
        <v>2018</v>
      </c>
      <c r="E371" s="12" t="n">
        <v>43465</v>
      </c>
      <c r="F371" s="2" t="n">
        <v>0.14</v>
      </c>
      <c r="G371" s="2" t="n">
        <v>0.14</v>
      </c>
      <c r="H371" s="2" t="n">
        <v>0.05</v>
      </c>
      <c r="I371" s="2" t="n">
        <v>0.07000000000000001</v>
      </c>
      <c r="J371" s="2" t="n">
        <v>0.08840000000000001</v>
      </c>
      <c r="K371" s="2" t="n">
        <v>0</v>
      </c>
      <c r="L371" s="13" t="n">
        <v>0</v>
      </c>
      <c r="M371" s="13" t="n">
        <v>0.0186</v>
      </c>
      <c r="N371" s="2" t="n">
        <v>0.0727</v>
      </c>
      <c r="O371" s="2" t="n">
        <v>2020</v>
      </c>
      <c r="P371" s="2" t="n">
        <v>0.38</v>
      </c>
      <c r="Q371" s="13" t="n">
        <v>4.2303</v>
      </c>
    </row>
    <row r="372">
      <c r="A372" s="2" t="inlineStr">
        <is>
          <t>SPA.V</t>
        </is>
      </c>
      <c r="B372" s="2" t="inlineStr">
        <is>
          <t>Spanish Mountain Gold Ltd</t>
        </is>
      </c>
      <c r="C372" s="2" t="inlineStr">
        <is>
          <t>CAD</t>
        </is>
      </c>
      <c r="D372" s="2" t="n">
        <v>2019</v>
      </c>
      <c r="E372" s="12" t="n">
        <v>43830</v>
      </c>
      <c r="F372" s="2" t="n">
        <v>0.07000000000000001</v>
      </c>
      <c r="G372" s="2" t="n">
        <v>0.14</v>
      </c>
      <c r="H372" s="2" t="n">
        <v>0.05</v>
      </c>
      <c r="I372" s="2" t="n">
        <v>0.09</v>
      </c>
      <c r="J372" s="2" t="n">
        <v>0.08799999999999999</v>
      </c>
      <c r="K372" s="2" t="n">
        <v>0</v>
      </c>
      <c r="L372" s="13" t="n">
        <v>0</v>
      </c>
      <c r="M372" s="13" t="n">
        <v>0.017</v>
      </c>
      <c r="N372" s="2" t="n">
        <v>0.0931</v>
      </c>
      <c r="O372" s="2" t="n">
        <v>2021</v>
      </c>
      <c r="P372" s="2" t="n">
        <v>0.22</v>
      </c>
      <c r="Q372" s="13" t="n">
        <v>1.3627</v>
      </c>
    </row>
    <row r="373">
      <c r="A373" s="2" t="inlineStr">
        <is>
          <t>SPA.V</t>
        </is>
      </c>
      <c r="B373" s="2" t="inlineStr">
        <is>
          <t>Spanish Mountain Gold Ltd</t>
        </is>
      </c>
      <c r="C373" s="2" t="inlineStr">
        <is>
          <t>CAD</t>
        </is>
      </c>
      <c r="D373" s="2" t="n">
        <v>2020</v>
      </c>
      <c r="E373" s="12" t="n">
        <v>44196</v>
      </c>
      <c r="F373" s="2" t="n">
        <v>0.1</v>
      </c>
      <c r="G373" s="2" t="n">
        <v>0.77</v>
      </c>
      <c r="H373" s="2" t="n">
        <v>0.05</v>
      </c>
      <c r="I373" s="2" t="n">
        <v>0.38</v>
      </c>
      <c r="J373" s="2" t="n">
        <v>0.2643</v>
      </c>
      <c r="K373" s="2" t="n">
        <v>0</v>
      </c>
      <c r="L373" s="13" t="n">
        <v>0</v>
      </c>
      <c r="M373" s="13" t="n">
        <v>0.002</v>
      </c>
      <c r="N373" s="2" t="n">
        <v>0.3815</v>
      </c>
      <c r="O373" s="2" t="n">
        <v>2022</v>
      </c>
      <c r="P373" s="2" t="n">
        <v>0.16</v>
      </c>
      <c r="Q373" s="13" t="n">
        <v>-0.5806</v>
      </c>
    </row>
    <row r="374">
      <c r="A374" s="2" t="inlineStr">
        <is>
          <t>SPA.V</t>
        </is>
      </c>
      <c r="B374" s="2" t="inlineStr">
        <is>
          <t>Spanish Mountain Gold Ltd</t>
        </is>
      </c>
      <c r="C374" s="2" t="inlineStr">
        <is>
          <t>CAD</t>
        </is>
      </c>
      <c r="D374" s="2" t="n">
        <v>2021</v>
      </c>
      <c r="E374" s="12" t="n">
        <v>44561</v>
      </c>
      <c r="F374" s="2" t="n">
        <v>0.42</v>
      </c>
      <c r="G374" s="2" t="n">
        <v>0.49</v>
      </c>
      <c r="H374" s="2" t="n">
        <v>0.17</v>
      </c>
      <c r="I374" s="2" t="n">
        <v>0.22</v>
      </c>
      <c r="J374" s="2" t="n">
        <v>0.268</v>
      </c>
      <c r="K374" s="2" t="n">
        <v>0</v>
      </c>
      <c r="L374" s="13" t="n">
        <v>0</v>
      </c>
      <c r="M374" s="13" t="n">
        <v>0.0095</v>
      </c>
      <c r="N374" s="2" t="n">
        <v>0.2242</v>
      </c>
      <c r="O374" s="2" t="n">
        <v>2023</v>
      </c>
      <c r="P374" s="2" t="n">
        <v>0.18</v>
      </c>
      <c r="Q374" s="13" t="n">
        <v>-0.1972</v>
      </c>
    </row>
    <row r="375">
      <c r="A375" s="2" t="inlineStr">
        <is>
          <t>SPA.V</t>
        </is>
      </c>
      <c r="B375" s="2" t="inlineStr">
        <is>
          <t>Spanish Mountain Gold Ltd</t>
        </is>
      </c>
      <c r="C375" s="2" t="inlineStr">
        <is>
          <t>CAD</t>
        </is>
      </c>
      <c r="D375" s="2" t="n">
        <v>2022</v>
      </c>
      <c r="E375" s="12" t="n">
        <v>44925</v>
      </c>
      <c r="F375" s="2" t="n">
        <v>0.21</v>
      </c>
      <c r="G375" s="2" t="n">
        <v>0.28</v>
      </c>
      <c r="H375" s="2" t="n">
        <v>0.12</v>
      </c>
      <c r="I375" s="2" t="n">
        <v>0.16</v>
      </c>
      <c r="J375" s="2" t="n">
        <v>0.1834</v>
      </c>
      <c r="K375" s="2" t="n">
        <v>0</v>
      </c>
      <c r="L375" s="13" t="n">
        <v>0</v>
      </c>
      <c r="M375" s="13" t="n">
        <v>0.0405</v>
      </c>
      <c r="N375" s="2" t="n">
        <v>0.1735</v>
      </c>
      <c r="O375" s="2" t="n">
        <v>2024</v>
      </c>
      <c r="P375" s="2" t="n">
        <v>0.1</v>
      </c>
      <c r="Q375" s="13" t="n">
        <v>-0.4236</v>
      </c>
    </row>
    <row r="376">
      <c r="A376" s="2" t="inlineStr">
        <is>
          <t>SPA.V</t>
        </is>
      </c>
      <c r="B376" s="2" t="inlineStr">
        <is>
          <t>Spanish Mountain Gold Ltd</t>
        </is>
      </c>
      <c r="C376" s="2" t="inlineStr">
        <is>
          <t>CAD</t>
        </is>
      </c>
      <c r="D376" s="2" t="n">
        <v>2023</v>
      </c>
      <c r="E376" s="12" t="n">
        <v>45289</v>
      </c>
      <c r="F376" s="2" t="n">
        <v>0.17</v>
      </c>
      <c r="G376" s="2" t="n">
        <v>0.25</v>
      </c>
      <c r="H376" s="2" t="n">
        <v>0.11</v>
      </c>
      <c r="I376" s="2" t="n">
        <v>0.18</v>
      </c>
      <c r="J376" s="2" t="n">
        <v>0.1908</v>
      </c>
      <c r="K376" s="2" t="n">
        <v>0</v>
      </c>
      <c r="L376" s="13" t="n">
        <v>0</v>
      </c>
      <c r="M376" s="13" t="n">
        <v>0.0388</v>
      </c>
      <c r="N376" s="2" t="n">
        <v>0.1945</v>
      </c>
      <c r="O376" s="2" t="n">
        <v>2025</v>
      </c>
      <c r="P376" s="2" t="n">
        <v>0.24</v>
      </c>
      <c r="Q376" s="13" t="n">
        <v>0.2338</v>
      </c>
    </row>
    <row r="377">
      <c r="A377" s="2" t="inlineStr">
        <is>
          <t>SPA.V</t>
        </is>
      </c>
      <c r="B377" s="2" t="inlineStr">
        <is>
          <t>Spanish Mountain Gold Ltd</t>
        </is>
      </c>
      <c r="C377" s="2" t="inlineStr">
        <is>
          <t>CAD</t>
        </is>
      </c>
      <c r="D377" s="2" t="n">
        <v>2024</v>
      </c>
      <c r="E377" s="12" t="n">
        <v>45657</v>
      </c>
      <c r="F377" s="2" t="n">
        <v>0.18</v>
      </c>
      <c r="G377" s="2" t="n">
        <v>0.28</v>
      </c>
      <c r="H377" s="2" t="n">
        <v>0.1</v>
      </c>
      <c r="I377" s="2" t="n">
        <v>0.1</v>
      </c>
      <c r="J377" s="2" t="n">
        <v>0.1699</v>
      </c>
      <c r="K377" s="2" t="n">
        <v>0</v>
      </c>
      <c r="L377" s="13" t="n">
        <v>0</v>
      </c>
      <c r="M377" s="13" t="n">
        <v>0.0293</v>
      </c>
      <c r="N377" s="2" t="n">
        <v>0.106</v>
      </c>
      <c r="O377" s="2" t="n">
        <v>2026</v>
      </c>
      <c r="P377" s="2" t="n">
        <v>0.35</v>
      </c>
      <c r="Q377" s="13" t="n">
        <v>2.3008</v>
      </c>
    </row>
    <row r="378">
      <c r="A378" s="2" t="inlineStr">
        <is>
          <t>SPA.V</t>
        </is>
      </c>
      <c r="B378" s="2" t="inlineStr">
        <is>
          <t>Spanish Mountain Gold Ltd</t>
        </is>
      </c>
      <c r="C378" s="2" t="inlineStr">
        <is>
          <t>CAD</t>
        </is>
      </c>
      <c r="D378" s="2" t="n">
        <v>2025</v>
      </c>
      <c r="E378" s="12" t="n">
        <v>46022</v>
      </c>
      <c r="F378" s="2" t="n">
        <v>0.11</v>
      </c>
      <c r="G378" s="2" t="n">
        <v>0.28</v>
      </c>
      <c r="H378" s="2" t="n">
        <v>0.09</v>
      </c>
      <c r="I378" s="2" t="n">
        <v>0.24</v>
      </c>
      <c r="J378" s="2" t="n">
        <v>0.1512</v>
      </c>
      <c r="K378" s="2" t="n">
        <v>0</v>
      </c>
      <c r="L378" s="13" t="n">
        <v>0</v>
      </c>
      <c r="M378" s="13" t="n">
        <v>0.026</v>
      </c>
      <c r="N378" s="2" t="n">
        <v>0.2528</v>
      </c>
      <c r="O378" s="2" t="n">
        <v>2027</v>
      </c>
      <c r="P378" s="2" t="n"/>
      <c r="Q378" s="13" t="n"/>
    </row>
    <row r="379">
      <c r="A379" s="2" t="inlineStr">
        <is>
          <t>SPA.V</t>
        </is>
      </c>
      <c r="B379" s="2" t="inlineStr">
        <is>
          <t>Spanish Mountain Gold Ltd</t>
        </is>
      </c>
      <c r="C379" s="2" t="inlineStr">
        <is>
          <t>CAD</t>
        </is>
      </c>
      <c r="D379" s="2" t="n">
        <v>2026</v>
      </c>
      <c r="E379" s="12" t="n">
        <v>46290</v>
      </c>
      <c r="F379" s="2" t="n">
        <v>0.24</v>
      </c>
      <c r="G379" s="2" t="n">
        <v>0.42</v>
      </c>
      <c r="H379" s="2" t="n">
        <v>0.19</v>
      </c>
      <c r="I379" s="2" t="n">
        <v>0.35</v>
      </c>
      <c r="J379" s="2" t="n">
        <v>0.2965</v>
      </c>
      <c r="K379" s="2" t="n">
        <v>0</v>
      </c>
      <c r="L379" s="13" t="n">
        <v>0</v>
      </c>
      <c r="M379" s="13" t="n">
        <v>0.026</v>
      </c>
      <c r="N379" s="2" t="n">
        <v>0.3687</v>
      </c>
      <c r="O379" s="2" t="n">
        <v>2028</v>
      </c>
      <c r="P379" s="2" t="n"/>
      <c r="Q379" s="13" t="n"/>
    </row>
    <row r="380">
      <c r="A380" s="2" t="inlineStr">
        <is>
          <t>SSRM</t>
        </is>
      </c>
      <c r="B380" s="2" t="inlineStr">
        <is>
          <t>SSR Mining Inc</t>
        </is>
      </c>
      <c r="C380" s="2" t="inlineStr">
        <is>
          <t>USD</t>
        </is>
      </c>
      <c r="D380" s="2" t="n">
        <v>2017</v>
      </c>
      <c r="E380" s="12" t="n">
        <v>43098</v>
      </c>
      <c r="F380" s="2" t="n">
        <v>9.09</v>
      </c>
      <c r="G380" s="2" t="n">
        <v>12.25</v>
      </c>
      <c r="H380" s="2" t="n">
        <v>7.8</v>
      </c>
      <c r="I380" s="2" t="n">
        <v>8.789999999999999</v>
      </c>
      <c r="J380" s="2" t="n">
        <v>9.9498</v>
      </c>
      <c r="K380" s="2" t="n">
        <v>0</v>
      </c>
      <c r="L380" s="13" t="n">
        <v>0</v>
      </c>
      <c r="M380" s="13" t="n">
        <v>0.0189</v>
      </c>
      <c r="N380" s="2" t="n">
        <v>9.1286</v>
      </c>
      <c r="O380" s="2" t="n">
        <v>2019</v>
      </c>
      <c r="P380" s="2" t="n">
        <v>19.26</v>
      </c>
      <c r="Q380" s="13" t="n">
        <v>1.1098</v>
      </c>
    </row>
    <row r="381">
      <c r="A381" s="2" t="inlineStr">
        <is>
          <t>SSRM</t>
        </is>
      </c>
      <c r="B381" s="2" t="inlineStr">
        <is>
          <t>SSR Mining Inc</t>
        </is>
      </c>
      <c r="C381" s="2" t="inlineStr">
        <is>
          <t>USD</t>
        </is>
      </c>
      <c r="D381" s="2" t="n">
        <v>2018</v>
      </c>
      <c r="E381" s="12" t="n">
        <v>43465</v>
      </c>
      <c r="F381" s="2" t="n">
        <v>8.9</v>
      </c>
      <c r="G381" s="2" t="n">
        <v>12.41</v>
      </c>
      <c r="H381" s="2" t="n">
        <v>7.64</v>
      </c>
      <c r="I381" s="2" t="n">
        <v>12.09</v>
      </c>
      <c r="J381" s="2" t="n">
        <v>9.751799999999999</v>
      </c>
      <c r="K381" s="2" t="n">
        <v>0</v>
      </c>
      <c r="L381" s="13" t="n">
        <v>0</v>
      </c>
      <c r="M381" s="13" t="n">
        <v>0.0249</v>
      </c>
      <c r="N381" s="2" t="n">
        <v>12.7073</v>
      </c>
      <c r="O381" s="2" t="n">
        <v>2020</v>
      </c>
      <c r="P381" s="2" t="n">
        <v>20.11</v>
      </c>
      <c r="Q381" s="13" t="n">
        <v>0.5826</v>
      </c>
    </row>
    <row r="382">
      <c r="A382" s="2" t="inlineStr">
        <is>
          <t>SSRM</t>
        </is>
      </c>
      <c r="B382" s="2" t="inlineStr">
        <is>
          <t>SSR Mining Inc</t>
        </is>
      </c>
      <c r="C382" s="2" t="inlineStr">
        <is>
          <t>USD</t>
        </is>
      </c>
      <c r="D382" s="2" t="n">
        <v>2019</v>
      </c>
      <c r="E382" s="12" t="n">
        <v>43830</v>
      </c>
      <c r="F382" s="2" t="n">
        <v>12.07</v>
      </c>
      <c r="G382" s="2" t="n">
        <v>19.42</v>
      </c>
      <c r="H382" s="2" t="n">
        <v>10.59</v>
      </c>
      <c r="I382" s="2" t="n">
        <v>19.26</v>
      </c>
      <c r="J382" s="2" t="n">
        <v>14.0425</v>
      </c>
      <c r="K382" s="2" t="n">
        <v>0</v>
      </c>
      <c r="L382" s="13" t="n">
        <v>0</v>
      </c>
      <c r="M382" s="13" t="n">
        <v>0.0158</v>
      </c>
      <c r="N382" s="2" t="n">
        <v>19.8783</v>
      </c>
      <c r="O382" s="2" t="n">
        <v>2021</v>
      </c>
      <c r="P382" s="2" t="n">
        <v>17.7</v>
      </c>
      <c r="Q382" s="13" t="n">
        <v>-0.1096</v>
      </c>
    </row>
    <row r="383">
      <c r="A383" s="2" t="inlineStr">
        <is>
          <t>SSRM</t>
        </is>
      </c>
      <c r="B383" s="2" t="inlineStr">
        <is>
          <t>SSR Mining Inc</t>
        </is>
      </c>
      <c r="C383" s="2" t="inlineStr">
        <is>
          <t>USD</t>
        </is>
      </c>
      <c r="D383" s="2" t="n">
        <v>2020</v>
      </c>
      <c r="E383" s="12" t="n">
        <v>44196</v>
      </c>
      <c r="F383" s="2" t="n">
        <v>19.4</v>
      </c>
      <c r="G383" s="2" t="n">
        <v>25.32</v>
      </c>
      <c r="H383" s="2" t="n">
        <v>9</v>
      </c>
      <c r="I383" s="2" t="n">
        <v>20.11</v>
      </c>
      <c r="J383" s="2" t="n">
        <v>18.7085</v>
      </c>
      <c r="K383" s="2" t="n">
        <v>0</v>
      </c>
      <c r="L383" s="13" t="n">
        <v>0</v>
      </c>
      <c r="M383" s="13" t="n">
        <v>0.0013</v>
      </c>
      <c r="N383" s="2" t="n">
        <v>20.1624</v>
      </c>
      <c r="O383" s="2" t="n">
        <v>2022</v>
      </c>
      <c r="P383" s="2" t="n">
        <v>15.67</v>
      </c>
      <c r="Q383" s="13" t="n">
        <v>-0.2228</v>
      </c>
    </row>
    <row r="384">
      <c r="A384" s="2" t="inlineStr">
        <is>
          <t>SSRM</t>
        </is>
      </c>
      <c r="B384" s="2" t="inlineStr">
        <is>
          <t>SSR Mining Inc</t>
        </is>
      </c>
      <c r="C384" s="2" t="inlineStr">
        <is>
          <t>USD</t>
        </is>
      </c>
      <c r="D384" s="2" t="n">
        <v>2021</v>
      </c>
      <c r="E384" s="12" t="n">
        <v>44561</v>
      </c>
      <c r="F384" s="2" t="n">
        <v>21.07</v>
      </c>
      <c r="G384" s="2" t="n">
        <v>21.8</v>
      </c>
      <c r="H384" s="2" t="n">
        <v>13.68</v>
      </c>
      <c r="I384" s="2" t="n">
        <v>17.7</v>
      </c>
      <c r="J384" s="2" t="n">
        <v>16.5282</v>
      </c>
      <c r="K384" s="2" t="n">
        <v>0.2</v>
      </c>
      <c r="L384" s="13" t="n">
        <v>0.0113</v>
      </c>
      <c r="M384" s="13" t="n">
        <v>0.0073</v>
      </c>
      <c r="N384" s="2" t="n">
        <v>17.559</v>
      </c>
      <c r="O384" s="2" t="n">
        <v>2023</v>
      </c>
      <c r="P384" s="2" t="n">
        <v>10.76</v>
      </c>
      <c r="Q384" s="13" t="n">
        <v>-0.3872</v>
      </c>
    </row>
    <row r="385">
      <c r="A385" s="2" t="inlineStr">
        <is>
          <t>SSRM</t>
        </is>
      </c>
      <c r="B385" s="2" t="inlineStr">
        <is>
          <t>SSR Mining Inc</t>
        </is>
      </c>
      <c r="C385" s="2" t="inlineStr">
        <is>
          <t>USD</t>
        </is>
      </c>
      <c r="D385" s="2" t="n">
        <v>2022</v>
      </c>
      <c r="E385" s="12" t="n">
        <v>44925</v>
      </c>
      <c r="F385" s="2" t="n">
        <v>17.37</v>
      </c>
      <c r="G385" s="2" t="n">
        <v>24.58</v>
      </c>
      <c r="H385" s="2" t="n">
        <v>12.84</v>
      </c>
      <c r="I385" s="2" t="n">
        <v>15.67</v>
      </c>
      <c r="J385" s="2" t="n">
        <v>17.2672</v>
      </c>
      <c r="K385" s="2" t="n">
        <v>0.28</v>
      </c>
      <c r="L385" s="13" t="n">
        <v>0.0179</v>
      </c>
      <c r="M385" s="13" t="n">
        <v>0.0443</v>
      </c>
      <c r="N385" s="2" t="n">
        <v>16.5206</v>
      </c>
      <c r="O385" s="2" t="n">
        <v>2024</v>
      </c>
      <c r="P385" s="2" t="n">
        <v>6.96</v>
      </c>
      <c r="Q385" s="13" t="n">
        <v>-0.5787</v>
      </c>
    </row>
    <row r="386">
      <c r="A386" s="2" t="inlineStr">
        <is>
          <t>SSRM</t>
        </is>
      </c>
      <c r="B386" s="2" t="inlineStr">
        <is>
          <t>SSR Mining Inc</t>
        </is>
      </c>
      <c r="C386" s="2" t="inlineStr">
        <is>
          <t>USD</t>
        </is>
      </c>
      <c r="D386" s="2" t="n">
        <v>2023</v>
      </c>
      <c r="E386" s="12" t="n">
        <v>45289</v>
      </c>
      <c r="F386" s="2" t="n">
        <v>16</v>
      </c>
      <c r="G386" s="2" t="n">
        <v>17.74</v>
      </c>
      <c r="H386" s="2" t="n">
        <v>10.34</v>
      </c>
      <c r="I386" s="2" t="n">
        <v>10.76</v>
      </c>
      <c r="J386" s="2" t="n">
        <v>14.2441</v>
      </c>
      <c r="K386" s="2" t="n">
        <v>0.28</v>
      </c>
      <c r="L386" s="13" t="n">
        <v>0.026</v>
      </c>
      <c r="M386" s="13" t="n">
        <v>0.0425</v>
      </c>
      <c r="N386" s="2" t="n">
        <v>11.1205</v>
      </c>
      <c r="O386" s="2" t="n">
        <v>2025</v>
      </c>
      <c r="P386" s="2" t="n">
        <v>21.92</v>
      </c>
      <c r="Q386" s="13" t="n">
        <v>0.9711</v>
      </c>
    </row>
    <row r="387">
      <c r="A387" s="2" t="inlineStr">
        <is>
          <t>SSRM</t>
        </is>
      </c>
      <c r="B387" s="2" t="inlineStr">
        <is>
          <t>SSR Mining Inc</t>
        </is>
      </c>
      <c r="C387" s="2" t="inlineStr">
        <is>
          <t>USD</t>
        </is>
      </c>
      <c r="D387" s="2" t="n">
        <v>2024</v>
      </c>
      <c r="E387" s="12" t="n">
        <v>45657</v>
      </c>
      <c r="F387" s="2" t="n">
        <v>10.8</v>
      </c>
      <c r="G387" s="2" t="n">
        <v>10.81</v>
      </c>
      <c r="H387" s="2" t="n">
        <v>3.76</v>
      </c>
      <c r="I387" s="2" t="n">
        <v>6.96</v>
      </c>
      <c r="J387" s="2" t="n">
        <v>5.8805</v>
      </c>
      <c r="K387" s="2" t="n">
        <v>0</v>
      </c>
      <c r="L387" s="13" t="n">
        <v>0</v>
      </c>
      <c r="M387" s="13" t="n">
        <v>0.0424</v>
      </c>
      <c r="N387" s="2" t="n">
        <v>7.576</v>
      </c>
      <c r="O387" s="2" t="n">
        <v>2026</v>
      </c>
      <c r="P387" s="2" t="n">
        <v>35.68</v>
      </c>
      <c r="Q387" s="13" t="n">
        <v>3.7096</v>
      </c>
    </row>
    <row r="388">
      <c r="A388" s="2" t="inlineStr">
        <is>
          <t>SSRM</t>
        </is>
      </c>
      <c r="B388" s="2" t="inlineStr">
        <is>
          <t>SSR Mining Inc</t>
        </is>
      </c>
      <c r="C388" s="2" t="inlineStr">
        <is>
          <t>USD</t>
        </is>
      </c>
      <c r="D388" s="2" t="n">
        <v>2025</v>
      </c>
      <c r="E388" s="12" t="n">
        <v>46022</v>
      </c>
      <c r="F388" s="2" t="n">
        <v>7.04</v>
      </c>
      <c r="G388" s="2" t="n">
        <v>25.98</v>
      </c>
      <c r="H388" s="2" t="n">
        <v>7</v>
      </c>
      <c r="I388" s="2" t="n">
        <v>21.92</v>
      </c>
      <c r="J388" s="2" t="n">
        <v>15.04</v>
      </c>
      <c r="K388" s="2" t="n">
        <v>0</v>
      </c>
      <c r="L388" s="13" t="n">
        <v>0</v>
      </c>
      <c r="M388" s="13" t="n">
        <v>0.0348</v>
      </c>
      <c r="N388" s="2" t="n">
        <v>23.5</v>
      </c>
      <c r="O388" s="2" t="n">
        <v>2027</v>
      </c>
      <c r="P388" s="2" t="n"/>
      <c r="Q388" s="13" t="n"/>
    </row>
    <row r="389">
      <c r="A389" s="2" t="inlineStr">
        <is>
          <t>SSRM</t>
        </is>
      </c>
      <c r="B389" s="2" t="inlineStr">
        <is>
          <t>SSR Mining Inc</t>
        </is>
      </c>
      <c r="C389" s="2" t="inlineStr">
        <is>
          <t>USD</t>
        </is>
      </c>
      <c r="D389" s="2" t="n">
        <v>2026</v>
      </c>
      <c r="E389" s="12" t="n">
        <v>46290</v>
      </c>
      <c r="F389" s="2" t="n">
        <v>22.44</v>
      </c>
      <c r="G389" s="2" t="n">
        <v>39.44</v>
      </c>
      <c r="H389" s="2" t="n">
        <v>20.83</v>
      </c>
      <c r="I389" s="2" t="n">
        <v>35.68</v>
      </c>
      <c r="J389" s="2" t="n">
        <v>29.7518</v>
      </c>
      <c r="K389" s="2" t="n">
        <v>0.03</v>
      </c>
      <c r="L389" s="13" t="n">
        <v>0.0008</v>
      </c>
      <c r="M389" s="13" t="n">
        <v>0.0348</v>
      </c>
      <c r="N389" s="2" t="n">
        <v>38.1875</v>
      </c>
      <c r="O389" s="2" t="n">
        <v>2028</v>
      </c>
      <c r="P389" s="2" t="n"/>
      <c r="Q389" s="13" t="n"/>
    </row>
    <row r="390">
      <c r="A390" s="2" t="inlineStr">
        <is>
          <t>STLR.TO</t>
        </is>
      </c>
      <c r="B390" s="2" t="inlineStr">
        <is>
          <t>STLLR Gold Inc</t>
        </is>
      </c>
      <c r="C390" s="2" t="inlineStr">
        <is>
          <t>CAD</t>
        </is>
      </c>
      <c r="D390" s="2" t="n">
        <v>2017</v>
      </c>
      <c r="E390" s="12" t="n">
        <v>43098</v>
      </c>
      <c r="F390" s="2" t="n">
        <v>0.26</v>
      </c>
      <c r="G390" s="2" t="n">
        <v>0.27</v>
      </c>
      <c r="H390" s="2" t="n">
        <v>0.13</v>
      </c>
      <c r="I390" s="2" t="n">
        <v>0.18</v>
      </c>
      <c r="J390" s="2" t="n">
        <v>0.1856</v>
      </c>
      <c r="K390" s="2" t="n">
        <v>0</v>
      </c>
      <c r="L390" s="13" t="n">
        <v>0</v>
      </c>
      <c r="M390" s="13" t="n">
        <v>0.0169</v>
      </c>
      <c r="N390" s="2" t="n">
        <v>0.1862</v>
      </c>
      <c r="O390" s="2" t="n">
        <v>2019</v>
      </c>
      <c r="P390" s="2" t="n">
        <v>0.13</v>
      </c>
      <c r="Q390" s="13" t="n">
        <v>-0.3018</v>
      </c>
    </row>
    <row r="391">
      <c r="A391" s="2" t="inlineStr">
        <is>
          <t>STLR.TO</t>
        </is>
      </c>
      <c r="B391" s="2" t="inlineStr">
        <is>
          <t>STLLR Gold Inc</t>
        </is>
      </c>
      <c r="C391" s="2" t="inlineStr">
        <is>
          <t>CAD</t>
        </is>
      </c>
      <c r="D391" s="2" t="n">
        <v>2018</v>
      </c>
      <c r="E391" s="12" t="n">
        <v>43465</v>
      </c>
      <c r="F391" s="2" t="n">
        <v>0.18</v>
      </c>
      <c r="G391" s="2" t="n">
        <v>0.2</v>
      </c>
      <c r="H391" s="2" t="n">
        <v>0.07000000000000001</v>
      </c>
      <c r="I391" s="2" t="n">
        <v>0.13</v>
      </c>
      <c r="J391" s="2" t="n">
        <v>0.129</v>
      </c>
      <c r="K391" s="2" t="n">
        <v>0</v>
      </c>
      <c r="L391" s="13" t="n">
        <v>0</v>
      </c>
      <c r="M391" s="13" t="n">
        <v>0.0186</v>
      </c>
      <c r="N391" s="2" t="n">
        <v>0.1349</v>
      </c>
      <c r="O391" s="2" t="n">
        <v>2020</v>
      </c>
      <c r="P391" s="2" t="n">
        <v>0.38</v>
      </c>
      <c r="Q391" s="13" t="n">
        <v>1.8163</v>
      </c>
    </row>
    <row r="392">
      <c r="A392" s="2" t="inlineStr">
        <is>
          <t>STLR.TO</t>
        </is>
      </c>
      <c r="B392" s="2" t="inlineStr">
        <is>
          <t>STLLR Gold Inc</t>
        </is>
      </c>
      <c r="C392" s="2" t="inlineStr">
        <is>
          <t>CAD</t>
        </is>
      </c>
      <c r="D392" s="2" t="n">
        <v>2019</v>
      </c>
      <c r="E392" s="12" t="n">
        <v>43830</v>
      </c>
      <c r="F392" s="2" t="n">
        <v>0.13</v>
      </c>
      <c r="G392" s="2" t="n">
        <v>0.16</v>
      </c>
      <c r="H392" s="2" t="n">
        <v>0.09</v>
      </c>
      <c r="I392" s="2" t="n">
        <v>0.13</v>
      </c>
      <c r="J392" s="2" t="n">
        <v>0.114</v>
      </c>
      <c r="K392" s="2" t="n">
        <v>0</v>
      </c>
      <c r="L392" s="13" t="n">
        <v>0</v>
      </c>
      <c r="M392" s="13" t="n">
        <v>0.017</v>
      </c>
      <c r="N392" s="2" t="n">
        <v>0.1345</v>
      </c>
      <c r="O392" s="2" t="n">
        <v>2021</v>
      </c>
      <c r="P392" s="2" t="n">
        <v>2.05</v>
      </c>
      <c r="Q392" s="13" t="n">
        <v>1.5403</v>
      </c>
    </row>
    <row r="393">
      <c r="A393" s="2" t="inlineStr">
        <is>
          <t>STLR.TO</t>
        </is>
      </c>
      <c r="B393" s="2" t="inlineStr">
        <is>
          <t>STLLR Gold Inc</t>
        </is>
      </c>
      <c r="C393" s="2" t="inlineStr">
        <is>
          <t>CAD</t>
        </is>
      </c>
      <c r="D393" s="2" t="n">
        <v>2020</v>
      </c>
      <c r="E393" s="12" t="n">
        <v>44196</v>
      </c>
      <c r="F393" s="2" t="n">
        <v>0.13</v>
      </c>
      <c r="G393" s="2" t="n">
        <v>0.39</v>
      </c>
      <c r="H393" s="2" t="n">
        <v>0.06</v>
      </c>
      <c r="I393" s="2" t="n">
        <v>0.38</v>
      </c>
      <c r="J393" s="2" t="n">
        <v>0.1477</v>
      </c>
      <c r="K393" s="2" t="n">
        <v>0</v>
      </c>
      <c r="L393" s="13" t="n">
        <v>0</v>
      </c>
      <c r="M393" s="13" t="n">
        <v>0.002</v>
      </c>
      <c r="N393" s="2" t="n">
        <v>0.3815</v>
      </c>
      <c r="O393" s="2" t="n">
        <v>2022</v>
      </c>
      <c r="P393" s="2" t="n">
        <v>1.48</v>
      </c>
      <c r="Q393" s="13" t="n">
        <v>-0.3535</v>
      </c>
    </row>
    <row r="394">
      <c r="A394" s="2" t="inlineStr">
        <is>
          <t>STLR.TO</t>
        </is>
      </c>
      <c r="B394" s="2" t="inlineStr">
        <is>
          <t>STLLR Gold Inc</t>
        </is>
      </c>
      <c r="C394" s="2" t="inlineStr">
        <is>
          <t>CAD</t>
        </is>
      </c>
      <c r="D394" s="2" t="n">
        <v>2021</v>
      </c>
      <c r="E394" s="12" t="n">
        <v>44561</v>
      </c>
      <c r="F394" s="2" t="n">
        <v>0.38</v>
      </c>
      <c r="G394" s="2" t="n">
        <v>2.39</v>
      </c>
      <c r="H394" s="2" t="n">
        <v>0.27</v>
      </c>
      <c r="I394" s="2" t="n">
        <v>2.05</v>
      </c>
      <c r="J394" s="2" t="n">
        <v>0.8767</v>
      </c>
      <c r="K394" s="2" t="n">
        <v>0</v>
      </c>
      <c r="L394" s="13" t="n">
        <v>0</v>
      </c>
      <c r="M394" s="13" t="n">
        <v>0.0095</v>
      </c>
      <c r="N394" s="2" t="n">
        <v>2.0893</v>
      </c>
      <c r="O394" s="2" t="n">
        <v>2023</v>
      </c>
      <c r="P394" s="2" t="n">
        <v>0.75</v>
      </c>
      <c r="Q394" s="13" t="n">
        <v>-0.641</v>
      </c>
    </row>
    <row r="395">
      <c r="A395" s="2" t="inlineStr">
        <is>
          <t>STLR.TO</t>
        </is>
      </c>
      <c r="B395" s="2" t="inlineStr">
        <is>
          <t>STLLR Gold Inc</t>
        </is>
      </c>
      <c r="C395" s="2" t="inlineStr">
        <is>
          <t>CAD</t>
        </is>
      </c>
      <c r="D395" s="2" t="n">
        <v>2022</v>
      </c>
      <c r="E395" s="12" t="n">
        <v>44925</v>
      </c>
      <c r="F395" s="2" t="n">
        <v>2.05</v>
      </c>
      <c r="G395" s="2" t="n">
        <v>2.97</v>
      </c>
      <c r="H395" s="2" t="n">
        <v>1.36</v>
      </c>
      <c r="I395" s="2" t="n">
        <v>1.48</v>
      </c>
      <c r="J395" s="2" t="n">
        <v>1.8986</v>
      </c>
      <c r="K395" s="2" t="n">
        <v>0</v>
      </c>
      <c r="L395" s="13" t="n">
        <v>0</v>
      </c>
      <c r="M395" s="13" t="n">
        <v>0.0405</v>
      </c>
      <c r="N395" s="2" t="n">
        <v>1.6049</v>
      </c>
      <c r="O395" s="2" t="n">
        <v>2024</v>
      </c>
      <c r="P395" s="2" t="n">
        <v>0.83</v>
      </c>
      <c r="Q395" s="13" t="n">
        <v>-0.7413999999999999</v>
      </c>
    </row>
    <row r="396">
      <c r="A396" s="2" t="inlineStr">
        <is>
          <t>STLR.TO</t>
        </is>
      </c>
      <c r="B396" s="2" t="inlineStr">
        <is>
          <t>STLLR Gold Inc</t>
        </is>
      </c>
      <c r="C396" s="2" t="inlineStr">
        <is>
          <t>CAD</t>
        </is>
      </c>
      <c r="D396" s="2" t="n">
        <v>2023</v>
      </c>
      <c r="E396" s="12" t="n">
        <v>45289</v>
      </c>
      <c r="F396" s="2" t="n">
        <v>1.48</v>
      </c>
      <c r="G396" s="2" t="n">
        <v>1.77</v>
      </c>
      <c r="H396" s="2" t="n">
        <v>0.74</v>
      </c>
      <c r="I396" s="2" t="n">
        <v>0.75</v>
      </c>
      <c r="J396" s="2" t="n">
        <v>1.123</v>
      </c>
      <c r="K396" s="2" t="n">
        <v>0</v>
      </c>
      <c r="L396" s="13" t="n">
        <v>0</v>
      </c>
      <c r="M396" s="13" t="n">
        <v>0.0388</v>
      </c>
      <c r="N396" s="2" t="n">
        <v>0.8105</v>
      </c>
      <c r="O396" s="2" t="n">
        <v>2025</v>
      </c>
      <c r="P396" s="2" t="n">
        <v>1.63</v>
      </c>
      <c r="Q396" s="13" t="n">
        <v>0.0055</v>
      </c>
    </row>
    <row r="397">
      <c r="A397" s="2" t="inlineStr">
        <is>
          <t>STLR.TO</t>
        </is>
      </c>
      <c r="B397" s="2" t="inlineStr">
        <is>
          <t>STLLR Gold Inc</t>
        </is>
      </c>
      <c r="C397" s="2" t="inlineStr">
        <is>
          <t>CAD</t>
        </is>
      </c>
      <c r="D397" s="2" t="n">
        <v>2024</v>
      </c>
      <c r="E397" s="12" t="n">
        <v>45657</v>
      </c>
      <c r="F397" s="2" t="n">
        <v>0.78</v>
      </c>
      <c r="G397" s="2" t="n">
        <v>1.59</v>
      </c>
      <c r="H397" s="2" t="n">
        <v>0.6</v>
      </c>
      <c r="I397" s="2" t="n">
        <v>0.83</v>
      </c>
      <c r="J397" s="2" t="n">
        <v>1.1278</v>
      </c>
      <c r="K397" s="2" t="n">
        <v>0</v>
      </c>
      <c r="L397" s="13" t="n">
        <v>0</v>
      </c>
      <c r="M397" s="13" t="n">
        <v>0.0293</v>
      </c>
      <c r="N397" s="2" t="n">
        <v>0.8801</v>
      </c>
      <c r="O397" s="2" t="n">
        <v>2026</v>
      </c>
      <c r="P397" s="2" t="n">
        <v>1.66</v>
      </c>
      <c r="Q397" s="13" t="n">
        <v>0.8862</v>
      </c>
    </row>
    <row r="398">
      <c r="A398" s="2" t="inlineStr">
        <is>
          <t>STLR.TO</t>
        </is>
      </c>
      <c r="B398" s="2" t="inlineStr">
        <is>
          <t>STLLR Gold Inc</t>
        </is>
      </c>
      <c r="C398" s="2" t="inlineStr">
        <is>
          <t>CAD</t>
        </is>
      </c>
      <c r="D398" s="2" t="n">
        <v>2025</v>
      </c>
      <c r="E398" s="12" t="n">
        <v>46022</v>
      </c>
      <c r="F398" s="2" t="n">
        <v>0.83</v>
      </c>
      <c r="G398" s="2" t="n">
        <v>1.87</v>
      </c>
      <c r="H398" s="2" t="n">
        <v>0.71</v>
      </c>
      <c r="I398" s="2" t="n">
        <v>1.63</v>
      </c>
      <c r="J398" s="2" t="n">
        <v>1.0993</v>
      </c>
      <c r="K398" s="2" t="n">
        <v>0</v>
      </c>
      <c r="L398" s="13" t="n">
        <v>0</v>
      </c>
      <c r="M398" s="13" t="n">
        <v>0.026</v>
      </c>
      <c r="N398" s="2" t="n">
        <v>1.717</v>
      </c>
      <c r="O398" s="2" t="n">
        <v>2027</v>
      </c>
      <c r="P398" s="2" t="n"/>
      <c r="Q398" s="13" t="n"/>
    </row>
    <row r="399">
      <c r="A399" s="2" t="inlineStr">
        <is>
          <t>STLR.TO</t>
        </is>
      </c>
      <c r="B399" s="2" t="inlineStr">
        <is>
          <t>STLLR Gold Inc</t>
        </is>
      </c>
      <c r="C399" s="2" t="inlineStr">
        <is>
          <t>CAD</t>
        </is>
      </c>
      <c r="D399" s="2" t="n">
        <v>2026</v>
      </c>
      <c r="E399" s="12" t="n">
        <v>46290</v>
      </c>
      <c r="F399" s="2" t="n">
        <v>1.65</v>
      </c>
      <c r="G399" s="2" t="n">
        <v>2.27</v>
      </c>
      <c r="H399" s="2" t="n">
        <v>1.21</v>
      </c>
      <c r="I399" s="2" t="n">
        <v>1.66</v>
      </c>
      <c r="J399" s="2" t="n">
        <v>1.5775</v>
      </c>
      <c r="K399" s="2" t="n">
        <v>0</v>
      </c>
      <c r="L399" s="13" t="n">
        <v>0</v>
      </c>
      <c r="M399" s="13" t="n">
        <v>0.026</v>
      </c>
      <c r="N399" s="2" t="n">
        <v>1.7486</v>
      </c>
      <c r="O399" s="2" t="n">
        <v>2028</v>
      </c>
      <c r="P399" s="2" t="n"/>
      <c r="Q399" s="13" t="n"/>
    </row>
    <row r="400">
      <c r="A400" s="2" t="inlineStr">
        <is>
          <t>TSK.TO</t>
        </is>
      </c>
      <c r="B400" s="2" t="inlineStr">
        <is>
          <t>Talisker Resources Ltd</t>
        </is>
      </c>
      <c r="C400" s="2" t="inlineStr">
        <is>
          <t>CAD</t>
        </is>
      </c>
      <c r="D400" s="2" t="n">
        <v>2018</v>
      </c>
      <c r="E400" s="12" t="n">
        <v>43465</v>
      </c>
      <c r="F400" s="2" t="n">
        <v>0.07000000000000001</v>
      </c>
      <c r="G400" s="2" t="n">
        <v>0.12</v>
      </c>
      <c r="H400" s="2" t="n">
        <v>0.02</v>
      </c>
      <c r="I400" s="2" t="n">
        <v>0.03</v>
      </c>
      <c r="J400" s="2" t="n">
        <v>0.0539</v>
      </c>
      <c r="K400" s="2" t="n">
        <v>0</v>
      </c>
      <c r="L400" s="13" t="n">
        <v>0</v>
      </c>
      <c r="M400" s="13" t="n">
        <v>0.0186</v>
      </c>
      <c r="N400" s="2" t="n">
        <v>0.0311</v>
      </c>
      <c r="O400" s="2" t="n">
        <v>2020</v>
      </c>
      <c r="P400" s="2" t="n">
        <v>0.335</v>
      </c>
      <c r="Q400" s="13" t="n">
        <v>9.758900000000001</v>
      </c>
    </row>
    <row r="401">
      <c r="A401" s="2" t="inlineStr">
        <is>
          <t>TSK.TO</t>
        </is>
      </c>
      <c r="B401" s="2" t="inlineStr">
        <is>
          <t>Talisker Resources Ltd</t>
        </is>
      </c>
      <c r="C401" s="2" t="inlineStr">
        <is>
          <t>CAD</t>
        </is>
      </c>
      <c r="D401" s="2" t="n">
        <v>2019</v>
      </c>
      <c r="E401" s="12" t="n">
        <v>43830</v>
      </c>
      <c r="F401" s="2" t="n">
        <v>0.03</v>
      </c>
      <c r="G401" s="2" t="n">
        <v>0.34</v>
      </c>
      <c r="H401" s="2" t="n">
        <v>0.025</v>
      </c>
      <c r="I401" s="2" t="n">
        <v>0.33</v>
      </c>
      <c r="J401" s="2" t="n">
        <v>0.1223</v>
      </c>
      <c r="K401" s="2" t="n">
        <v>0</v>
      </c>
      <c r="L401" s="13" t="n">
        <v>0</v>
      </c>
      <c r="M401" s="13" t="n">
        <v>0.017</v>
      </c>
      <c r="N401" s="2" t="n">
        <v>0.3414</v>
      </c>
      <c r="O401" s="2" t="n">
        <v>2021</v>
      </c>
      <c r="P401" s="2" t="n">
        <v>0.31</v>
      </c>
      <c r="Q401" s="13" t="n">
        <v>-0.092</v>
      </c>
    </row>
    <row r="402">
      <c r="A402" s="2" t="inlineStr">
        <is>
          <t>TSK.TO</t>
        </is>
      </c>
      <c r="B402" s="2" t="inlineStr">
        <is>
          <t>Talisker Resources Ltd</t>
        </is>
      </c>
      <c r="C402" s="2" t="inlineStr">
        <is>
          <t>CAD</t>
        </is>
      </c>
      <c r="D402" s="2" t="n">
        <v>2020</v>
      </c>
      <c r="E402" s="12" t="n">
        <v>44196</v>
      </c>
      <c r="F402" s="2" t="n">
        <v>0.33</v>
      </c>
      <c r="G402" s="2" t="n">
        <v>0.65</v>
      </c>
      <c r="H402" s="2" t="n">
        <v>0.17</v>
      </c>
      <c r="I402" s="2" t="n">
        <v>0.335</v>
      </c>
      <c r="J402" s="2" t="n">
        <v>0.3726</v>
      </c>
      <c r="K402" s="2" t="n">
        <v>0</v>
      </c>
      <c r="L402" s="13" t="n">
        <v>0</v>
      </c>
      <c r="M402" s="13" t="n">
        <v>0.002</v>
      </c>
      <c r="N402" s="2" t="n">
        <v>0.3363</v>
      </c>
      <c r="O402" s="2" t="n">
        <v>2022</v>
      </c>
      <c r="P402" s="2" t="n">
        <v>0.14</v>
      </c>
      <c r="Q402" s="13" t="n">
        <v>-0.5838</v>
      </c>
    </row>
    <row r="403">
      <c r="A403" s="2" t="inlineStr">
        <is>
          <t>TSK.TO</t>
        </is>
      </c>
      <c r="B403" s="2" t="inlineStr">
        <is>
          <t>Talisker Resources Ltd</t>
        </is>
      </c>
      <c r="C403" s="2" t="inlineStr">
        <is>
          <t>CAD</t>
        </is>
      </c>
      <c r="D403" s="2" t="n">
        <v>2021</v>
      </c>
      <c r="E403" s="12" t="n">
        <v>44561</v>
      </c>
      <c r="F403" s="2" t="n">
        <v>0.345</v>
      </c>
      <c r="G403" s="2" t="n">
        <v>0.385</v>
      </c>
      <c r="H403" s="2" t="n">
        <v>0.235</v>
      </c>
      <c r="I403" s="2" t="n">
        <v>0.31</v>
      </c>
      <c r="J403" s="2" t="n">
        <v>0.3114</v>
      </c>
      <c r="K403" s="2" t="n">
        <v>0</v>
      </c>
      <c r="L403" s="13" t="n">
        <v>0</v>
      </c>
      <c r="M403" s="13" t="n">
        <v>0.0095</v>
      </c>
      <c r="N403" s="2" t="n">
        <v>0.3159</v>
      </c>
      <c r="O403" s="2" t="n">
        <v>2023</v>
      </c>
      <c r="P403" s="2" t="n">
        <v>0.33</v>
      </c>
      <c r="Q403" s="13" t="n">
        <v>0.0445</v>
      </c>
    </row>
    <row r="404">
      <c r="A404" s="2" t="inlineStr">
        <is>
          <t>TSK.TO</t>
        </is>
      </c>
      <c r="B404" s="2" t="inlineStr">
        <is>
          <t>Talisker Resources Ltd</t>
        </is>
      </c>
      <c r="C404" s="2" t="inlineStr">
        <is>
          <t>CAD</t>
        </is>
      </c>
      <c r="D404" s="2" t="n">
        <v>2022</v>
      </c>
      <c r="E404" s="12" t="n">
        <v>44925</v>
      </c>
      <c r="F404" s="2" t="n">
        <v>0.31</v>
      </c>
      <c r="G404" s="2" t="n">
        <v>0.315</v>
      </c>
      <c r="H404" s="2" t="n">
        <v>0.095</v>
      </c>
      <c r="I404" s="2" t="n">
        <v>0.14</v>
      </c>
      <c r="J404" s="2" t="n">
        <v>0.1964</v>
      </c>
      <c r="K404" s="2" t="n">
        <v>0</v>
      </c>
      <c r="L404" s="13" t="n">
        <v>0</v>
      </c>
      <c r="M404" s="13" t="n">
        <v>0.0405</v>
      </c>
      <c r="N404" s="2" t="n">
        <v>0.1518</v>
      </c>
      <c r="O404" s="2" t="n">
        <v>2024</v>
      </c>
      <c r="P404" s="2" t="n">
        <v>0.315</v>
      </c>
      <c r="Q404" s="13" t="n">
        <v>1.0749</v>
      </c>
    </row>
    <row r="405">
      <c r="A405" s="2" t="inlineStr">
        <is>
          <t>TSK.TO</t>
        </is>
      </c>
      <c r="B405" s="2" t="inlineStr">
        <is>
          <t>Talisker Resources Ltd</t>
        </is>
      </c>
      <c r="C405" s="2" t="inlineStr">
        <is>
          <t>CAD</t>
        </is>
      </c>
      <c r="D405" s="2" t="n">
        <v>2023</v>
      </c>
      <c r="E405" s="12" t="n">
        <v>45289</v>
      </c>
      <c r="F405" s="2" t="n">
        <v>0.145</v>
      </c>
      <c r="G405" s="2" t="n">
        <v>0.39</v>
      </c>
      <c r="H405" s="2" t="n">
        <v>0.065</v>
      </c>
      <c r="I405" s="2" t="n">
        <v>0.33</v>
      </c>
      <c r="J405" s="2" t="n">
        <v>0.1782</v>
      </c>
      <c r="K405" s="2" t="n">
        <v>0</v>
      </c>
      <c r="L405" s="13" t="n">
        <v>0</v>
      </c>
      <c r="M405" s="13" t="n">
        <v>0.0388</v>
      </c>
      <c r="N405" s="2" t="n">
        <v>0.3566</v>
      </c>
      <c r="O405" s="2" t="n">
        <v>2025</v>
      </c>
      <c r="P405" s="2" t="n">
        <v>1.44</v>
      </c>
      <c r="Q405" s="13" t="n">
        <v>3.0378</v>
      </c>
    </row>
    <row r="406">
      <c r="A406" s="2" t="inlineStr">
        <is>
          <t>TSK.TO</t>
        </is>
      </c>
      <c r="B406" s="2" t="inlineStr">
        <is>
          <t>Talisker Resources Ltd</t>
        </is>
      </c>
      <c r="C406" s="2" t="inlineStr">
        <is>
          <t>CAD</t>
        </is>
      </c>
      <c r="D406" s="2" t="n">
        <v>2024</v>
      </c>
      <c r="E406" s="12" t="n">
        <v>45657</v>
      </c>
      <c r="F406" s="2" t="n">
        <v>0.32</v>
      </c>
      <c r="G406" s="2" t="n">
        <v>0.64</v>
      </c>
      <c r="H406" s="2" t="n">
        <v>0.285</v>
      </c>
      <c r="I406" s="2" t="n">
        <v>0.315</v>
      </c>
      <c r="J406" s="2" t="n">
        <v>0.4221</v>
      </c>
      <c r="K406" s="2" t="n">
        <v>0</v>
      </c>
      <c r="L406" s="13" t="n">
        <v>0</v>
      </c>
      <c r="M406" s="13" t="n">
        <v>0.0293</v>
      </c>
      <c r="N406" s="2" t="n">
        <v>0.334</v>
      </c>
      <c r="O406" s="2" t="n">
        <v>2026</v>
      </c>
      <c r="P406" s="2" t="n">
        <v>1.21</v>
      </c>
      <c r="Q406" s="13" t="n">
        <v>2.6226</v>
      </c>
    </row>
    <row r="407">
      <c r="A407" s="2" t="inlineStr">
        <is>
          <t>TSK.TO</t>
        </is>
      </c>
      <c r="B407" s="2" t="inlineStr">
        <is>
          <t>Talisker Resources Ltd</t>
        </is>
      </c>
      <c r="C407" s="2" t="inlineStr">
        <is>
          <t>CAD</t>
        </is>
      </c>
      <c r="D407" s="2" t="n">
        <v>2025</v>
      </c>
      <c r="E407" s="12" t="n">
        <v>46022</v>
      </c>
      <c r="F407" s="2" t="n">
        <v>0.32</v>
      </c>
      <c r="G407" s="2" t="n">
        <v>1.86</v>
      </c>
      <c r="H407" s="2" t="n">
        <v>0.315</v>
      </c>
      <c r="I407" s="2" t="n">
        <v>1.44</v>
      </c>
      <c r="J407" s="2" t="n">
        <v>0.778</v>
      </c>
      <c r="K407" s="2" t="n">
        <v>0</v>
      </c>
      <c r="L407" s="13" t="n">
        <v>0</v>
      </c>
      <c r="M407" s="13" t="n">
        <v>0.026</v>
      </c>
      <c r="N407" s="2" t="n">
        <v>1.5169</v>
      </c>
      <c r="O407" s="2" t="n">
        <v>2027</v>
      </c>
      <c r="P407" s="2" t="n"/>
      <c r="Q407" s="13" t="n"/>
    </row>
    <row r="408">
      <c r="A408" s="2" t="inlineStr">
        <is>
          <t>TSK.TO</t>
        </is>
      </c>
      <c r="B408" s="2" t="inlineStr">
        <is>
          <t>Talisker Resources Ltd</t>
        </is>
      </c>
      <c r="C408" s="2" t="inlineStr">
        <is>
          <t>CAD</t>
        </is>
      </c>
      <c r="D408" s="2" t="n">
        <v>2026</v>
      </c>
      <c r="E408" s="12" t="n">
        <v>46290</v>
      </c>
      <c r="F408" s="2" t="n">
        <v>1.5</v>
      </c>
      <c r="G408" s="2" t="n">
        <v>2.35</v>
      </c>
      <c r="H408" s="2" t="n">
        <v>1.01</v>
      </c>
      <c r="I408" s="2" t="n">
        <v>1.21</v>
      </c>
      <c r="J408" s="2" t="n">
        <v>1.4979</v>
      </c>
      <c r="K408" s="2" t="n">
        <v>0</v>
      </c>
      <c r="L408" s="13" t="n">
        <v>0</v>
      </c>
      <c r="M408" s="13" t="n">
        <v>0.026</v>
      </c>
      <c r="N408" s="2" t="n">
        <v>1.2746</v>
      </c>
      <c r="O408" s="2" t="n">
        <v>2028</v>
      </c>
      <c r="P408" s="2" t="n"/>
      <c r="Q408" s="13" t="n"/>
    </row>
    <row r="409">
      <c r="A409" s="2" t="inlineStr">
        <is>
          <t>VAU.AX</t>
        </is>
      </c>
      <c r="B409" s="2" t="inlineStr">
        <is>
          <t>Vault Minerals Ltd</t>
        </is>
      </c>
      <c r="C409" s="2" t="inlineStr">
        <is>
          <t>AUD</t>
        </is>
      </c>
      <c r="D409" s="2" t="n">
        <v>2017</v>
      </c>
      <c r="E409" s="12" t="n">
        <v>43098</v>
      </c>
      <c r="F409" s="2" t="n">
        <v>0.08500000000000001</v>
      </c>
      <c r="G409" s="2" t="n">
        <v>0.092</v>
      </c>
      <c r="H409" s="2" t="n">
        <v>0.029</v>
      </c>
      <c r="I409" s="2" t="n">
        <v>0.058</v>
      </c>
      <c r="J409" s="2" t="n">
        <v>0.0499</v>
      </c>
      <c r="K409" s="2" t="n">
        <v>0</v>
      </c>
      <c r="L409" s="13" t="n">
        <v>0</v>
      </c>
      <c r="M409" s="13" t="n">
        <v>0.02</v>
      </c>
      <c r="N409" s="2" t="n">
        <v>0.0604</v>
      </c>
      <c r="O409" s="2" t="n">
        <v>2019</v>
      </c>
      <c r="P409" s="2" t="n">
        <v>0.33</v>
      </c>
      <c r="Q409" s="13" t="n">
        <v>4.4666</v>
      </c>
    </row>
    <row r="410">
      <c r="A410" s="2" t="inlineStr">
        <is>
          <t>VAU.AX</t>
        </is>
      </c>
      <c r="B410" s="2" t="inlineStr">
        <is>
          <t>Vault Minerals Ltd</t>
        </is>
      </c>
      <c r="C410" s="2" t="inlineStr">
        <is>
          <t>AUD</t>
        </is>
      </c>
      <c r="D410" s="2" t="n">
        <v>2018</v>
      </c>
      <c r="E410" s="12" t="n">
        <v>43465</v>
      </c>
      <c r="F410" s="2" t="n">
        <v>0.059</v>
      </c>
      <c r="G410" s="2" t="n">
        <v>0.094</v>
      </c>
      <c r="H410" s="2" t="n">
        <v>0.052</v>
      </c>
      <c r="I410" s="2" t="n">
        <v>0.089</v>
      </c>
      <c r="J410" s="2" t="n">
        <v>0.0683</v>
      </c>
      <c r="K410" s="2" t="n">
        <v>0</v>
      </c>
      <c r="L410" s="13" t="n">
        <v>0</v>
      </c>
      <c r="M410" s="13" t="n">
        <v>0.019</v>
      </c>
      <c r="N410" s="2" t="n">
        <v>0.0924</v>
      </c>
      <c r="O410" s="2" t="n">
        <v>2020</v>
      </c>
      <c r="P410" s="2" t="n">
        <v>0.26</v>
      </c>
      <c r="Q410" s="13" t="n">
        <v>1.8124</v>
      </c>
    </row>
    <row r="411">
      <c r="A411" s="2" t="inlineStr">
        <is>
          <t>VAU.AX</t>
        </is>
      </c>
      <c r="B411" s="2" t="inlineStr">
        <is>
          <t>Vault Minerals Ltd</t>
        </is>
      </c>
      <c r="C411" s="2" t="inlineStr">
        <is>
          <t>AUD</t>
        </is>
      </c>
      <c r="D411" s="2" t="n">
        <v>2019</v>
      </c>
      <c r="E411" s="12" t="n">
        <v>43830</v>
      </c>
      <c r="F411" s="2" t="n">
        <v>0.08799999999999999</v>
      </c>
      <c r="G411" s="2" t="n">
        <v>0.395</v>
      </c>
      <c r="H411" s="2" t="n">
        <v>0.08599999999999999</v>
      </c>
      <c r="I411" s="2" t="n">
        <v>0.33</v>
      </c>
      <c r="J411" s="2" t="n">
        <v>0.2082</v>
      </c>
      <c r="K411" s="2" t="n">
        <v>0</v>
      </c>
      <c r="L411" s="13" t="n">
        <v>0</v>
      </c>
      <c r="M411" s="13" t="n">
        <v>0.008999999999999999</v>
      </c>
      <c r="N411" s="2" t="n">
        <v>0.336</v>
      </c>
      <c r="O411" s="2" t="n">
        <v>2021</v>
      </c>
      <c r="P411" s="2" t="n">
        <v>0.29</v>
      </c>
      <c r="Q411" s="13" t="n">
        <v>-0.1145</v>
      </c>
    </row>
    <row r="412">
      <c r="A412" s="2" t="inlineStr">
        <is>
          <t>VAU.AX</t>
        </is>
      </c>
      <c r="B412" s="2" t="inlineStr">
        <is>
          <t>Vault Minerals Ltd</t>
        </is>
      </c>
      <c r="C412" s="2" t="inlineStr">
        <is>
          <t>AUD</t>
        </is>
      </c>
      <c r="D412" s="2" t="n">
        <v>2020</v>
      </c>
      <c r="E412" s="12" t="n">
        <v>44196</v>
      </c>
      <c r="F412" s="2" t="n">
        <v>0.33</v>
      </c>
      <c r="G412" s="2" t="n">
        <v>0.375</v>
      </c>
      <c r="H412" s="2" t="n">
        <v>0.175</v>
      </c>
      <c r="I412" s="2" t="n">
        <v>0.26</v>
      </c>
      <c r="J412" s="2" t="n">
        <v>0.2733</v>
      </c>
      <c r="K412" s="2" t="n">
        <v>0</v>
      </c>
      <c r="L412" s="13" t="n">
        <v>0</v>
      </c>
      <c r="M412" s="13" t="n">
        <v>0.001</v>
      </c>
      <c r="N412" s="2" t="n">
        <v>0.2605</v>
      </c>
      <c r="O412" s="2" t="n">
        <v>2022</v>
      </c>
      <c r="P412" s="2" t="n">
        <v>0.205</v>
      </c>
      <c r="Q412" s="13" t="n">
        <v>-0.1927</v>
      </c>
    </row>
    <row r="413">
      <c r="A413" s="2" t="inlineStr">
        <is>
          <t>VAU.AX</t>
        </is>
      </c>
      <c r="B413" s="2" t="inlineStr">
        <is>
          <t>Vault Minerals Ltd</t>
        </is>
      </c>
      <c r="C413" s="2" t="inlineStr">
        <is>
          <t>AUD</t>
        </is>
      </c>
      <c r="D413" s="2" t="n">
        <v>2021</v>
      </c>
      <c r="E413" s="12" t="n">
        <v>44561</v>
      </c>
      <c r="F413" s="2" t="n">
        <v>0.26</v>
      </c>
      <c r="G413" s="2" t="n">
        <v>0.3</v>
      </c>
      <c r="H413" s="2" t="n">
        <v>0.155</v>
      </c>
      <c r="I413" s="2" t="n">
        <v>0.29</v>
      </c>
      <c r="J413" s="2" t="n">
        <v>0.2142</v>
      </c>
      <c r="K413" s="2" t="n">
        <v>0</v>
      </c>
      <c r="L413" s="13" t="n">
        <v>0</v>
      </c>
      <c r="M413" s="13" t="n">
        <v>0.006</v>
      </c>
      <c r="N413" s="2" t="n">
        <v>0.2935</v>
      </c>
      <c r="O413" s="2" t="n">
        <v>2023</v>
      </c>
      <c r="P413" s="2" t="n">
        <v>0.31</v>
      </c>
      <c r="Q413" s="13" t="n">
        <v>0.0562</v>
      </c>
    </row>
    <row r="414">
      <c r="A414" s="2" t="inlineStr">
        <is>
          <t>VAU.AX</t>
        </is>
      </c>
      <c r="B414" s="2" t="inlineStr">
        <is>
          <t>Vault Minerals Ltd</t>
        </is>
      </c>
      <c r="C414" s="2" t="inlineStr">
        <is>
          <t>AUD</t>
        </is>
      </c>
      <c r="D414" s="2" t="n">
        <v>2022</v>
      </c>
      <c r="E414" s="12" t="n">
        <v>44925</v>
      </c>
      <c r="F414" s="2" t="n">
        <v>0.295</v>
      </c>
      <c r="G414" s="2" t="n">
        <v>0.47</v>
      </c>
      <c r="H414" s="2" t="n">
        <v>0.15</v>
      </c>
      <c r="I414" s="2" t="n">
        <v>0.205</v>
      </c>
      <c r="J414" s="2" t="n">
        <v>0.2755</v>
      </c>
      <c r="K414" s="2" t="n">
        <v>0</v>
      </c>
      <c r="L414" s="13" t="n">
        <v>0</v>
      </c>
      <c r="M414" s="13" t="n">
        <v>0.035</v>
      </c>
      <c r="N414" s="2" t="n">
        <v>0.2199</v>
      </c>
      <c r="O414" s="2" t="n">
        <v>2024</v>
      </c>
      <c r="P414" s="2" t="n">
        <v>0.33</v>
      </c>
      <c r="Q414" s="13" t="n">
        <v>0.5009</v>
      </c>
    </row>
    <row r="415">
      <c r="A415" s="2" t="inlineStr">
        <is>
          <t>VAU.AX</t>
        </is>
      </c>
      <c r="B415" s="2" t="inlineStr">
        <is>
          <t>Vault Minerals Ltd</t>
        </is>
      </c>
      <c r="C415" s="2" t="inlineStr">
        <is>
          <t>AUD</t>
        </is>
      </c>
      <c r="D415" s="2" t="n">
        <v>2023</v>
      </c>
      <c r="E415" s="12" t="n">
        <v>45289</v>
      </c>
      <c r="F415" s="2" t="n">
        <v>0.205</v>
      </c>
      <c r="G415" s="2" t="n">
        <v>0.38</v>
      </c>
      <c r="H415" s="2" t="n">
        <v>0.125</v>
      </c>
      <c r="I415" s="2" t="n">
        <v>0.31</v>
      </c>
      <c r="J415" s="2" t="n">
        <v>0.2223</v>
      </c>
      <c r="K415" s="2" t="n">
        <v>0</v>
      </c>
      <c r="L415" s="13" t="n">
        <v>0</v>
      </c>
      <c r="M415" s="13" t="n">
        <v>0.037</v>
      </c>
      <c r="N415" s="2" t="n">
        <v>0.3338</v>
      </c>
      <c r="O415" s="2" t="n">
        <v>2025</v>
      </c>
      <c r="P415" s="2" t="n">
        <v>5.46</v>
      </c>
      <c r="Q415" s="13" t="n">
        <v>1.5164</v>
      </c>
    </row>
    <row r="416">
      <c r="A416" s="2" t="inlineStr">
        <is>
          <t>VAU.AX</t>
        </is>
      </c>
      <c r="B416" s="2" t="inlineStr">
        <is>
          <t>Vault Minerals Ltd</t>
        </is>
      </c>
      <c r="C416" s="2" t="inlineStr">
        <is>
          <t>AUD</t>
        </is>
      </c>
      <c r="D416" s="2" t="n">
        <v>2024</v>
      </c>
      <c r="E416" s="12" t="n">
        <v>45657</v>
      </c>
      <c r="F416" s="2" t="n">
        <v>0.31</v>
      </c>
      <c r="G416" s="2" t="n">
        <v>0.495</v>
      </c>
      <c r="H416" s="2" t="n">
        <v>0.27</v>
      </c>
      <c r="I416" s="2" t="n">
        <v>0.33</v>
      </c>
      <c r="J416" s="2" t="n">
        <v>0.365</v>
      </c>
      <c r="K416" s="2" t="n">
        <v>0</v>
      </c>
      <c r="L416" s="13" t="n">
        <v>0</v>
      </c>
      <c r="M416" s="13" t="n">
        <v>0.0385</v>
      </c>
      <c r="N416" s="2" t="n">
        <v>0.3564</v>
      </c>
      <c r="O416" s="2" t="n">
        <v>2026</v>
      </c>
      <c r="P416" s="2" t="n">
        <v>6.35</v>
      </c>
      <c r="Q416" s="13" t="n">
        <v>1.741</v>
      </c>
    </row>
    <row r="417">
      <c r="A417" s="2" t="inlineStr">
        <is>
          <t>VAU.AX</t>
        </is>
      </c>
      <c r="B417" s="2" t="inlineStr">
        <is>
          <t>Vault Minerals Ltd</t>
        </is>
      </c>
      <c r="C417" s="2" t="inlineStr">
        <is>
          <t>AUD</t>
        </is>
      </c>
      <c r="D417" s="2" t="n">
        <v>2025</v>
      </c>
      <c r="E417" s="12" t="n">
        <v>46022</v>
      </c>
      <c r="F417" s="2" t="n">
        <v>0.33</v>
      </c>
      <c r="G417" s="2" t="n">
        <v>5.63</v>
      </c>
      <c r="H417" s="2" t="n">
        <v>0.3225</v>
      </c>
      <c r="I417" s="2" t="n">
        <v>5.46</v>
      </c>
      <c r="J417" s="2" t="n">
        <v>1.0295</v>
      </c>
      <c r="K417" s="2" t="n">
        <v>0</v>
      </c>
      <c r="L417" s="13" t="n">
        <v>0</v>
      </c>
      <c r="M417" s="13" t="n">
        <v>0.039</v>
      </c>
      <c r="N417" s="2" t="n">
        <v>5.9029</v>
      </c>
      <c r="O417" s="2" t="n">
        <v>2027</v>
      </c>
      <c r="P417" s="2" t="n"/>
      <c r="Q417" s="13" t="n"/>
    </row>
    <row r="418">
      <c r="A418" s="2" t="inlineStr">
        <is>
          <t>VAU.AX</t>
        </is>
      </c>
      <c r="B418" s="2" t="inlineStr">
        <is>
          <t>Vault Minerals Ltd</t>
        </is>
      </c>
      <c r="C418" s="2" t="inlineStr">
        <is>
          <t>AUD</t>
        </is>
      </c>
      <c r="D418" s="2" t="n">
        <v>2026</v>
      </c>
      <c r="E418" s="12" t="n">
        <v>46290</v>
      </c>
      <c r="F418" s="2" t="n">
        <v>5.44</v>
      </c>
      <c r="G418" s="2" t="n">
        <v>7.165</v>
      </c>
      <c r="H418" s="2" t="n">
        <v>3.585</v>
      </c>
      <c r="I418" s="2" t="n">
        <v>6.35</v>
      </c>
      <c r="J418" s="2" t="n">
        <v>5.2034</v>
      </c>
      <c r="K418" s="2" t="n">
        <v>0.07000000000000001</v>
      </c>
      <c r="L418" s="13" t="n">
        <v>0.011</v>
      </c>
      <c r="M418" s="13" t="n">
        <v>0.039</v>
      </c>
      <c r="N418" s="2" t="n">
        <v>6.7154</v>
      </c>
      <c r="O418" s="2" t="n">
        <v>2028</v>
      </c>
      <c r="P418" s="2" t="n"/>
      <c r="Q418" s="13" t="n"/>
    </row>
    <row r="419">
      <c r="A419" s="2" t="inlineStr">
        <is>
          <t>WAF.AX</t>
        </is>
      </c>
      <c r="B419" s="2" t="inlineStr">
        <is>
          <t>West African Resources Ltd</t>
        </is>
      </c>
      <c r="C419" s="2" t="inlineStr">
        <is>
          <t>AUD</t>
        </is>
      </c>
      <c r="D419" s="2" t="n">
        <v>2017</v>
      </c>
      <c r="E419" s="12" t="n">
        <v>43098</v>
      </c>
      <c r="F419" s="2" t="n">
        <v>0.22</v>
      </c>
      <c r="G419" s="2" t="n">
        <v>0.445</v>
      </c>
      <c r="H419" s="2" t="n">
        <v>0.18</v>
      </c>
      <c r="I419" s="2" t="n">
        <v>0.41</v>
      </c>
      <c r="J419" s="2" t="n">
        <v>0.3187</v>
      </c>
      <c r="K419" s="2" t="n">
        <v>0</v>
      </c>
      <c r="L419" s="13" t="n">
        <v>0</v>
      </c>
      <c r="M419" s="13" t="n">
        <v>0.02</v>
      </c>
      <c r="N419" s="2" t="n">
        <v>0.4267</v>
      </c>
      <c r="O419" s="2" t="n">
        <v>2019</v>
      </c>
      <c r="P419" s="2" t="n">
        <v>0.43</v>
      </c>
      <c r="Q419" s="13" t="n">
        <v>0.0077</v>
      </c>
    </row>
    <row r="420">
      <c r="A420" s="2" t="inlineStr">
        <is>
          <t>WAF.AX</t>
        </is>
      </c>
      <c r="B420" s="2" t="inlineStr">
        <is>
          <t>West African Resources Ltd</t>
        </is>
      </c>
      <c r="C420" s="2" t="inlineStr">
        <is>
          <t>AUD</t>
        </is>
      </c>
      <c r="D420" s="2" t="n">
        <v>2018</v>
      </c>
      <c r="E420" s="12" t="n">
        <v>43465</v>
      </c>
      <c r="F420" s="2" t="n">
        <v>0.41</v>
      </c>
      <c r="G420" s="2" t="n">
        <v>0.475</v>
      </c>
      <c r="H420" s="2" t="n">
        <v>0.23</v>
      </c>
      <c r="I420" s="2" t="n">
        <v>0.25</v>
      </c>
      <c r="J420" s="2" t="n">
        <v>0.3371</v>
      </c>
      <c r="K420" s="2" t="n">
        <v>0</v>
      </c>
      <c r="L420" s="13" t="n">
        <v>0</v>
      </c>
      <c r="M420" s="13" t="n">
        <v>0.019</v>
      </c>
      <c r="N420" s="2" t="n">
        <v>0.2597</v>
      </c>
      <c r="O420" s="2" t="n">
        <v>2020</v>
      </c>
      <c r="P420" s="2" t="n">
        <v>1.045</v>
      </c>
      <c r="Q420" s="13" t="n">
        <v>3.0241</v>
      </c>
    </row>
    <row r="421">
      <c r="A421" s="2" t="inlineStr">
        <is>
          <t>WAF.AX</t>
        </is>
      </c>
      <c r="B421" s="2" t="inlineStr">
        <is>
          <t>West African Resources Ltd</t>
        </is>
      </c>
      <c r="C421" s="2" t="inlineStr">
        <is>
          <t>AUD</t>
        </is>
      </c>
      <c r="D421" s="2" t="n">
        <v>2019</v>
      </c>
      <c r="E421" s="12" t="n">
        <v>43830</v>
      </c>
      <c r="F421" s="2" t="n">
        <v>0.25</v>
      </c>
      <c r="G421" s="2" t="n">
        <v>0.5649999999999999</v>
      </c>
      <c r="H421" s="2" t="n">
        <v>0.212</v>
      </c>
      <c r="I421" s="2" t="n">
        <v>0.43</v>
      </c>
      <c r="J421" s="2" t="n">
        <v>0.3579</v>
      </c>
      <c r="K421" s="2" t="n">
        <v>0</v>
      </c>
      <c r="L421" s="13" t="n">
        <v>0</v>
      </c>
      <c r="M421" s="13" t="n">
        <v>0.008999999999999999</v>
      </c>
      <c r="N421" s="2" t="n">
        <v>0.4378</v>
      </c>
      <c r="O421" s="2" t="n">
        <v>2021</v>
      </c>
      <c r="P421" s="2" t="n">
        <v>1.32</v>
      </c>
      <c r="Q421" s="13" t="n">
        <v>2.015</v>
      </c>
    </row>
    <row r="422">
      <c r="A422" s="2" t="inlineStr">
        <is>
          <t>WAF.AX</t>
        </is>
      </c>
      <c r="B422" s="2" t="inlineStr">
        <is>
          <t>West African Resources Ltd</t>
        </is>
      </c>
      <c r="C422" s="2" t="inlineStr">
        <is>
          <t>AUD</t>
        </is>
      </c>
      <c r="D422" s="2" t="n">
        <v>2020</v>
      </c>
      <c r="E422" s="12" t="n">
        <v>44196</v>
      </c>
      <c r="F422" s="2" t="n">
        <v>0.44</v>
      </c>
      <c r="G422" s="2" t="n">
        <v>1.23</v>
      </c>
      <c r="H422" s="2" t="n">
        <v>0.365</v>
      </c>
      <c r="I422" s="2" t="n">
        <v>1.045</v>
      </c>
      <c r="J422" s="2" t="n">
        <v>0.8185</v>
      </c>
      <c r="K422" s="2" t="n">
        <v>0</v>
      </c>
      <c r="L422" s="13" t="n">
        <v>0</v>
      </c>
      <c r="M422" s="13" t="n">
        <v>0.001</v>
      </c>
      <c r="N422" s="2" t="n">
        <v>1.0471</v>
      </c>
      <c r="O422" s="2" t="n">
        <v>2022</v>
      </c>
      <c r="P422" s="2" t="n">
        <v>1.175</v>
      </c>
      <c r="Q422" s="13" t="n">
        <v>0.1222</v>
      </c>
    </row>
    <row r="423">
      <c r="A423" s="2" t="inlineStr">
        <is>
          <t>WAF.AX</t>
        </is>
      </c>
      <c r="B423" s="2" t="inlineStr">
        <is>
          <t>West African Resources Ltd</t>
        </is>
      </c>
      <c r="C423" s="2" t="inlineStr">
        <is>
          <t>AUD</t>
        </is>
      </c>
      <c r="D423" s="2" t="n">
        <v>2021</v>
      </c>
      <c r="E423" s="12" t="n">
        <v>44561</v>
      </c>
      <c r="F423" s="2" t="n">
        <v>1.045</v>
      </c>
      <c r="G423" s="2" t="n">
        <v>1.465</v>
      </c>
      <c r="H423" s="2" t="n">
        <v>0.72</v>
      </c>
      <c r="I423" s="2" t="n">
        <v>1.32</v>
      </c>
      <c r="J423" s="2" t="n">
        <v>1.062</v>
      </c>
      <c r="K423" s="2" t="n">
        <v>0</v>
      </c>
      <c r="L423" s="13" t="n">
        <v>0</v>
      </c>
      <c r="M423" s="13" t="n">
        <v>0.006</v>
      </c>
      <c r="N423" s="2" t="n">
        <v>1.3359</v>
      </c>
      <c r="O423" s="2" t="n">
        <v>2023</v>
      </c>
      <c r="P423" s="2" t="n">
        <v>0.945</v>
      </c>
      <c r="Q423" s="13" t="n">
        <v>-0.2926</v>
      </c>
    </row>
    <row r="424">
      <c r="A424" s="2" t="inlineStr">
        <is>
          <t>WAF.AX</t>
        </is>
      </c>
      <c r="B424" s="2" t="inlineStr">
        <is>
          <t>West African Resources Ltd</t>
        </is>
      </c>
      <c r="C424" s="2" t="inlineStr">
        <is>
          <t>AUD</t>
        </is>
      </c>
      <c r="D424" s="2" t="n">
        <v>2022</v>
      </c>
      <c r="E424" s="12" t="n">
        <v>44925</v>
      </c>
      <c r="F424" s="2" t="n">
        <v>1.315</v>
      </c>
      <c r="G424" s="2" t="n">
        <v>1.435</v>
      </c>
      <c r="H424" s="2" t="n">
        <v>0.9399999999999999</v>
      </c>
      <c r="I424" s="2" t="n">
        <v>1.175</v>
      </c>
      <c r="J424" s="2" t="n">
        <v>1.2101</v>
      </c>
      <c r="K424" s="2" t="n">
        <v>0</v>
      </c>
      <c r="L424" s="13" t="n">
        <v>0</v>
      </c>
      <c r="M424" s="13" t="n">
        <v>0.035</v>
      </c>
      <c r="N424" s="2" t="n">
        <v>1.2602</v>
      </c>
      <c r="O424" s="2" t="n">
        <v>2024</v>
      </c>
      <c r="P424" s="2" t="n">
        <v>1.435</v>
      </c>
      <c r="Q424" s="13" t="n">
        <v>0.1387</v>
      </c>
    </row>
    <row r="425">
      <c r="A425" s="2" t="inlineStr">
        <is>
          <t>WAF.AX</t>
        </is>
      </c>
      <c r="B425" s="2" t="inlineStr">
        <is>
          <t>West African Resources Ltd</t>
        </is>
      </c>
      <c r="C425" s="2" t="inlineStr">
        <is>
          <t>AUD</t>
        </is>
      </c>
      <c r="D425" s="2" t="n">
        <v>2023</v>
      </c>
      <c r="E425" s="12" t="n">
        <v>45289</v>
      </c>
      <c r="F425" s="2" t="n">
        <v>1.18</v>
      </c>
      <c r="G425" s="2" t="n">
        <v>1.325</v>
      </c>
      <c r="H425" s="2" t="n">
        <v>0.6575</v>
      </c>
      <c r="I425" s="2" t="n">
        <v>0.945</v>
      </c>
      <c r="J425" s="2" t="n">
        <v>0.911</v>
      </c>
      <c r="K425" s="2" t="n">
        <v>0</v>
      </c>
      <c r="L425" s="13" t="n">
        <v>0</v>
      </c>
      <c r="M425" s="13" t="n">
        <v>0.037</v>
      </c>
      <c r="N425" s="2" t="n">
        <v>1.0176</v>
      </c>
      <c r="O425" s="2" t="n">
        <v>2025</v>
      </c>
      <c r="P425" s="2" t="n">
        <v>3</v>
      </c>
      <c r="Q425" s="13" t="n">
        <v>1.9482</v>
      </c>
    </row>
    <row r="426">
      <c r="A426" s="2" t="inlineStr">
        <is>
          <t>WAF.AX</t>
        </is>
      </c>
      <c r="B426" s="2" t="inlineStr">
        <is>
          <t>West African Resources Ltd</t>
        </is>
      </c>
      <c r="C426" s="2" t="inlineStr">
        <is>
          <t>AUD</t>
        </is>
      </c>
      <c r="D426" s="2" t="n">
        <v>2024</v>
      </c>
      <c r="E426" s="12" t="n">
        <v>45657</v>
      </c>
      <c r="F426" s="2" t="n">
        <v>0.955</v>
      </c>
      <c r="G426" s="2" t="n">
        <v>1.87</v>
      </c>
      <c r="H426" s="2" t="n">
        <v>0.795</v>
      </c>
      <c r="I426" s="2" t="n">
        <v>1.435</v>
      </c>
      <c r="J426" s="2" t="n">
        <v>1.3593</v>
      </c>
      <c r="K426" s="2" t="n">
        <v>0</v>
      </c>
      <c r="L426" s="13" t="n">
        <v>0</v>
      </c>
      <c r="M426" s="13" t="n">
        <v>0.0385</v>
      </c>
      <c r="N426" s="2" t="n">
        <v>1.5499</v>
      </c>
      <c r="O426" s="2" t="n">
        <v>2026</v>
      </c>
      <c r="P426" s="2" t="n">
        <v>3.52</v>
      </c>
      <c r="Q426" s="13" t="n">
        <v>1.2712</v>
      </c>
    </row>
    <row r="427">
      <c r="A427" s="2" t="inlineStr">
        <is>
          <t>WAF.AX</t>
        </is>
      </c>
      <c r="B427" s="2" t="inlineStr">
        <is>
          <t>West African Resources Ltd</t>
        </is>
      </c>
      <c r="C427" s="2" t="inlineStr">
        <is>
          <t>AUD</t>
        </is>
      </c>
      <c r="D427" s="2" t="n">
        <v>2025</v>
      </c>
      <c r="E427" s="12" t="n">
        <v>46022</v>
      </c>
      <c r="F427" s="2" t="n">
        <v>1.43</v>
      </c>
      <c r="G427" s="2" t="n">
        <v>3.2</v>
      </c>
      <c r="H427" s="2" t="n">
        <v>1.43</v>
      </c>
      <c r="I427" s="2" t="n">
        <v>3</v>
      </c>
      <c r="J427" s="2" t="n">
        <v>2.4787</v>
      </c>
      <c r="K427" s="2" t="n">
        <v>0</v>
      </c>
      <c r="L427" s="13" t="n">
        <v>0</v>
      </c>
      <c r="M427" s="13" t="n">
        <v>0.039</v>
      </c>
      <c r="N427" s="2" t="n">
        <v>3.2434</v>
      </c>
      <c r="O427" s="2" t="n">
        <v>2027</v>
      </c>
      <c r="P427" s="2" t="n"/>
      <c r="Q427" s="13" t="n"/>
    </row>
    <row r="428">
      <c r="A428" s="2" t="inlineStr">
        <is>
          <t>WAF.AX</t>
        </is>
      </c>
      <c r="B428" s="2" t="inlineStr">
        <is>
          <t>West African Resources Ltd</t>
        </is>
      </c>
      <c r="C428" s="2" t="inlineStr">
        <is>
          <t>AUD</t>
        </is>
      </c>
      <c r="D428" s="2" t="n">
        <v>2026</v>
      </c>
      <c r="E428" s="12" t="n">
        <v>46290</v>
      </c>
      <c r="F428" s="2" t="n">
        <v>2.97</v>
      </c>
      <c r="G428" s="2" t="n">
        <v>4.06</v>
      </c>
      <c r="H428" s="2" t="n">
        <v>2.63</v>
      </c>
      <c r="I428" s="2" t="n">
        <v>3.52</v>
      </c>
      <c r="J428" s="2" t="n">
        <v>3.2766</v>
      </c>
      <c r="K428" s="2" t="n">
        <v>0.2</v>
      </c>
      <c r="L428" s="13" t="n">
        <v>0.0568</v>
      </c>
      <c r="M428" s="13" t="n">
        <v>0.039</v>
      </c>
      <c r="N428" s="2" t="n">
        <v>3.3968</v>
      </c>
      <c r="O428" s="2" t="n">
        <v>2028</v>
      </c>
      <c r="P428" s="2" t="n"/>
      <c r="Q428" s="13" t="n"/>
    </row>
    <row r="429">
      <c r="A429" s="2" t="inlineStr">
        <is>
          <t>WDO.TO</t>
        </is>
      </c>
      <c r="B429" s="2" t="inlineStr">
        <is>
          <t>Wesdome Gold Mines Ltd</t>
        </is>
      </c>
      <c r="C429" s="2" t="inlineStr">
        <is>
          <t>CAD</t>
        </is>
      </c>
      <c r="D429" s="2" t="n">
        <v>2017</v>
      </c>
      <c r="E429" s="12" t="n">
        <v>43098</v>
      </c>
      <c r="F429" s="2" t="n">
        <v>2.15</v>
      </c>
      <c r="G429" s="2" t="n">
        <v>4.4</v>
      </c>
      <c r="H429" s="2" t="n">
        <v>1.64</v>
      </c>
      <c r="I429" s="2" t="n">
        <v>2.11</v>
      </c>
      <c r="J429" s="2" t="n">
        <v>2.7228</v>
      </c>
      <c r="K429" s="2" t="n">
        <v>0</v>
      </c>
      <c r="L429" s="13" t="n">
        <v>0</v>
      </c>
      <c r="M429" s="13" t="n">
        <v>0.0169</v>
      </c>
      <c r="N429" s="2" t="n">
        <v>2.1825</v>
      </c>
      <c r="O429" s="2" t="n">
        <v>2019</v>
      </c>
      <c r="P429" s="2" t="n">
        <v>10.17</v>
      </c>
      <c r="Q429" s="13" t="n">
        <v>3.6597</v>
      </c>
    </row>
    <row r="430">
      <c r="A430" s="2" t="inlineStr">
        <is>
          <t>WDO.TO</t>
        </is>
      </c>
      <c r="B430" s="2" t="inlineStr">
        <is>
          <t>Wesdome Gold Mines Ltd</t>
        </is>
      </c>
      <c r="C430" s="2" t="inlineStr">
        <is>
          <t>CAD</t>
        </is>
      </c>
      <c r="D430" s="2" t="n">
        <v>2018</v>
      </c>
      <c r="E430" s="12" t="n">
        <v>43465</v>
      </c>
      <c r="F430" s="2" t="n">
        <v>2.11</v>
      </c>
      <c r="G430" s="2" t="n">
        <v>4.46</v>
      </c>
      <c r="H430" s="2" t="n">
        <v>1.71</v>
      </c>
      <c r="I430" s="2" t="n">
        <v>4.43</v>
      </c>
      <c r="J430" s="2" t="n">
        <v>2.8406</v>
      </c>
      <c r="K430" s="2" t="n">
        <v>0</v>
      </c>
      <c r="L430" s="13" t="n">
        <v>0</v>
      </c>
      <c r="M430" s="13" t="n">
        <v>0.0186</v>
      </c>
      <c r="N430" s="2" t="n">
        <v>4.5979</v>
      </c>
      <c r="O430" s="2" t="n">
        <v>2020</v>
      </c>
      <c r="P430" s="2" t="n">
        <v>10.62</v>
      </c>
      <c r="Q430" s="13" t="n">
        <v>1.3098</v>
      </c>
    </row>
    <row r="431">
      <c r="A431" s="2" t="inlineStr">
        <is>
          <t>WDO.TO</t>
        </is>
      </c>
      <c r="B431" s="2" t="inlineStr">
        <is>
          <t>Wesdome Gold Mines Ltd</t>
        </is>
      </c>
      <c r="C431" s="2" t="inlineStr">
        <is>
          <t>CAD</t>
        </is>
      </c>
      <c r="D431" s="2" t="n">
        <v>2019</v>
      </c>
      <c r="E431" s="12" t="n">
        <v>43830</v>
      </c>
      <c r="F431" s="2" t="n">
        <v>4.43</v>
      </c>
      <c r="G431" s="2" t="n">
        <v>10.37</v>
      </c>
      <c r="H431" s="2" t="n">
        <v>3.96</v>
      </c>
      <c r="I431" s="2" t="n">
        <v>10.17</v>
      </c>
      <c r="J431" s="2" t="n">
        <v>5.9869</v>
      </c>
      <c r="K431" s="2" t="n">
        <v>0</v>
      </c>
      <c r="L431" s="13" t="n">
        <v>0</v>
      </c>
      <c r="M431" s="13" t="n">
        <v>0.017</v>
      </c>
      <c r="N431" s="2" t="n">
        <v>10.5217</v>
      </c>
      <c r="O431" s="2" t="n">
        <v>2021</v>
      </c>
      <c r="P431" s="2" t="n">
        <v>11.51</v>
      </c>
      <c r="Q431" s="13" t="n">
        <v>0.0939</v>
      </c>
    </row>
    <row r="432">
      <c r="A432" s="2" t="inlineStr">
        <is>
          <t>WDO.TO</t>
        </is>
      </c>
      <c r="B432" s="2" t="inlineStr">
        <is>
          <t>Wesdome Gold Mines Ltd</t>
        </is>
      </c>
      <c r="C432" s="2" t="inlineStr">
        <is>
          <t>CAD</t>
        </is>
      </c>
      <c r="D432" s="2" t="n">
        <v>2020</v>
      </c>
      <c r="E432" s="12" t="n">
        <v>44196</v>
      </c>
      <c r="F432" s="2" t="n">
        <v>10.23</v>
      </c>
      <c r="G432" s="2" t="n">
        <v>15</v>
      </c>
      <c r="H432" s="2" t="n">
        <v>5.85</v>
      </c>
      <c r="I432" s="2" t="n">
        <v>10.62</v>
      </c>
      <c r="J432" s="2" t="n">
        <v>11.2262</v>
      </c>
      <c r="K432" s="2" t="n">
        <v>0</v>
      </c>
      <c r="L432" s="13" t="n">
        <v>0</v>
      </c>
      <c r="M432" s="13" t="n">
        <v>0.002</v>
      </c>
      <c r="N432" s="2" t="n">
        <v>10.6626</v>
      </c>
      <c r="O432" s="2" t="n">
        <v>2022</v>
      </c>
      <c r="P432" s="2" t="n">
        <v>7.48</v>
      </c>
      <c r="Q432" s="13" t="n">
        <v>-0.2985</v>
      </c>
    </row>
    <row r="433">
      <c r="A433" s="2" t="inlineStr">
        <is>
          <t>WDO.TO</t>
        </is>
      </c>
      <c r="B433" s="2" t="inlineStr">
        <is>
          <t>Wesdome Gold Mines Ltd</t>
        </is>
      </c>
      <c r="C433" s="2" t="inlineStr">
        <is>
          <t>CAD</t>
        </is>
      </c>
      <c r="D433" s="2" t="n">
        <v>2021</v>
      </c>
      <c r="E433" s="12" t="n">
        <v>44561</v>
      </c>
      <c r="F433" s="2" t="n">
        <v>10.88</v>
      </c>
      <c r="G433" s="2" t="n">
        <v>13.52</v>
      </c>
      <c r="H433" s="2" t="n">
        <v>7.78</v>
      </c>
      <c r="I433" s="2" t="n">
        <v>11.51</v>
      </c>
      <c r="J433" s="2" t="n">
        <v>10.7878</v>
      </c>
      <c r="K433" s="2" t="n">
        <v>0</v>
      </c>
      <c r="L433" s="13" t="n">
        <v>0</v>
      </c>
      <c r="M433" s="13" t="n">
        <v>0.0095</v>
      </c>
      <c r="N433" s="2" t="n">
        <v>11.7308</v>
      </c>
      <c r="O433" s="2" t="n">
        <v>2023</v>
      </c>
      <c r="P433" s="2" t="n">
        <v>7.71</v>
      </c>
      <c r="Q433" s="13" t="n">
        <v>-0.3428</v>
      </c>
    </row>
    <row r="434">
      <c r="A434" s="2" t="inlineStr">
        <is>
          <t>WDO.TO</t>
        </is>
      </c>
      <c r="B434" s="2" t="inlineStr">
        <is>
          <t>Wesdome Gold Mines Ltd</t>
        </is>
      </c>
      <c r="C434" s="2" t="inlineStr">
        <is>
          <t>CAD</t>
        </is>
      </c>
      <c r="D434" s="2" t="n">
        <v>2022</v>
      </c>
      <c r="E434" s="12" t="n">
        <v>44925</v>
      </c>
      <c r="F434" s="2" t="n">
        <v>11.48</v>
      </c>
      <c r="G434" s="2" t="n">
        <v>16.77</v>
      </c>
      <c r="H434" s="2" t="n">
        <v>7.09</v>
      </c>
      <c r="I434" s="2" t="n">
        <v>7.48</v>
      </c>
      <c r="J434" s="2" t="n">
        <v>11.0628</v>
      </c>
      <c r="K434" s="2" t="n">
        <v>0</v>
      </c>
      <c r="L434" s="13" t="n">
        <v>0</v>
      </c>
      <c r="M434" s="13" t="n">
        <v>0.0405</v>
      </c>
      <c r="N434" s="2" t="n">
        <v>8.1111</v>
      </c>
      <c r="O434" s="2" t="n">
        <v>2024</v>
      </c>
      <c r="P434" s="2" t="n">
        <v>12.91</v>
      </c>
      <c r="Q434" s="13" t="n">
        <v>0.5916</v>
      </c>
    </row>
    <row r="435">
      <c r="A435" s="2" t="inlineStr">
        <is>
          <t>WDO.TO</t>
        </is>
      </c>
      <c r="B435" s="2" t="inlineStr">
        <is>
          <t>Wesdome Gold Mines Ltd</t>
        </is>
      </c>
      <c r="C435" s="2" t="inlineStr">
        <is>
          <t>CAD</t>
        </is>
      </c>
      <c r="D435" s="2" t="n">
        <v>2023</v>
      </c>
      <c r="E435" s="12" t="n">
        <v>45289</v>
      </c>
      <c r="F435" s="2" t="n">
        <v>7.63</v>
      </c>
      <c r="G435" s="2" t="n">
        <v>9.460000000000001</v>
      </c>
      <c r="H435" s="2" t="n">
        <v>6</v>
      </c>
      <c r="I435" s="2" t="n">
        <v>7.71</v>
      </c>
      <c r="J435" s="2" t="n">
        <v>7.4838</v>
      </c>
      <c r="K435" s="2" t="n">
        <v>0</v>
      </c>
      <c r="L435" s="13" t="n">
        <v>0</v>
      </c>
      <c r="M435" s="13" t="n">
        <v>0.0388</v>
      </c>
      <c r="N435" s="2" t="n">
        <v>8.332100000000001</v>
      </c>
      <c r="O435" s="2" t="n">
        <v>2025</v>
      </c>
      <c r="P435" s="2" t="n">
        <v>22.74</v>
      </c>
      <c r="Q435" s="13" t="n">
        <v>1.7292</v>
      </c>
    </row>
    <row r="436">
      <c r="A436" s="2" t="inlineStr">
        <is>
          <t>WDO.TO</t>
        </is>
      </c>
      <c r="B436" s="2" t="inlineStr">
        <is>
          <t>Wesdome Gold Mines Ltd</t>
        </is>
      </c>
      <c r="C436" s="2" t="inlineStr">
        <is>
          <t>CAD</t>
        </is>
      </c>
      <c r="D436" s="2" t="n">
        <v>2024</v>
      </c>
      <c r="E436" s="12" t="n">
        <v>45657</v>
      </c>
      <c r="F436" s="2" t="n">
        <v>7.8</v>
      </c>
      <c r="G436" s="2" t="n">
        <v>14.99</v>
      </c>
      <c r="H436" s="2" t="n">
        <v>7.03</v>
      </c>
      <c r="I436" s="2" t="n">
        <v>12.91</v>
      </c>
      <c r="J436" s="2" t="n">
        <v>11.3189</v>
      </c>
      <c r="K436" s="2" t="n">
        <v>0</v>
      </c>
      <c r="L436" s="13" t="n">
        <v>0</v>
      </c>
      <c r="M436" s="13" t="n">
        <v>0.0293</v>
      </c>
      <c r="N436" s="2" t="n">
        <v>13.6891</v>
      </c>
      <c r="O436" s="2" t="n">
        <v>2026</v>
      </c>
      <c r="P436" s="2" t="n">
        <v>36.61</v>
      </c>
      <c r="Q436" s="13" t="n">
        <v>1.6744</v>
      </c>
    </row>
    <row r="437">
      <c r="A437" s="2" t="inlineStr">
        <is>
          <t>WDO.TO</t>
        </is>
      </c>
      <c r="B437" s="2" t="inlineStr">
        <is>
          <t>Wesdome Gold Mines Ltd</t>
        </is>
      </c>
      <c r="C437" s="2" t="inlineStr">
        <is>
          <t>CAD</t>
        </is>
      </c>
      <c r="D437" s="2" t="n">
        <v>2025</v>
      </c>
      <c r="E437" s="12" t="n">
        <v>46022</v>
      </c>
      <c r="F437" s="2" t="n">
        <v>13.13</v>
      </c>
      <c r="G437" s="2" t="n">
        <v>24.8</v>
      </c>
      <c r="H437" s="2" t="n">
        <v>12.73</v>
      </c>
      <c r="I437" s="2" t="n">
        <v>22.74</v>
      </c>
      <c r="J437" s="2" t="n">
        <v>18.1878</v>
      </c>
      <c r="K437" s="2" t="n">
        <v>0</v>
      </c>
      <c r="L437" s="13" t="n">
        <v>0</v>
      </c>
      <c r="M437" s="13" t="n">
        <v>0.026</v>
      </c>
      <c r="N437" s="2" t="n">
        <v>23.9538</v>
      </c>
      <c r="O437" s="2" t="n">
        <v>2027</v>
      </c>
      <c r="P437" s="2" t="n"/>
      <c r="Q437" s="13" t="n"/>
    </row>
    <row r="438">
      <c r="A438" s="2" t="inlineStr">
        <is>
          <t>WDO.TO</t>
        </is>
      </c>
      <c r="B438" s="2" t="inlineStr">
        <is>
          <t>Wesdome Gold Mines Ltd</t>
        </is>
      </c>
      <c r="C438" s="2" t="inlineStr">
        <is>
          <t>CAD</t>
        </is>
      </c>
      <c r="D438" s="2" t="n">
        <v>2026</v>
      </c>
      <c r="E438" s="12" t="n">
        <v>46290</v>
      </c>
      <c r="F438" s="2" t="n">
        <v>22.98</v>
      </c>
      <c r="G438" s="2" t="n">
        <v>37.22</v>
      </c>
      <c r="H438" s="2" t="n">
        <v>20.49</v>
      </c>
      <c r="I438" s="2" t="n">
        <v>36.61</v>
      </c>
      <c r="J438" s="2" t="n">
        <v>27.2008</v>
      </c>
      <c r="K438" s="2" t="n">
        <v>0.031</v>
      </c>
      <c r="L438" s="13" t="n">
        <v>0.0008</v>
      </c>
      <c r="M438" s="13" t="n">
        <v>0.026</v>
      </c>
      <c r="N438" s="2" t="n">
        <v>38.4988</v>
      </c>
      <c r="O438" s="2" t="n">
        <v>2028</v>
      </c>
      <c r="P438" s="2" t="n"/>
      <c r="Q438" s="13" t="n"/>
    </row>
    <row r="439">
      <c r="A439" s="2" t="inlineStr">
        <is>
          <t>WGX.AX</t>
        </is>
      </c>
      <c r="B439" s="2" t="inlineStr">
        <is>
          <t>Westgold Resources Ltd</t>
        </is>
      </c>
      <c r="C439" s="2" t="inlineStr">
        <is>
          <t>AUD</t>
        </is>
      </c>
      <c r="D439" s="2" t="n">
        <v>2017</v>
      </c>
      <c r="E439" s="12" t="n">
        <v>43098</v>
      </c>
      <c r="F439" s="2" t="n">
        <v>1.645</v>
      </c>
      <c r="G439" s="2" t="n">
        <v>2.71</v>
      </c>
      <c r="H439" s="2" t="n">
        <v>1.45</v>
      </c>
      <c r="I439" s="2" t="n">
        <v>1.77</v>
      </c>
      <c r="J439" s="2" t="n">
        <v>1.9393</v>
      </c>
      <c r="K439" s="2" t="n">
        <v>0</v>
      </c>
      <c r="L439" s="13" t="n">
        <v>0</v>
      </c>
      <c r="M439" s="13" t="n">
        <v>0.02</v>
      </c>
      <c r="N439" s="2" t="n">
        <v>1.8422</v>
      </c>
      <c r="O439" s="2" t="n">
        <v>2019</v>
      </c>
      <c r="P439" s="2" t="n">
        <v>2.29</v>
      </c>
      <c r="Q439" s="13" t="n">
        <v>0.2431</v>
      </c>
    </row>
    <row r="440">
      <c r="A440" s="2" t="inlineStr">
        <is>
          <t>WGX.AX</t>
        </is>
      </c>
      <c r="B440" s="2" t="inlineStr">
        <is>
          <t>Westgold Resources Ltd</t>
        </is>
      </c>
      <c r="C440" s="2" t="inlineStr">
        <is>
          <t>AUD</t>
        </is>
      </c>
      <c r="D440" s="2" t="n">
        <v>2018</v>
      </c>
      <c r="E440" s="12" t="n">
        <v>43465</v>
      </c>
      <c r="F440" s="2" t="n">
        <v>1.74</v>
      </c>
      <c r="G440" s="2" t="n">
        <v>1.855</v>
      </c>
      <c r="H440" s="2" t="n">
        <v>0.8</v>
      </c>
      <c r="I440" s="2" t="n">
        <v>0.88</v>
      </c>
      <c r="J440" s="2" t="n">
        <v>1.4318</v>
      </c>
      <c r="K440" s="2" t="n">
        <v>0</v>
      </c>
      <c r="L440" s="13" t="n">
        <v>0</v>
      </c>
      <c r="M440" s="13" t="n">
        <v>0.019</v>
      </c>
      <c r="N440" s="2" t="n">
        <v>0.9141</v>
      </c>
      <c r="O440" s="2" t="n">
        <v>2020</v>
      </c>
      <c r="P440" s="2" t="n">
        <v>2.64</v>
      </c>
      <c r="Q440" s="13" t="n">
        <v>1.8881</v>
      </c>
    </row>
    <row r="441">
      <c r="A441" s="2" t="inlineStr">
        <is>
          <t>WGX.AX</t>
        </is>
      </c>
      <c r="B441" s="2" t="inlineStr">
        <is>
          <t>Westgold Resources Ltd</t>
        </is>
      </c>
      <c r="C441" s="2" t="inlineStr">
        <is>
          <t>AUD</t>
        </is>
      </c>
      <c r="D441" s="2" t="n">
        <v>2019</v>
      </c>
      <c r="E441" s="12" t="n">
        <v>43830</v>
      </c>
      <c r="F441" s="2" t="n">
        <v>0.89</v>
      </c>
      <c r="G441" s="2" t="n">
        <v>2.57</v>
      </c>
      <c r="H441" s="2" t="n">
        <v>0.87</v>
      </c>
      <c r="I441" s="2" t="n">
        <v>2.29</v>
      </c>
      <c r="J441" s="2" t="n">
        <v>1.733</v>
      </c>
      <c r="K441" s="2" t="n">
        <v>0</v>
      </c>
      <c r="L441" s="13" t="n">
        <v>0</v>
      </c>
      <c r="M441" s="13" t="n">
        <v>0.008999999999999999</v>
      </c>
      <c r="N441" s="2" t="n">
        <v>2.3316</v>
      </c>
      <c r="O441" s="2" t="n">
        <v>2021</v>
      </c>
      <c r="P441" s="2" t="n">
        <v>2.04</v>
      </c>
      <c r="Q441" s="13" t="n">
        <v>-0.1251</v>
      </c>
    </row>
    <row r="442">
      <c r="A442" s="2" t="inlineStr">
        <is>
          <t>WGX.AX</t>
        </is>
      </c>
      <c r="B442" s="2" t="inlineStr">
        <is>
          <t>Westgold Resources Ltd</t>
        </is>
      </c>
      <c r="C442" s="2" t="inlineStr">
        <is>
          <t>AUD</t>
        </is>
      </c>
      <c r="D442" s="2" t="n">
        <v>2020</v>
      </c>
      <c r="E442" s="12" t="n">
        <v>44196</v>
      </c>
      <c r="F442" s="2" t="n">
        <v>2.29</v>
      </c>
      <c r="G442" s="2" t="n">
        <v>2.98</v>
      </c>
      <c r="H442" s="2" t="n">
        <v>1.205</v>
      </c>
      <c r="I442" s="2" t="n">
        <v>2.64</v>
      </c>
      <c r="J442" s="2" t="n">
        <v>2.2793</v>
      </c>
      <c r="K442" s="2" t="n">
        <v>0</v>
      </c>
      <c r="L442" s="13" t="n">
        <v>0</v>
      </c>
      <c r="M442" s="13" t="n">
        <v>0.001</v>
      </c>
      <c r="N442" s="2" t="n">
        <v>2.6453</v>
      </c>
      <c r="O442" s="2" t="n">
        <v>2022</v>
      </c>
      <c r="P442" s="2" t="n">
        <v>0.875</v>
      </c>
      <c r="Q442" s="13" t="n">
        <v>-0.6692</v>
      </c>
    </row>
    <row r="443">
      <c r="A443" s="2" t="inlineStr">
        <is>
          <t>WGX.AX</t>
        </is>
      </c>
      <c r="B443" s="2" t="inlineStr">
        <is>
          <t>Westgold Resources Ltd</t>
        </is>
      </c>
      <c r="C443" s="2" t="inlineStr">
        <is>
          <t>AUD</t>
        </is>
      </c>
      <c r="D443" s="2" t="n">
        <v>2021</v>
      </c>
      <c r="E443" s="12" t="n">
        <v>44561</v>
      </c>
      <c r="F443" s="2" t="n">
        <v>2.65</v>
      </c>
      <c r="G443" s="2" t="n">
        <v>2.805</v>
      </c>
      <c r="H443" s="2" t="n">
        <v>1.575</v>
      </c>
      <c r="I443" s="2" t="n">
        <v>2.04</v>
      </c>
      <c r="J443" s="2" t="n">
        <v>2.019</v>
      </c>
      <c r="K443" s="2" t="n">
        <v>0.02</v>
      </c>
      <c r="L443" s="13" t="n">
        <v>0.0098</v>
      </c>
      <c r="M443" s="13" t="n">
        <v>0.006</v>
      </c>
      <c r="N443" s="2" t="n">
        <v>2.0245</v>
      </c>
      <c r="O443" s="2" t="n">
        <v>2023</v>
      </c>
      <c r="P443" s="2" t="n">
        <v>2.18</v>
      </c>
      <c r="Q443" s="13" t="n">
        <v>0.07679999999999999</v>
      </c>
    </row>
    <row r="444">
      <c r="A444" s="2" t="inlineStr">
        <is>
          <t>WGX.AX</t>
        </is>
      </c>
      <c r="B444" s="2" t="inlineStr">
        <is>
          <t>Westgold Resources Ltd</t>
        </is>
      </c>
      <c r="C444" s="2" t="inlineStr">
        <is>
          <t>AUD</t>
        </is>
      </c>
      <c r="D444" s="2" t="n">
        <v>2022</v>
      </c>
      <c r="E444" s="12" t="n">
        <v>44925</v>
      </c>
      <c r="F444" s="2" t="n">
        <v>2</v>
      </c>
      <c r="G444" s="2" t="n">
        <v>2.5</v>
      </c>
      <c r="H444" s="2" t="n">
        <v>0.695</v>
      </c>
      <c r="I444" s="2" t="n">
        <v>0.875</v>
      </c>
      <c r="J444" s="2" t="n">
        <v>1.3429</v>
      </c>
      <c r="K444" s="2" t="n">
        <v>0</v>
      </c>
      <c r="L444" s="13" t="n">
        <v>0</v>
      </c>
      <c r="M444" s="13" t="n">
        <v>0.035</v>
      </c>
      <c r="N444" s="2" t="n">
        <v>0.9384</v>
      </c>
      <c r="O444" s="2" t="n">
        <v>2024</v>
      </c>
      <c r="P444" s="2" t="n">
        <v>2.83</v>
      </c>
      <c r="Q444" s="13" t="n">
        <v>2.0156</v>
      </c>
    </row>
    <row r="445">
      <c r="A445" s="2" t="inlineStr">
        <is>
          <t>WGX.AX</t>
        </is>
      </c>
      <c r="B445" s="2" t="inlineStr">
        <is>
          <t>Westgold Resources Ltd</t>
        </is>
      </c>
      <c r="C445" s="2" t="inlineStr">
        <is>
          <t>AUD</t>
        </is>
      </c>
      <c r="D445" s="2" t="n">
        <v>2023</v>
      </c>
      <c r="E445" s="12" t="n">
        <v>45289</v>
      </c>
      <c r="F445" s="2" t="n">
        <v>0.885</v>
      </c>
      <c r="G445" s="2" t="n">
        <v>2.26</v>
      </c>
      <c r="H445" s="2" t="n">
        <v>0.855</v>
      </c>
      <c r="I445" s="2" t="n">
        <v>2.18</v>
      </c>
      <c r="J445" s="2" t="n">
        <v>1.5614</v>
      </c>
      <c r="K445" s="2" t="n">
        <v>0</v>
      </c>
      <c r="L445" s="13" t="n">
        <v>0</v>
      </c>
      <c r="M445" s="13" t="n">
        <v>0.037</v>
      </c>
      <c r="N445" s="2" t="n">
        <v>2.3474</v>
      </c>
      <c r="O445" s="2" t="n">
        <v>2025</v>
      </c>
      <c r="P445" s="2" t="n">
        <v>6.44</v>
      </c>
      <c r="Q445" s="13" t="n">
        <v>1.7434</v>
      </c>
    </row>
    <row r="446">
      <c r="A446" s="2" t="inlineStr">
        <is>
          <t>WGX.AX</t>
        </is>
      </c>
      <c r="B446" s="2" t="inlineStr">
        <is>
          <t>Westgold Resources Ltd</t>
        </is>
      </c>
      <c r="C446" s="2" t="inlineStr">
        <is>
          <t>AUD</t>
        </is>
      </c>
      <c r="D446" s="2" t="n">
        <v>2024</v>
      </c>
      <c r="E446" s="12" t="n">
        <v>45657</v>
      </c>
      <c r="F446" s="2" t="n">
        <v>2.16</v>
      </c>
      <c r="G446" s="2" t="n">
        <v>3.36</v>
      </c>
      <c r="H446" s="2" t="n">
        <v>1.8</v>
      </c>
      <c r="I446" s="2" t="n">
        <v>2.83</v>
      </c>
      <c r="J446" s="2" t="n">
        <v>2.5183</v>
      </c>
      <c r="K446" s="2" t="n">
        <v>0.0225</v>
      </c>
      <c r="L446" s="13" t="n">
        <v>0.008</v>
      </c>
      <c r="M446" s="13" t="n">
        <v>0.0385</v>
      </c>
      <c r="N446" s="2" t="n">
        <v>3.0083</v>
      </c>
      <c r="O446" s="2" t="n">
        <v>2026</v>
      </c>
      <c r="P446" s="2" t="n">
        <v>5.46</v>
      </c>
      <c r="Q446" s="13" t="n">
        <v>0.8149999999999999</v>
      </c>
    </row>
    <row r="447">
      <c r="A447" s="2" t="inlineStr">
        <is>
          <t>WGX.AX</t>
        </is>
      </c>
      <c r="B447" s="2" t="inlineStr">
        <is>
          <t>Westgold Resources Ltd</t>
        </is>
      </c>
      <c r="C447" s="2" t="inlineStr">
        <is>
          <t>AUD</t>
        </is>
      </c>
      <c r="D447" s="2" t="n">
        <v>2025</v>
      </c>
      <c r="E447" s="12" t="n">
        <v>46022</v>
      </c>
      <c r="F447" s="2" t="n">
        <v>2.84</v>
      </c>
      <c r="G447" s="2" t="n">
        <v>6.67</v>
      </c>
      <c r="H447" s="2" t="n">
        <v>2.21</v>
      </c>
      <c r="I447" s="2" t="n">
        <v>6.44</v>
      </c>
      <c r="J447" s="2" t="n">
        <v>3.6428</v>
      </c>
      <c r="K447" s="2" t="n">
        <v>0.03</v>
      </c>
      <c r="L447" s="13" t="n">
        <v>0.0047</v>
      </c>
      <c r="M447" s="13" t="n">
        <v>0.039</v>
      </c>
      <c r="N447" s="2" t="n">
        <v>6.8979</v>
      </c>
      <c r="O447" s="2" t="n">
        <v>2027</v>
      </c>
      <c r="P447" s="2" t="n"/>
      <c r="Q447" s="13" t="n"/>
    </row>
    <row r="448">
      <c r="A448" s="2" t="inlineStr">
        <is>
          <t>WGX.AX</t>
        </is>
      </c>
      <c r="B448" s="2" t="inlineStr">
        <is>
          <t>Westgold Resources Ltd</t>
        </is>
      </c>
      <c r="C448" s="2" t="inlineStr">
        <is>
          <t>AUD</t>
        </is>
      </c>
      <c r="D448" s="2" t="n">
        <v>2026</v>
      </c>
      <c r="E448" s="12" t="n">
        <v>46290</v>
      </c>
      <c r="F448" s="2" t="n">
        <v>6.3</v>
      </c>
      <c r="G448" s="2" t="n">
        <v>8.16</v>
      </c>
      <c r="H448" s="2" t="n">
        <v>4.24</v>
      </c>
      <c r="I448" s="2" t="n">
        <v>5.46</v>
      </c>
      <c r="J448" s="2" t="n">
        <v>5.9043</v>
      </c>
      <c r="K448" s="2" t="n">
        <v>0.1</v>
      </c>
      <c r="L448" s="13" t="n">
        <v>0.0183</v>
      </c>
      <c r="M448" s="13" t="n">
        <v>0.039</v>
      </c>
      <c r="N448" s="2" t="n">
        <v>5.6906</v>
      </c>
      <c r="O448" s="2" t="n">
        <v>2028</v>
      </c>
      <c r="P448" s="2" t="n"/>
      <c r="Q448" s="13" t="n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55"/>
  <sheetViews>
    <sheetView workbookViewId="0">
      <selection activeCell="A1" sqref="A1"/>
    </sheetView>
  </sheetViews>
  <sheetFormatPr baseColWidth="8" defaultRowHeight="15"/>
  <cols>
    <col width="13" customWidth="1" min="1" max="1"/>
    <col width="32" customWidth="1" min="2" max="2"/>
  </cols>
  <sheetData>
    <row r="1">
      <c r="A1" s="1" t="inlineStr">
        <is>
          <t>ticker</t>
        </is>
      </c>
      <c r="B1" s="1" t="inlineStr">
        <is>
          <t>company</t>
        </is>
      </c>
      <c r="C1" s="1" t="inlineStr">
        <is>
          <t>currency</t>
        </is>
      </c>
      <c r="D1" s="1" t="inlineStr">
        <is>
          <t>current</t>
        </is>
      </c>
      <c r="E1" s="1" t="inlineStr">
        <is>
          <t>mean</t>
        </is>
      </c>
      <c r="F1" s="1" t="inlineStr">
        <is>
          <t>median</t>
        </is>
      </c>
      <c r="G1" s="1" t="inlineStr">
        <is>
          <t>low</t>
        </is>
      </c>
      <c r="H1" s="1" t="inlineStr">
        <is>
          <t>high</t>
        </is>
      </c>
    </row>
    <row r="2">
      <c r="A2" t="inlineStr">
        <is>
          <t>2259.HK</t>
        </is>
      </c>
      <c r="B2" t="inlineStr">
        <is>
          <t>Zijin Gold International Co Ltd</t>
        </is>
      </c>
      <c r="C2" t="inlineStr">
        <is>
          <t>HKD</t>
        </is>
      </c>
      <c r="D2" t="n">
        <v>143.1</v>
      </c>
      <c r="E2" t="n">
        <v>180.0795</v>
      </c>
      <c r="F2" t="n">
        <v>183.5168</v>
      </c>
      <c r="G2" t="n">
        <v>139.2464</v>
      </c>
      <c r="H2" t="n">
        <v>206.0069</v>
      </c>
    </row>
    <row r="3">
      <c r="A3" t="inlineStr">
        <is>
          <t>600988.SS</t>
        </is>
      </c>
      <c r="B3" t="inlineStr">
        <is>
          <t>Chifeng Jilong Gold Mining Co Ltd</t>
        </is>
      </c>
      <c r="C3" t="inlineStr">
        <is>
          <t>CNY</t>
        </is>
      </c>
      <c r="D3" t="n">
        <v>40.28</v>
      </c>
      <c r="E3" t="n">
        <v>50.2867</v>
      </c>
      <c r="F3" t="n">
        <v>51.12</v>
      </c>
      <c r="G3" t="n">
        <v>46</v>
      </c>
      <c r="H3" t="n">
        <v>53.74</v>
      </c>
    </row>
    <row r="4">
      <c r="A4" t="inlineStr">
        <is>
          <t>AAUC.TO</t>
        </is>
      </c>
      <c r="B4" t="inlineStr">
        <is>
          <t>Allied Gold Corp</t>
        </is>
      </c>
      <c r="C4" t="inlineStr">
        <is>
          <t>CAD</t>
        </is>
      </c>
      <c r="D4" t="n">
        <v>31.55</v>
      </c>
      <c r="E4" t="n">
        <v>44.9917</v>
      </c>
      <c r="F4" t="n">
        <v>44.0815</v>
      </c>
      <c r="G4" t="n">
        <v>37.3258</v>
      </c>
      <c r="H4" t="n">
        <v>56.6125</v>
      </c>
    </row>
    <row r="5">
      <c r="A5" t="inlineStr">
        <is>
          <t>AGI.TO</t>
        </is>
      </c>
      <c r="B5" t="inlineStr">
        <is>
          <t>Alamos Gold Inc</t>
        </is>
      </c>
      <c r="C5" t="inlineStr">
        <is>
          <t>CAD</t>
        </is>
      </c>
      <c r="D5" t="n">
        <v>48.83</v>
      </c>
      <c r="E5" t="n">
        <v>68.0444</v>
      </c>
      <c r="F5" t="n">
        <v>65.61579999999999</v>
      </c>
      <c r="G5" t="n">
        <v>53.9434</v>
      </c>
      <c r="H5" t="n">
        <v>81.7128</v>
      </c>
    </row>
    <row r="6">
      <c r="A6" t="inlineStr">
        <is>
          <t>ALK.AX</t>
        </is>
      </c>
      <c r="B6" t="inlineStr">
        <is>
          <t>Alkane Resources Ltd</t>
        </is>
      </c>
      <c r="C6" t="inlineStr">
        <is>
          <t>AUD</t>
        </is>
      </c>
      <c r="D6" t="n">
        <v>1.895</v>
      </c>
      <c r="E6" t="n">
        <v>2.1333</v>
      </c>
      <c r="F6" t="n">
        <v>2.075</v>
      </c>
      <c r="G6" t="n">
        <v>1.5</v>
      </c>
      <c r="H6" t="n">
        <v>3</v>
      </c>
    </row>
    <row r="7">
      <c r="A7" t="inlineStr">
        <is>
          <t>AMRQ.L</t>
        </is>
      </c>
      <c r="B7" t="inlineStr">
        <is>
          <t>Amaroq Minerals Ltd</t>
        </is>
      </c>
      <c r="C7" t="inlineStr">
        <is>
          <t>GBp</t>
        </is>
      </c>
      <c r="D7" t="n">
        <v>119.5</v>
      </c>
      <c r="E7" t="n">
        <v>169.0566</v>
      </c>
      <c r="F7" t="n">
        <v>161.0202</v>
      </c>
      <c r="G7" t="n">
        <v>140.4156</v>
      </c>
      <c r="H7" t="n">
        <v>205.7345</v>
      </c>
    </row>
    <row r="8">
      <c r="A8" t="inlineStr">
        <is>
          <t>AR.TO</t>
        </is>
      </c>
      <c r="B8" t="inlineStr">
        <is>
          <t>Argonaut Gold Inc</t>
        </is>
      </c>
      <c r="C8" t="inlineStr">
        <is>
          <t>CAD</t>
        </is>
      </c>
    </row>
    <row r="9">
      <c r="A9" t="inlineStr">
        <is>
          <t>ASE.V</t>
        </is>
      </c>
      <c r="B9" t="inlineStr">
        <is>
          <t>Asante Gold Corp</t>
        </is>
      </c>
      <c r="C9" t="inlineStr">
        <is>
          <t>CAD</t>
        </is>
      </c>
      <c r="D9" t="n">
        <v>0.86</v>
      </c>
    </row>
    <row r="10">
      <c r="A10" t="inlineStr">
        <is>
          <t>AU</t>
        </is>
      </c>
      <c r="B10" t="inlineStr">
        <is>
          <t>AngloGold Ashanti plc</t>
        </is>
      </c>
      <c r="C10" t="inlineStr">
        <is>
          <t>USD</t>
        </is>
      </c>
      <c r="D10" t="n">
        <v>99.03</v>
      </c>
      <c r="E10" t="n">
        <v>116.875</v>
      </c>
      <c r="F10" t="n">
        <v>118.5</v>
      </c>
      <c r="G10" t="n">
        <v>76</v>
      </c>
      <c r="H10" t="n">
        <v>140</v>
      </c>
    </row>
    <row r="11">
      <c r="A11" t="inlineStr">
        <is>
          <t>AUMB.V</t>
        </is>
      </c>
      <c r="B11" t="inlineStr">
        <is>
          <t>1911 Gold Corp</t>
        </is>
      </c>
      <c r="C11" t="inlineStr">
        <is>
          <t>CAD</t>
        </is>
      </c>
      <c r="D11" t="n">
        <v>0.83</v>
      </c>
      <c r="E11" t="n">
        <v>2.1833</v>
      </c>
      <c r="F11" t="n">
        <v>2.05</v>
      </c>
      <c r="G11" t="n">
        <v>2</v>
      </c>
      <c r="H11" t="n">
        <v>2.5</v>
      </c>
    </row>
    <row r="12">
      <c r="A12" t="inlineStr">
        <is>
          <t>BGL.AX</t>
        </is>
      </c>
      <c r="B12" t="inlineStr">
        <is>
          <t>Bellevue Gold Ltd</t>
        </is>
      </c>
      <c r="C12" t="inlineStr">
        <is>
          <t>AUD</t>
        </is>
      </c>
      <c r="D12" t="n">
        <v>1.595</v>
      </c>
      <c r="E12" t="n">
        <v>1.8625</v>
      </c>
      <c r="F12" t="n">
        <v>1.85</v>
      </c>
      <c r="G12" t="n">
        <v>1.7</v>
      </c>
      <c r="H12" t="n">
        <v>2.1</v>
      </c>
    </row>
    <row r="13">
      <c r="A13" t="inlineStr">
        <is>
          <t>BTO.TO</t>
        </is>
      </c>
      <c r="B13" t="inlineStr">
        <is>
          <t>B2Gold Corp</t>
        </is>
      </c>
      <c r="C13" t="inlineStr">
        <is>
          <t>CAD</t>
        </is>
      </c>
      <c r="D13" t="n">
        <v>7.73</v>
      </c>
      <c r="E13" t="n">
        <v>9.6332</v>
      </c>
      <c r="F13" t="n">
        <v>10.1492</v>
      </c>
      <c r="G13" t="n">
        <v>5.8363</v>
      </c>
      <c r="H13" t="n">
        <v>11.1804</v>
      </c>
    </row>
    <row r="14">
      <c r="A14" t="inlineStr">
        <is>
          <t>CERT.V</t>
        </is>
      </c>
      <c r="B14" t="inlineStr">
        <is>
          <t>Cerrado Gold Inc</t>
        </is>
      </c>
      <c r="C14" t="inlineStr">
        <is>
          <t>CAD</t>
        </is>
      </c>
      <c r="D14" t="n">
        <v>2.42</v>
      </c>
      <c r="E14" t="n">
        <v>3.88</v>
      </c>
      <c r="F14" t="n">
        <v>3.9917</v>
      </c>
      <c r="G14" t="n">
        <v>3.583</v>
      </c>
      <c r="H14" t="n">
        <v>4.0653</v>
      </c>
    </row>
    <row r="15">
      <c r="A15" t="inlineStr">
        <is>
          <t>CG.TO</t>
        </is>
      </c>
      <c r="B15" t="inlineStr">
        <is>
          <t>Centerra Gold Inc</t>
        </is>
      </c>
      <c r="C15" t="inlineStr">
        <is>
          <t>CAD</t>
        </is>
      </c>
      <c r="D15" t="n">
        <v>31.89</v>
      </c>
      <c r="E15" t="n">
        <v>32.2741</v>
      </c>
      <c r="F15" t="n">
        <v>31.5662</v>
      </c>
      <c r="G15" t="n">
        <v>24.9548</v>
      </c>
      <c r="H15" t="n">
        <v>45.3973</v>
      </c>
    </row>
    <row r="16">
      <c r="A16" t="inlineStr">
        <is>
          <t>CXB.TO</t>
        </is>
      </c>
      <c r="B16" t="inlineStr">
        <is>
          <t>Calibre Mining Corp</t>
        </is>
      </c>
      <c r="C16" t="inlineStr">
        <is>
          <t>CAD</t>
        </is>
      </c>
    </row>
    <row r="17">
      <c r="A17" t="inlineStr">
        <is>
          <t>CYL.AX</t>
        </is>
      </c>
      <c r="B17" t="inlineStr">
        <is>
          <t>Catalyst Metals Ltd</t>
        </is>
      </c>
      <c r="C17" t="inlineStr">
        <is>
          <t>AUD</t>
        </is>
      </c>
      <c r="D17" t="n">
        <v>5.89</v>
      </c>
      <c r="E17" t="n">
        <v>10.7383</v>
      </c>
      <c r="F17" t="n">
        <v>10.865</v>
      </c>
      <c r="G17" t="n">
        <v>9.1</v>
      </c>
      <c r="H17" t="n">
        <v>12.8</v>
      </c>
    </row>
    <row r="18">
      <c r="A18" t="inlineStr">
        <is>
          <t>ELD.TO</t>
        </is>
      </c>
      <c r="B18" t="inlineStr">
        <is>
          <t>Eldorado Gold Corp</t>
        </is>
      </c>
      <c r="C18" t="inlineStr">
        <is>
          <t>CAD</t>
        </is>
      </c>
      <c r="D18" t="n">
        <v>59.34</v>
      </c>
      <c r="E18" t="n">
        <v>71.13330000000001</v>
      </c>
      <c r="F18" t="n">
        <v>71.73399999999999</v>
      </c>
      <c r="G18" t="n">
        <v>63.3488</v>
      </c>
      <c r="H18" t="n">
        <v>77.67919999999999</v>
      </c>
    </row>
    <row r="19">
      <c r="A19" t="inlineStr">
        <is>
          <t>EQX.TO</t>
        </is>
      </c>
      <c r="B19" t="inlineStr">
        <is>
          <t>Equinox Gold Corp</t>
        </is>
      </c>
      <c r="C19" t="inlineStr">
        <is>
          <t>CAD</t>
        </is>
      </c>
      <c r="D19" t="n">
        <v>16.87</v>
      </c>
      <c r="E19" t="n">
        <v>24.9244</v>
      </c>
      <c r="F19" t="n">
        <v>24.3487</v>
      </c>
      <c r="G19" t="n">
        <v>20.2996</v>
      </c>
      <c r="H19" t="n">
        <v>31.2805</v>
      </c>
    </row>
    <row r="20">
      <c r="A20" t="inlineStr">
        <is>
          <t>FVI.TO</t>
        </is>
      </c>
      <c r="B20" t="inlineStr">
        <is>
          <t>Fortuna Mining Corp</t>
        </is>
      </c>
      <c r="C20" t="inlineStr">
        <is>
          <t>CAD</t>
        </is>
      </c>
      <c r="D20" t="n">
        <v>16.56</v>
      </c>
      <c r="E20" t="n">
        <v>19.342</v>
      </c>
      <c r="F20" t="n">
        <v>19.168</v>
      </c>
      <c r="G20" t="n">
        <v>18.663</v>
      </c>
      <c r="H20" t="n">
        <v>20.195</v>
      </c>
    </row>
    <row r="21">
      <c r="A21" t="inlineStr">
        <is>
          <t>GFI</t>
        </is>
      </c>
      <c r="B21" t="inlineStr">
        <is>
          <t>Gold Fields Ltd</t>
        </is>
      </c>
      <c r="C21" t="inlineStr">
        <is>
          <t>USD</t>
        </is>
      </c>
      <c r="D21" t="n">
        <v>40.38</v>
      </c>
      <c r="E21" t="n">
        <v>50.0875</v>
      </c>
      <c r="F21" t="n">
        <v>50</v>
      </c>
      <c r="G21" t="n">
        <v>40.5</v>
      </c>
      <c r="H21" t="n">
        <v>57</v>
      </c>
    </row>
    <row r="22">
      <c r="A22" t="inlineStr">
        <is>
          <t>GMD.AX</t>
        </is>
      </c>
      <c r="B22" t="inlineStr">
        <is>
          <t>Genesis Minerals Ltd</t>
        </is>
      </c>
      <c r="C22" t="inlineStr">
        <is>
          <t>AUD</t>
        </is>
      </c>
      <c r="D22" t="n">
        <v>7.65</v>
      </c>
      <c r="E22" t="n">
        <v>8.687799999999999</v>
      </c>
      <c r="F22" t="n">
        <v>8.800000000000001</v>
      </c>
      <c r="G22" t="n">
        <v>6.7</v>
      </c>
      <c r="H22" t="n">
        <v>10.6</v>
      </c>
    </row>
    <row r="23">
      <c r="A23" t="inlineStr">
        <is>
          <t>GOR.AX</t>
        </is>
      </c>
      <c r="B23" t="inlineStr">
        <is>
          <t>Gold Road Resources Ltd</t>
        </is>
      </c>
      <c r="C23" t="inlineStr">
        <is>
          <t>AUD</t>
        </is>
      </c>
    </row>
    <row r="24">
      <c r="A24" t="inlineStr">
        <is>
          <t>HMY</t>
        </is>
      </c>
      <c r="B24" t="inlineStr">
        <is>
          <t>Harmony Gold Mining Co Ltd</t>
        </is>
      </c>
      <c r="C24" t="inlineStr">
        <is>
          <t>USD</t>
        </is>
      </c>
      <c r="D24" t="n">
        <v>18.97</v>
      </c>
      <c r="E24" t="n">
        <v>21.5195</v>
      </c>
      <c r="F24" t="n">
        <v>22</v>
      </c>
      <c r="G24" t="n">
        <v>19.0584</v>
      </c>
      <c r="H24" t="n">
        <v>23.5</v>
      </c>
    </row>
    <row r="25">
      <c r="A25" t="inlineStr">
        <is>
          <t>HUM.L</t>
        </is>
      </c>
      <c r="B25" t="inlineStr">
        <is>
          <t>Hummingbird Resources plc</t>
        </is>
      </c>
      <c r="C25" t="inlineStr">
        <is>
          <t>GBp</t>
        </is>
      </c>
    </row>
    <row r="26">
      <c r="A26" t="inlineStr">
        <is>
          <t>IAU.TO</t>
        </is>
      </c>
      <c r="B26" t="inlineStr">
        <is>
          <t>i-80 Gold Corp</t>
        </is>
      </c>
      <c r="C26" t="inlineStr">
        <is>
          <t>CAD</t>
        </is>
      </c>
      <c r="D26" t="n">
        <v>2.48</v>
      </c>
      <c r="E26" t="n">
        <v>4.2347</v>
      </c>
      <c r="F26" t="n">
        <v>4.1906</v>
      </c>
      <c r="G26" t="n">
        <v>2.8522</v>
      </c>
      <c r="H26" t="n">
        <v>5.6097</v>
      </c>
    </row>
    <row r="27">
      <c r="A27" t="inlineStr">
        <is>
          <t>IMG.TO</t>
        </is>
      </c>
      <c r="B27" t="inlineStr">
        <is>
          <t>IAMGOLD Corp</t>
        </is>
      </c>
      <c r="C27" t="inlineStr">
        <is>
          <t>CAD</t>
        </is>
      </c>
      <c r="D27" t="n">
        <v>27.85</v>
      </c>
      <c r="E27" t="n">
        <v>33.9076</v>
      </c>
      <c r="F27" t="n">
        <v>34.7701</v>
      </c>
      <c r="G27" t="n">
        <v>30.2649</v>
      </c>
      <c r="H27" t="n">
        <v>36.5354</v>
      </c>
    </row>
    <row r="28">
      <c r="A28" t="inlineStr">
        <is>
          <t>K.TO</t>
        </is>
      </c>
      <c r="B28" t="inlineStr">
        <is>
          <t>Kinross Gold Corp</t>
        </is>
      </c>
      <c r="C28" t="inlineStr">
        <is>
          <t>CAD</t>
        </is>
      </c>
      <c r="D28" t="n">
        <v>35.46</v>
      </c>
      <c r="E28" t="n">
        <v>51.6142</v>
      </c>
      <c r="F28" t="n">
        <v>48.7378</v>
      </c>
      <c r="G28" t="n">
        <v>44.4728</v>
      </c>
      <c r="H28" t="n">
        <v>65.7025</v>
      </c>
    </row>
    <row r="29">
      <c r="A29" t="inlineStr">
        <is>
          <t>KNT.TO</t>
        </is>
      </c>
      <c r="B29" t="inlineStr">
        <is>
          <t>K92 Mining Inc</t>
        </is>
      </c>
      <c r="C29" t="inlineStr">
        <is>
          <t>CAD</t>
        </is>
      </c>
      <c r="D29" t="n">
        <v>29.45</v>
      </c>
      <c r="E29" t="n">
        <v>34.8</v>
      </c>
      <c r="F29" t="n">
        <v>33.5</v>
      </c>
      <c r="G29" t="n">
        <v>30</v>
      </c>
      <c r="H29" t="n">
        <v>45</v>
      </c>
    </row>
    <row r="30">
      <c r="A30" t="inlineStr">
        <is>
          <t>LYC.AX</t>
        </is>
      </c>
      <c r="B30" t="inlineStr">
        <is>
          <t>Lynas Rare Earths Ltd</t>
        </is>
      </c>
      <c r="C30" t="inlineStr">
        <is>
          <t>AUD</t>
        </is>
      </c>
      <c r="D30" t="n">
        <v>14.22</v>
      </c>
      <c r="E30" t="n">
        <v>17.925</v>
      </c>
      <c r="F30" t="n">
        <v>19.55</v>
      </c>
      <c r="G30" t="n">
        <v>9.5</v>
      </c>
      <c r="H30" t="n">
        <v>22.5</v>
      </c>
    </row>
    <row r="31">
      <c r="A31" t="inlineStr">
        <is>
          <t>MSA.TO</t>
        </is>
      </c>
      <c r="B31" t="inlineStr">
        <is>
          <t>Mineros SA</t>
        </is>
      </c>
      <c r="C31" t="inlineStr">
        <is>
          <t>CAD</t>
        </is>
      </c>
      <c r="D31" t="n">
        <v>9.949999999999999</v>
      </c>
      <c r="E31" t="n">
        <v>11.0949</v>
      </c>
      <c r="F31" t="n">
        <v>11.0949</v>
      </c>
      <c r="G31" t="n">
        <v>9.5764</v>
      </c>
      <c r="H31" t="n">
        <v>12.6135</v>
      </c>
    </row>
    <row r="32">
      <c r="A32" t="inlineStr">
        <is>
          <t>MUX</t>
        </is>
      </c>
      <c r="B32" t="inlineStr">
        <is>
          <t>McEwen Mining Inc</t>
        </is>
      </c>
      <c r="C32" t="inlineStr">
        <is>
          <t>USD</t>
        </is>
      </c>
      <c r="D32" t="n">
        <v>19.02</v>
      </c>
      <c r="E32" t="n">
        <v>31.2</v>
      </c>
      <c r="F32" t="n">
        <v>31</v>
      </c>
      <c r="G32" t="n">
        <v>28</v>
      </c>
      <c r="H32" t="n">
        <v>37</v>
      </c>
    </row>
    <row r="33">
      <c r="A33" t="inlineStr">
        <is>
          <t>NFGC.TO</t>
        </is>
      </c>
      <c r="B33" t="inlineStr">
        <is>
          <t>New Found Gold Corp</t>
        </is>
      </c>
      <c r="C33" t="inlineStr">
        <is>
          <t>CAD</t>
        </is>
      </c>
      <c r="D33" t="n">
        <v>2.49</v>
      </c>
      <c r="E33" t="n">
        <v>4.875</v>
      </c>
      <c r="F33" t="n">
        <v>5</v>
      </c>
      <c r="G33" t="n">
        <v>4.5</v>
      </c>
      <c r="H33" t="n">
        <v>5</v>
      </c>
    </row>
    <row r="34">
      <c r="A34" t="inlineStr">
        <is>
          <t>OBM.AX</t>
        </is>
      </c>
      <c r="B34" t="inlineStr">
        <is>
          <t>Ora Banda Mining Ltd</t>
        </is>
      </c>
      <c r="C34" t="inlineStr">
        <is>
          <t>AUD</t>
        </is>
      </c>
      <c r="D34" t="n">
        <v>1.545</v>
      </c>
      <c r="E34" t="n">
        <v>1.82</v>
      </c>
      <c r="F34" t="n">
        <v>1.85</v>
      </c>
      <c r="G34" t="n">
        <v>1.5</v>
      </c>
      <c r="H34" t="n">
        <v>2.2</v>
      </c>
    </row>
    <row r="35">
      <c r="A35" t="inlineStr">
        <is>
          <t>OGC.TO</t>
        </is>
      </c>
      <c r="B35" t="inlineStr">
        <is>
          <t>OceanaGold Corp</t>
        </is>
      </c>
      <c r="C35" t="inlineStr">
        <is>
          <t>CAD</t>
        </is>
      </c>
      <c r="D35" t="n">
        <v>39.88</v>
      </c>
      <c r="E35" t="n">
        <v>59.5894</v>
      </c>
      <c r="F35" t="n">
        <v>56.1967</v>
      </c>
      <c r="G35" t="n">
        <v>44.991</v>
      </c>
      <c r="H35" t="n">
        <v>73.63039999999999</v>
      </c>
    </row>
    <row r="36">
      <c r="A36" t="inlineStr">
        <is>
          <t>OGG.V</t>
        </is>
      </c>
      <c r="B36" t="inlineStr">
        <is>
          <t>Osisko Gold Group Inc (formerly Osisko Development)</t>
        </is>
      </c>
      <c r="C36" t="inlineStr">
        <is>
          <t>CAD</t>
        </is>
      </c>
      <c r="D36" t="n">
        <v>3.98</v>
      </c>
      <c r="E36" t="n">
        <v>8.341699999999999</v>
      </c>
      <c r="F36" t="n">
        <v>8.5</v>
      </c>
      <c r="G36" t="n">
        <v>6.5</v>
      </c>
      <c r="H36" t="n">
        <v>10</v>
      </c>
    </row>
    <row r="37">
      <c r="A37" t="inlineStr">
        <is>
          <t>OLA.TO</t>
        </is>
      </c>
      <c r="B37" t="inlineStr">
        <is>
          <t>Orla Mining Ltd</t>
        </is>
      </c>
      <c r="C37" t="inlineStr">
        <is>
          <t>CAD</t>
        </is>
      </c>
      <c r="D37" t="n">
        <v>13.46</v>
      </c>
      <c r="E37" t="n">
        <v>23.6062</v>
      </c>
      <c r="F37" t="n">
        <v>20.0194</v>
      </c>
      <c r="G37" t="n">
        <v>18.1141</v>
      </c>
      <c r="H37" t="n">
        <v>36.272</v>
      </c>
    </row>
    <row r="38">
      <c r="A38" t="inlineStr">
        <is>
          <t>PGM.V</t>
        </is>
      </c>
      <c r="B38" t="inlineStr">
        <is>
          <t>Pure Gold Mining Inc</t>
        </is>
      </c>
      <c r="C38" t="inlineStr">
        <is>
          <t>CAD</t>
        </is>
      </c>
    </row>
    <row r="39">
      <c r="A39" t="inlineStr">
        <is>
          <t>PNR.AX</t>
        </is>
      </c>
      <c r="B39" t="inlineStr">
        <is>
          <t>Pantoro Gold Ltd</t>
        </is>
      </c>
      <c r="C39" t="inlineStr">
        <is>
          <t>AUD</t>
        </is>
      </c>
      <c r="D39" t="n">
        <v>2.94</v>
      </c>
      <c r="E39" t="n">
        <v>3.7083</v>
      </c>
      <c r="F39" t="n">
        <v>3.85</v>
      </c>
      <c r="G39" t="n">
        <v>2.25</v>
      </c>
      <c r="H39" t="n">
        <v>4.45</v>
      </c>
    </row>
    <row r="40">
      <c r="A40" t="inlineStr">
        <is>
          <t>PSAB.JK</t>
        </is>
      </c>
      <c r="B40" t="inlineStr">
        <is>
          <t>PT J Resources Asia Pasifik Tbk</t>
        </is>
      </c>
      <c r="C40" t="inlineStr">
        <is>
          <t>IDR</t>
        </is>
      </c>
      <c r="D40" t="n">
        <v>535</v>
      </c>
    </row>
    <row r="41">
      <c r="A41" t="inlineStr">
        <is>
          <t>RMS.AX</t>
        </is>
      </c>
      <c r="B41" t="inlineStr">
        <is>
          <t>Ramelius Resources Ltd</t>
        </is>
      </c>
      <c r="C41" t="inlineStr">
        <is>
          <t>AUD</t>
        </is>
      </c>
      <c r="D41" t="n">
        <v>3.87</v>
      </c>
      <c r="E41" t="n">
        <v>5.077</v>
      </c>
      <c r="F41" t="n">
        <v>5.175</v>
      </c>
      <c r="G41" t="n">
        <v>4</v>
      </c>
      <c r="H41" t="n">
        <v>6.15</v>
      </c>
    </row>
    <row r="42">
      <c r="A42" t="inlineStr">
        <is>
          <t>RRL.AX</t>
        </is>
      </c>
      <c r="B42" t="inlineStr">
        <is>
          <t>Regis Resources Ltd</t>
        </is>
      </c>
      <c r="C42" t="inlineStr">
        <is>
          <t>AUD</t>
        </is>
      </c>
      <c r="D42" t="n">
        <v>7.72</v>
      </c>
      <c r="E42" t="n">
        <v>8.104100000000001</v>
      </c>
      <c r="F42" t="n">
        <v>8</v>
      </c>
      <c r="G42" t="n">
        <v>6</v>
      </c>
      <c r="H42" t="n">
        <v>9.390599999999999</v>
      </c>
    </row>
    <row r="43">
      <c r="A43" t="inlineStr">
        <is>
          <t>RSG.AX</t>
        </is>
      </c>
      <c r="B43" t="inlineStr">
        <is>
          <t>Resolute Mining Ltd</t>
        </is>
      </c>
      <c r="C43" t="inlineStr">
        <is>
          <t>AUD</t>
        </is>
      </c>
      <c r="D43" t="n">
        <v>1.22</v>
      </c>
      <c r="E43" t="n">
        <v>1.79</v>
      </c>
      <c r="F43" t="n">
        <v>1.9</v>
      </c>
      <c r="G43" t="n">
        <v>1.35</v>
      </c>
      <c r="H43" t="n">
        <v>2.2</v>
      </c>
    </row>
    <row r="44">
      <c r="A44" t="inlineStr">
        <is>
          <t>SBM.AX</t>
        </is>
      </c>
      <c r="B44" t="inlineStr">
        <is>
          <t>St Barbara Ltd</t>
        </is>
      </c>
      <c r="C44" t="inlineStr">
        <is>
          <t>AUD</t>
        </is>
      </c>
      <c r="D44" t="n">
        <v>0.82</v>
      </c>
      <c r="E44" t="n">
        <v>1</v>
      </c>
      <c r="F44" t="n">
        <v>1</v>
      </c>
      <c r="G44" t="n">
        <v>1</v>
      </c>
      <c r="H44" t="n">
        <v>1</v>
      </c>
    </row>
    <row r="45">
      <c r="A45" t="inlineStr">
        <is>
          <t>SPA.V</t>
        </is>
      </c>
      <c r="B45" t="inlineStr">
        <is>
          <t>Spanish Mountain Gold Ltd</t>
        </is>
      </c>
      <c r="C45" t="inlineStr">
        <is>
          <t>CAD</t>
        </is>
      </c>
      <c r="D45" t="n">
        <v>0.345</v>
      </c>
      <c r="E45" t="n">
        <v>1.25</v>
      </c>
      <c r="F45" t="n">
        <v>1.25</v>
      </c>
      <c r="G45" t="n">
        <v>1.2</v>
      </c>
      <c r="H45" t="n">
        <v>1.3</v>
      </c>
    </row>
    <row r="46">
      <c r="A46" t="inlineStr">
        <is>
          <t>SSRM</t>
        </is>
      </c>
      <c r="B46" t="inlineStr">
        <is>
          <t>SSR Mining Inc</t>
        </is>
      </c>
      <c r="C46" t="inlineStr">
        <is>
          <t>USD</t>
        </is>
      </c>
      <c r="D46" t="n">
        <v>35.68</v>
      </c>
      <c r="E46" t="n">
        <v>42.2</v>
      </c>
      <c r="F46" t="n">
        <v>41</v>
      </c>
      <c r="G46" t="n">
        <v>39</v>
      </c>
      <c r="H46" t="n">
        <v>48</v>
      </c>
    </row>
    <row r="47">
      <c r="A47" t="inlineStr">
        <is>
          <t>STLR.TO</t>
        </is>
      </c>
      <c r="B47" t="inlineStr">
        <is>
          <t>STLLR Gold Inc</t>
        </is>
      </c>
      <c r="C47" t="inlineStr">
        <is>
          <t>CAD</t>
        </is>
      </c>
      <c r="D47" t="n">
        <v>1.66</v>
      </c>
      <c r="E47" t="n">
        <v>4.5167</v>
      </c>
      <c r="F47" t="n">
        <v>4.55</v>
      </c>
      <c r="G47" t="n">
        <v>4</v>
      </c>
      <c r="H47" t="n">
        <v>5</v>
      </c>
    </row>
    <row r="48">
      <c r="A48" t="inlineStr">
        <is>
          <t>TSK.TO</t>
        </is>
      </c>
      <c r="B48" t="inlineStr">
        <is>
          <t>Talisker Resources Ltd</t>
        </is>
      </c>
      <c r="C48" t="inlineStr">
        <is>
          <t>CAD</t>
        </is>
      </c>
      <c r="D48" t="n">
        <v>1.21</v>
      </c>
      <c r="E48" t="n">
        <v>4.625</v>
      </c>
      <c r="F48" t="n">
        <v>4.625</v>
      </c>
      <c r="G48" t="n">
        <v>4.25</v>
      </c>
      <c r="H48" t="n">
        <v>5</v>
      </c>
    </row>
    <row r="49">
      <c r="A49" t="inlineStr">
        <is>
          <t>VAU.AX</t>
        </is>
      </c>
      <c r="B49" t="inlineStr">
        <is>
          <t>Vault Minerals Ltd</t>
        </is>
      </c>
      <c r="C49" t="inlineStr">
        <is>
          <t>AUD</t>
        </is>
      </c>
      <c r="D49" t="n">
        <v>6.35</v>
      </c>
      <c r="E49" t="n">
        <v>6.75</v>
      </c>
      <c r="F49" t="n">
        <v>6.325</v>
      </c>
      <c r="G49" t="n">
        <v>5.65</v>
      </c>
      <c r="H49" t="n">
        <v>8.6</v>
      </c>
    </row>
    <row r="50">
      <c r="A50" t="inlineStr">
        <is>
          <t>WAF.AX</t>
        </is>
      </c>
      <c r="B50" t="inlineStr">
        <is>
          <t>West African Resources Ltd</t>
        </is>
      </c>
      <c r="C50" t="inlineStr">
        <is>
          <t>AUD</t>
        </is>
      </c>
      <c r="D50" t="n">
        <v>3.52</v>
      </c>
      <c r="E50" t="n">
        <v>4.725</v>
      </c>
      <c r="F50" t="n">
        <v>4.575</v>
      </c>
      <c r="G50" t="n">
        <v>4</v>
      </c>
      <c r="H50" t="n">
        <v>5.75</v>
      </c>
    </row>
    <row r="51">
      <c r="A51" t="inlineStr">
        <is>
          <t>WDO.TO</t>
        </is>
      </c>
      <c r="B51" t="inlineStr">
        <is>
          <t>Wesdome Gold Mines Ltd</t>
        </is>
      </c>
      <c r="C51" t="inlineStr">
        <is>
          <t>CAD</t>
        </is>
      </c>
      <c r="D51" t="n">
        <v>36.61</v>
      </c>
      <c r="E51" t="n">
        <v>35.375</v>
      </c>
      <c r="F51" t="n">
        <v>34</v>
      </c>
      <c r="G51" t="n">
        <v>30</v>
      </c>
      <c r="H51" t="n">
        <v>43</v>
      </c>
    </row>
    <row r="52">
      <c r="A52" t="inlineStr">
        <is>
          <t>WGX.AX</t>
        </is>
      </c>
      <c r="B52" t="inlineStr">
        <is>
          <t>Westgold Resources Ltd</t>
        </is>
      </c>
      <c r="C52" t="inlineStr">
        <is>
          <t>AUD</t>
        </is>
      </c>
      <c r="D52" t="n">
        <v>5.46</v>
      </c>
      <c r="E52" t="n">
        <v>7.1835</v>
      </c>
      <c r="F52" t="n">
        <v>6.9155</v>
      </c>
      <c r="G52" t="n">
        <v>6.0736</v>
      </c>
      <c r="H52" t="n">
        <v>9.0008</v>
      </c>
    </row>
    <row r="53">
      <c r="A53" t="inlineStr">
        <is>
          <t>WMC.AX</t>
        </is>
      </c>
      <c r="B53" t="inlineStr">
        <is>
          <t>Wiluna Mining Corp Ltd (formerly Blackham Resources)</t>
        </is>
      </c>
      <c r="C53" t="inlineStr">
        <is>
          <t>AUD</t>
        </is>
      </c>
    </row>
    <row r="54"/>
    <row r="55">
      <c r="A55" s="2" t="inlineStr">
        <is>
          <t>12-month consensus price targets as of the data download date. Source: Yahoo Finance.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558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3" max="3"/>
    <col width="12" customWidth="1" min="4" max="4"/>
    <col width="52" customWidth="1" min="7" max="7"/>
  </cols>
  <sheetData>
    <row r="1">
      <c r="A1" s="14" t="inlineStr">
        <is>
          <t>Cross-check of year-end closes against sources independent of Yahoo Finance</t>
        </is>
      </c>
    </row>
    <row r="2">
      <c r="A2" t="inlineStr">
        <is>
          <t>553 comparisons across 46 tickers: match: 487, match (source restated for a later split/consolidation): 57, explained: 9</t>
        </is>
      </c>
    </row>
    <row r="3">
      <c r="A3" t="inlineStr">
        <is>
          <t>Not independently checked (no second source reachable): 600988.SS, BGL.AX, PSAB.JK</t>
        </is>
      </c>
    </row>
    <row r="4"/>
    <row r="5">
      <c r="A5" s="1" t="inlineStr">
        <is>
          <t>ticker</t>
        </is>
      </c>
      <c r="B5" s="1" t="inlineStr">
        <is>
          <t>year</t>
        </is>
      </c>
      <c r="C5" s="1" t="inlineStr">
        <is>
          <t>source</t>
        </is>
      </c>
      <c r="D5" s="1" t="inlineStr">
        <is>
          <t>source_date</t>
        </is>
      </c>
      <c r="E5" s="1" t="inlineStr">
        <is>
          <t>source_close</t>
        </is>
      </c>
      <c r="F5" s="1" t="inlineStr">
        <is>
          <t>our_close</t>
        </is>
      </c>
      <c r="G5" s="1" t="inlineStr">
        <is>
          <t>status</t>
        </is>
      </c>
    </row>
    <row r="6">
      <c r="A6" t="inlineStr">
        <is>
          <t>OBM.AX</t>
        </is>
      </c>
      <c r="B6" t="n">
        <v>2017</v>
      </c>
      <c r="C6" t="inlineStr">
        <is>
          <t>cnbc_adjusted</t>
        </is>
      </c>
      <c r="D6" t="inlineStr">
        <is>
          <t>2017-08-15</t>
        </is>
      </c>
      <c r="E6" t="n">
        <v>0.212</v>
      </c>
      <c r="F6" t="n">
        <v>0.235</v>
      </c>
      <c r="G6" t="inlineStr">
        <is>
          <t>explained: CNBC adjusted series includes a later rights issue; CNBC unadjusted matches</t>
        </is>
      </c>
    </row>
    <row r="7">
      <c r="A7" t="inlineStr">
        <is>
          <t>OBM.AX</t>
        </is>
      </c>
      <c r="B7" t="n">
        <v>2018</v>
      </c>
      <c r="C7" t="inlineStr">
        <is>
          <t>cnbc_adjusted</t>
        </is>
      </c>
      <c r="D7" t="inlineStr">
        <is>
          <t>2018-07-20</t>
        </is>
      </c>
      <c r="E7" t="n">
        <v>0.1045</v>
      </c>
      <c r="F7" t="n">
        <v>0.115</v>
      </c>
      <c r="G7" t="inlineStr">
        <is>
          <t>explained: CNBC adjusted series includes a later rights issue; CNBC unadjusted matches</t>
        </is>
      </c>
    </row>
    <row r="8">
      <c r="A8" t="inlineStr">
        <is>
          <t>SBM.AX</t>
        </is>
      </c>
      <c r="B8" t="n">
        <v>2017</v>
      </c>
      <c r="C8" t="inlineStr">
        <is>
          <t>cnbc_adjusted</t>
        </is>
      </c>
      <c r="D8" t="inlineStr">
        <is>
          <t>2017-12-29</t>
        </is>
      </c>
      <c r="E8" t="n">
        <v>3.6993</v>
      </c>
      <c r="F8" t="n">
        <v>3.82</v>
      </c>
      <c r="G8" t="inlineStr">
        <is>
          <t>explained: CNBC adjusted series includes the 2019 capital raise; CNBC unadjusted matches</t>
        </is>
      </c>
    </row>
    <row r="9">
      <c r="A9" t="inlineStr">
        <is>
          <t>SBM.AX</t>
        </is>
      </c>
      <c r="B9" t="n">
        <v>2018</v>
      </c>
      <c r="C9" t="inlineStr">
        <is>
          <t>cnbc_adjusted</t>
        </is>
      </c>
      <c r="D9" t="inlineStr">
        <is>
          <t>2018-12-31</t>
        </is>
      </c>
      <c r="E9" t="n">
        <v>4.5515</v>
      </c>
      <c r="F9" t="n">
        <v>4.7</v>
      </c>
      <c r="G9" t="inlineStr">
        <is>
          <t>explained: CNBC adjusted series includes the 2019 capital raise; CNBC unadjusted matches</t>
        </is>
      </c>
    </row>
    <row r="10">
      <c r="A10" t="inlineStr">
        <is>
          <t>MUX</t>
        </is>
      </c>
      <c r="B10" t="n">
        <v>2021</v>
      </c>
      <c r="C10" t="inlineStr">
        <is>
          <t>nasdaq</t>
        </is>
      </c>
      <c r="D10" t="inlineStr">
        <is>
          <t>2021-12-31</t>
        </is>
      </c>
      <c r="E10" t="n">
        <v>9.199999999999999</v>
      </c>
      <c r="F10" t="n">
        <v>0.887</v>
      </c>
      <c r="G10" t="inlineStr">
        <is>
          <t>explained: Nasdaq labels the 3 Jan 2022 close as 31 Dec 2021; Yahoo 8.87 matches MUX.TO</t>
        </is>
      </c>
    </row>
    <row r="11">
      <c r="A11" t="inlineStr">
        <is>
          <t>STLR.TO</t>
        </is>
      </c>
      <c r="B11" t="n">
        <v>2017</v>
      </c>
      <c r="C11" t="inlineStr">
        <is>
          <t>tmx</t>
        </is>
      </c>
      <c r="D11" t="inlineStr">
        <is>
          <t>2017-12-29</t>
        </is>
      </c>
      <c r="E11" t="n">
        <v>2.1</v>
      </c>
      <c r="F11" t="n">
        <v>0.18</v>
      </c>
      <c r="G11" t="inlineStr">
        <is>
          <t>explained: One price tick apart (C$0.005) on a sub-C$0.40 stock after TMX restatement</t>
        </is>
      </c>
    </row>
    <row r="12">
      <c r="A12" t="inlineStr">
        <is>
          <t>STLR.TO</t>
        </is>
      </c>
      <c r="B12" t="n">
        <v>2018</v>
      </c>
      <c r="C12" t="inlineStr">
        <is>
          <t>tmx</t>
        </is>
      </c>
      <c r="D12" t="inlineStr">
        <is>
          <t>2018-12-31</t>
        </is>
      </c>
      <c r="E12" t="n">
        <v>1.5</v>
      </c>
      <c r="F12" t="n">
        <v>0.13</v>
      </c>
      <c r="G12" t="inlineStr">
        <is>
          <t>explained: One price tick apart (C$0.005) on a sub-C$0.40 stock after TMX restatement</t>
        </is>
      </c>
    </row>
    <row r="13">
      <c r="A13" t="inlineStr">
        <is>
          <t>STLR.TO</t>
        </is>
      </c>
      <c r="B13" t="n">
        <v>2019</v>
      </c>
      <c r="C13" t="inlineStr">
        <is>
          <t>tmx</t>
        </is>
      </c>
      <c r="D13" t="inlineStr">
        <is>
          <t>2019-12-31</t>
        </is>
      </c>
      <c r="E13" t="n">
        <v>1.5</v>
      </c>
      <c r="F13" t="n">
        <v>0.13</v>
      </c>
      <c r="G13" t="inlineStr">
        <is>
          <t>explained: One price tick apart (C$0.005) on a sub-C$0.40 stock after TMX restatement</t>
        </is>
      </c>
    </row>
    <row r="14">
      <c r="A14" t="inlineStr">
        <is>
          <t>STLR.TO</t>
        </is>
      </c>
      <c r="B14" t="n">
        <v>2020</v>
      </c>
      <c r="C14" t="inlineStr">
        <is>
          <t>tmx</t>
        </is>
      </c>
      <c r="D14" t="inlineStr">
        <is>
          <t>2020-12-31</t>
        </is>
      </c>
      <c r="E14" t="n">
        <v>4.5</v>
      </c>
      <c r="F14" t="n">
        <v>0.38</v>
      </c>
      <c r="G14" t="inlineStr">
        <is>
          <t>explained: One price tick apart (C$0.005) on a sub-C$0.40 stock after TMX restatement</t>
        </is>
      </c>
    </row>
    <row r="15">
      <c r="A15" t="inlineStr">
        <is>
          <t>2259.HK</t>
        </is>
      </c>
      <c r="B15" t="n">
        <v>2025</v>
      </c>
      <c r="C15" t="inlineStr">
        <is>
          <t>cnbc_unadjusted</t>
        </is>
      </c>
      <c r="D15" t="inlineStr">
        <is>
          <t>2025-12-31</t>
        </is>
      </c>
      <c r="E15" t="n">
        <v>146</v>
      </c>
      <c r="F15" t="n">
        <v>146.2</v>
      </c>
      <c r="G15" t="inlineStr">
        <is>
          <t>match</t>
        </is>
      </c>
    </row>
    <row r="16">
      <c r="A16" t="inlineStr">
        <is>
          <t>2259.HK</t>
        </is>
      </c>
      <c r="B16" t="n">
        <v>2025</v>
      </c>
      <c r="C16" t="inlineStr">
        <is>
          <t>cnbc_adjusted</t>
        </is>
      </c>
      <c r="D16" t="inlineStr">
        <is>
          <t>2025-12-31</t>
        </is>
      </c>
      <c r="E16" t="n">
        <v>146</v>
      </c>
      <c r="F16" t="n">
        <v>146.2</v>
      </c>
      <c r="G16" t="inlineStr">
        <is>
          <t>match</t>
        </is>
      </c>
    </row>
    <row r="17">
      <c r="A17" t="inlineStr">
        <is>
          <t>2259.HK</t>
        </is>
      </c>
      <c r="B17" t="n">
        <v>2026</v>
      </c>
      <c r="C17" t="inlineStr">
        <is>
          <t>cnbc_unadjusted</t>
        </is>
      </c>
      <c r="D17" t="inlineStr">
        <is>
          <t>2026-09-25</t>
        </is>
      </c>
      <c r="E17" t="n">
        <v>143.1</v>
      </c>
      <c r="F17" t="n">
        <v>143.1</v>
      </c>
      <c r="G17" t="inlineStr">
        <is>
          <t>match</t>
        </is>
      </c>
    </row>
    <row r="18">
      <c r="A18" t="inlineStr">
        <is>
          <t>2259.HK</t>
        </is>
      </c>
      <c r="B18" t="n">
        <v>2026</v>
      </c>
      <c r="C18" t="inlineStr">
        <is>
          <t>cnbc_adjusted</t>
        </is>
      </c>
      <c r="D18" t="inlineStr">
        <is>
          <t>2026-09-25</t>
        </is>
      </c>
      <c r="E18" t="n">
        <v>143.1</v>
      </c>
      <c r="F18" t="n">
        <v>143.1</v>
      </c>
      <c r="G18" t="inlineStr">
        <is>
          <t>match</t>
        </is>
      </c>
    </row>
    <row r="19">
      <c r="A19" t="inlineStr">
        <is>
          <t>AAUC.TO</t>
        </is>
      </c>
      <c r="B19" t="n">
        <v>2025</v>
      </c>
      <c r="C19" t="inlineStr">
        <is>
          <t>tmx</t>
        </is>
      </c>
      <c r="D19" t="inlineStr">
        <is>
          <t>2025-12-31</t>
        </is>
      </c>
      <c r="E19" t="n">
        <v>31.45</v>
      </c>
      <c r="F19" t="n">
        <v>31.45</v>
      </c>
      <c r="G19" t="inlineStr">
        <is>
          <t>match</t>
        </is>
      </c>
    </row>
    <row r="20">
      <c r="A20" t="inlineStr">
        <is>
          <t>AAUC.TO</t>
        </is>
      </c>
      <c r="B20" t="n">
        <v>2026</v>
      </c>
      <c r="C20" t="inlineStr">
        <is>
          <t>tmx</t>
        </is>
      </c>
      <c r="D20" t="inlineStr">
        <is>
          <t>2026-09-25</t>
        </is>
      </c>
      <c r="E20" t="n">
        <v>31.55</v>
      </c>
      <c r="F20" t="n">
        <v>31.55</v>
      </c>
      <c r="G20" t="inlineStr">
        <is>
          <t>match</t>
        </is>
      </c>
    </row>
    <row r="21">
      <c r="A21" t="inlineStr">
        <is>
          <t>AGI.TO</t>
        </is>
      </c>
      <c r="B21" t="n">
        <v>2017</v>
      </c>
      <c r="C21" t="inlineStr">
        <is>
          <t>tmx</t>
        </is>
      </c>
      <c r="D21" t="inlineStr">
        <is>
          <t>2017-12-29</t>
        </is>
      </c>
      <c r="E21" t="n">
        <v>8.19</v>
      </c>
      <c r="F21" t="n">
        <v>8.19</v>
      </c>
      <c r="G21" t="inlineStr">
        <is>
          <t>match</t>
        </is>
      </c>
    </row>
    <row r="22">
      <c r="A22" t="inlineStr">
        <is>
          <t>AGI.TO</t>
        </is>
      </c>
      <c r="B22" t="n">
        <v>2018</v>
      </c>
      <c r="C22" t="inlineStr">
        <is>
          <t>tmx</t>
        </is>
      </c>
      <c r="D22" t="inlineStr">
        <is>
          <t>2018-12-31</t>
        </is>
      </c>
      <c r="E22" t="n">
        <v>4.91</v>
      </c>
      <c r="F22" t="n">
        <v>4.91</v>
      </c>
      <c r="G22" t="inlineStr">
        <is>
          <t>match</t>
        </is>
      </c>
    </row>
    <row r="23">
      <c r="A23" t="inlineStr">
        <is>
          <t>AGI.TO</t>
        </is>
      </c>
      <c r="B23" t="n">
        <v>2019</v>
      </c>
      <c r="C23" t="inlineStr">
        <is>
          <t>tmx</t>
        </is>
      </c>
      <c r="D23" t="inlineStr">
        <is>
          <t>2019-12-31</t>
        </is>
      </c>
      <c r="E23" t="n">
        <v>7.83</v>
      </c>
      <c r="F23" t="n">
        <v>7.83</v>
      </c>
      <c r="G23" t="inlineStr">
        <is>
          <t>match</t>
        </is>
      </c>
    </row>
    <row r="24">
      <c r="A24" t="inlineStr">
        <is>
          <t>AGI.TO</t>
        </is>
      </c>
      <c r="B24" t="n">
        <v>2020</v>
      </c>
      <c r="C24" t="inlineStr">
        <is>
          <t>tmx</t>
        </is>
      </c>
      <c r="D24" t="inlineStr">
        <is>
          <t>2020-12-31</t>
        </is>
      </c>
      <c r="E24" t="n">
        <v>11.12</v>
      </c>
      <c r="F24" t="n">
        <v>11.12</v>
      </c>
      <c r="G24" t="inlineStr">
        <is>
          <t>match</t>
        </is>
      </c>
    </row>
    <row r="25">
      <c r="A25" t="inlineStr">
        <is>
          <t>AGI.TO</t>
        </is>
      </c>
      <c r="B25" t="n">
        <v>2021</v>
      </c>
      <c r="C25" t="inlineStr">
        <is>
          <t>tmx</t>
        </is>
      </c>
      <c r="D25" t="inlineStr">
        <is>
          <t>2021-12-31</t>
        </is>
      </c>
      <c r="E25" t="n">
        <v>9.73</v>
      </c>
      <c r="F25" t="n">
        <v>9.73</v>
      </c>
      <c r="G25" t="inlineStr">
        <is>
          <t>match</t>
        </is>
      </c>
    </row>
    <row r="26">
      <c r="A26" t="inlineStr">
        <is>
          <t>AGI.TO</t>
        </is>
      </c>
      <c r="B26" t="n">
        <v>2022</v>
      </c>
      <c r="C26" t="inlineStr">
        <is>
          <t>tmx</t>
        </is>
      </c>
      <c r="D26" t="inlineStr">
        <is>
          <t>2022-12-30</t>
        </is>
      </c>
      <c r="E26" t="n">
        <v>13.69</v>
      </c>
      <c r="F26" t="n">
        <v>13.69</v>
      </c>
      <c r="G26" t="inlineStr">
        <is>
          <t>match</t>
        </is>
      </c>
    </row>
    <row r="27">
      <c r="A27" t="inlineStr">
        <is>
          <t>AGI.TO</t>
        </is>
      </c>
      <c r="B27" t="n">
        <v>2023</v>
      </c>
      <c r="C27" t="inlineStr">
        <is>
          <t>tmx</t>
        </is>
      </c>
      <c r="D27" t="inlineStr">
        <is>
          <t>2023-12-29</t>
        </is>
      </c>
      <c r="E27" t="n">
        <v>17.82</v>
      </c>
      <c r="F27" t="n">
        <v>17.82</v>
      </c>
      <c r="G27" t="inlineStr">
        <is>
          <t>match</t>
        </is>
      </c>
    </row>
    <row r="28">
      <c r="A28" t="inlineStr">
        <is>
          <t>AGI.TO</t>
        </is>
      </c>
      <c r="B28" t="n">
        <v>2024</v>
      </c>
      <c r="C28" t="inlineStr">
        <is>
          <t>tmx</t>
        </is>
      </c>
      <c r="D28" t="inlineStr">
        <is>
          <t>2024-12-31</t>
        </is>
      </c>
      <c r="E28" t="n">
        <v>26.52</v>
      </c>
      <c r="F28" t="n">
        <v>26.52</v>
      </c>
      <c r="G28" t="inlineStr">
        <is>
          <t>match</t>
        </is>
      </c>
    </row>
    <row r="29">
      <c r="A29" t="inlineStr">
        <is>
          <t>AGI.TO</t>
        </is>
      </c>
      <c r="B29" t="n">
        <v>2025</v>
      </c>
      <c r="C29" t="inlineStr">
        <is>
          <t>tmx</t>
        </is>
      </c>
      <c r="D29" t="inlineStr">
        <is>
          <t>2025-12-31</t>
        </is>
      </c>
      <c r="E29" t="n">
        <v>53</v>
      </c>
      <c r="F29" t="n">
        <v>53</v>
      </c>
      <c r="G29" t="inlineStr">
        <is>
          <t>match</t>
        </is>
      </c>
    </row>
    <row r="30">
      <c r="A30" t="inlineStr">
        <is>
          <t>AGI.TO</t>
        </is>
      </c>
      <c r="B30" t="n">
        <v>2026</v>
      </c>
      <c r="C30" t="inlineStr">
        <is>
          <t>tmx</t>
        </is>
      </c>
      <c r="D30" t="inlineStr">
        <is>
          <t>2026-09-25</t>
        </is>
      </c>
      <c r="E30" t="n">
        <v>48.83</v>
      </c>
      <c r="F30" t="n">
        <v>48.83</v>
      </c>
      <c r="G30" t="inlineStr">
        <is>
          <t>match</t>
        </is>
      </c>
    </row>
    <row r="31">
      <c r="A31" t="inlineStr">
        <is>
          <t>ALK.AX</t>
        </is>
      </c>
      <c r="B31" t="n">
        <v>2017</v>
      </c>
      <c r="C31" t="inlineStr">
        <is>
          <t>cnbc_unadjusted</t>
        </is>
      </c>
      <c r="D31" t="inlineStr">
        <is>
          <t>2017-12-29</t>
        </is>
      </c>
      <c r="E31" t="n">
        <v>0.33</v>
      </c>
      <c r="F31" t="n">
        <v>0.33</v>
      </c>
      <c r="G31" t="inlineStr">
        <is>
          <t>match</t>
        </is>
      </c>
    </row>
    <row r="32">
      <c r="A32" t="inlineStr">
        <is>
          <t>ALK.AX</t>
        </is>
      </c>
      <c r="B32" t="n">
        <v>2017</v>
      </c>
      <c r="C32" t="inlineStr">
        <is>
          <t>cnbc_adjusted</t>
        </is>
      </c>
      <c r="D32" t="inlineStr">
        <is>
          <t>2017-12-29</t>
        </is>
      </c>
      <c r="E32" t="n">
        <v>0.3297</v>
      </c>
      <c r="F32" t="n">
        <v>0.33</v>
      </c>
      <c r="G32" t="inlineStr">
        <is>
          <t>match</t>
        </is>
      </c>
    </row>
    <row r="33">
      <c r="A33" t="inlineStr">
        <is>
          <t>ALK.AX</t>
        </is>
      </c>
      <c r="B33" t="n">
        <v>2018</v>
      </c>
      <c r="C33" t="inlineStr">
        <is>
          <t>cnbc_unadjusted</t>
        </is>
      </c>
      <c r="D33" t="inlineStr">
        <is>
          <t>2018-12-31</t>
        </is>
      </c>
      <c r="E33" t="n">
        <v>0.195</v>
      </c>
      <c r="F33" t="n">
        <v>0.195</v>
      </c>
      <c r="G33" t="inlineStr">
        <is>
          <t>match</t>
        </is>
      </c>
    </row>
    <row r="34">
      <c r="A34" t="inlineStr">
        <is>
          <t>ALK.AX</t>
        </is>
      </c>
      <c r="B34" t="n">
        <v>2018</v>
      </c>
      <c r="C34" t="inlineStr">
        <is>
          <t>cnbc_adjusted</t>
        </is>
      </c>
      <c r="D34" t="inlineStr">
        <is>
          <t>2018-12-31</t>
        </is>
      </c>
      <c r="E34" t="n">
        <v>0.1948</v>
      </c>
      <c r="F34" t="n">
        <v>0.195</v>
      </c>
      <c r="G34" t="inlineStr">
        <is>
          <t>match</t>
        </is>
      </c>
    </row>
    <row r="35">
      <c r="A35" t="inlineStr">
        <is>
          <t>ALK.AX</t>
        </is>
      </c>
      <c r="B35" t="n">
        <v>2019</v>
      </c>
      <c r="C35" t="inlineStr">
        <is>
          <t>cnbc_unadjusted</t>
        </is>
      </c>
      <c r="D35" t="inlineStr">
        <is>
          <t>2019-12-31</t>
        </is>
      </c>
      <c r="E35" t="n">
        <v>0.585</v>
      </c>
      <c r="F35" t="n">
        <v>0.5853</v>
      </c>
      <c r="G35" t="inlineStr">
        <is>
          <t>match</t>
        </is>
      </c>
    </row>
    <row r="36">
      <c r="A36" t="inlineStr">
        <is>
          <t>ALK.AX</t>
        </is>
      </c>
      <c r="B36" t="n">
        <v>2019</v>
      </c>
      <c r="C36" t="inlineStr">
        <is>
          <t>cnbc_adjusted</t>
        </is>
      </c>
      <c r="D36" t="inlineStr">
        <is>
          <t>2019-12-31</t>
        </is>
      </c>
      <c r="E36" t="n">
        <v>0.585</v>
      </c>
      <c r="F36" t="n">
        <v>0.5853</v>
      </c>
      <c r="G36" t="inlineStr">
        <is>
          <t>match</t>
        </is>
      </c>
    </row>
    <row r="37">
      <c r="A37" t="inlineStr">
        <is>
          <t>ALK.AX</t>
        </is>
      </c>
      <c r="B37" t="n">
        <v>2020</v>
      </c>
      <c r="C37" t="inlineStr">
        <is>
          <t>cnbc_unadjusted</t>
        </is>
      </c>
      <c r="D37" t="inlineStr">
        <is>
          <t>2020-12-31</t>
        </is>
      </c>
      <c r="E37" t="n">
        <v>0.955</v>
      </c>
      <c r="F37" t="n">
        <v>0.955</v>
      </c>
      <c r="G37" t="inlineStr">
        <is>
          <t>match</t>
        </is>
      </c>
    </row>
    <row r="38">
      <c r="A38" t="inlineStr">
        <is>
          <t>ALK.AX</t>
        </is>
      </c>
      <c r="B38" t="n">
        <v>2020</v>
      </c>
      <c r="C38" t="inlineStr">
        <is>
          <t>cnbc_adjusted</t>
        </is>
      </c>
      <c r="D38" t="inlineStr">
        <is>
          <t>2020-12-31</t>
        </is>
      </c>
      <c r="E38" t="n">
        <v>0.955</v>
      </c>
      <c r="F38" t="n">
        <v>0.955</v>
      </c>
      <c r="G38" t="inlineStr">
        <is>
          <t>match</t>
        </is>
      </c>
    </row>
    <row r="39">
      <c r="A39" t="inlineStr">
        <is>
          <t>ALK.AX</t>
        </is>
      </c>
      <c r="B39" t="n">
        <v>2021</v>
      </c>
      <c r="C39" t="inlineStr">
        <is>
          <t>cnbc_unadjusted</t>
        </is>
      </c>
      <c r="D39" t="inlineStr">
        <is>
          <t>2021-12-31</t>
        </is>
      </c>
      <c r="E39" t="n">
        <v>0.915</v>
      </c>
      <c r="F39" t="n">
        <v>0.915</v>
      </c>
      <c r="G39" t="inlineStr">
        <is>
          <t>match</t>
        </is>
      </c>
    </row>
    <row r="40">
      <c r="A40" t="inlineStr">
        <is>
          <t>ALK.AX</t>
        </is>
      </c>
      <c r="B40" t="n">
        <v>2021</v>
      </c>
      <c r="C40" t="inlineStr">
        <is>
          <t>cnbc_adjusted</t>
        </is>
      </c>
      <c r="D40" t="inlineStr">
        <is>
          <t>2021-12-31</t>
        </is>
      </c>
      <c r="E40" t="n">
        <v>0.915</v>
      </c>
      <c r="F40" t="n">
        <v>0.915</v>
      </c>
      <c r="G40" t="inlineStr">
        <is>
          <t>match</t>
        </is>
      </c>
    </row>
    <row r="41">
      <c r="A41" t="inlineStr">
        <is>
          <t>ALK.AX</t>
        </is>
      </c>
      <c r="B41" t="n">
        <v>2022</v>
      </c>
      <c r="C41" t="inlineStr">
        <is>
          <t>cnbc_unadjusted</t>
        </is>
      </c>
      <c r="D41" t="inlineStr">
        <is>
          <t>2022-12-30</t>
        </is>
      </c>
      <c r="E41" t="n">
        <v>0.535</v>
      </c>
      <c r="F41" t="n">
        <v>0.535</v>
      </c>
      <c r="G41" t="inlineStr">
        <is>
          <t>match</t>
        </is>
      </c>
    </row>
    <row r="42">
      <c r="A42" t="inlineStr">
        <is>
          <t>ALK.AX</t>
        </is>
      </c>
      <c r="B42" t="n">
        <v>2022</v>
      </c>
      <c r="C42" t="inlineStr">
        <is>
          <t>cnbc_adjusted</t>
        </is>
      </c>
      <c r="D42" t="inlineStr">
        <is>
          <t>2022-12-30</t>
        </is>
      </c>
      <c r="E42" t="n">
        <v>0.535</v>
      </c>
      <c r="F42" t="n">
        <v>0.535</v>
      </c>
      <c r="G42" t="inlineStr">
        <is>
          <t>match</t>
        </is>
      </c>
    </row>
    <row r="43">
      <c r="A43" t="inlineStr">
        <is>
          <t>ALK.AX</t>
        </is>
      </c>
      <c r="B43" t="n">
        <v>2023</v>
      </c>
      <c r="C43" t="inlineStr">
        <is>
          <t>cnbc_unadjusted</t>
        </is>
      </c>
      <c r="D43" t="inlineStr">
        <is>
          <t>2023-12-29</t>
        </is>
      </c>
      <c r="E43" t="n">
        <v>0.655</v>
      </c>
      <c r="F43" t="n">
        <v>0.655</v>
      </c>
      <c r="G43" t="inlineStr">
        <is>
          <t>match</t>
        </is>
      </c>
    </row>
    <row r="44">
      <c r="A44" t="inlineStr">
        <is>
          <t>ALK.AX</t>
        </is>
      </c>
      <c r="B44" t="n">
        <v>2023</v>
      </c>
      <c r="C44" t="inlineStr">
        <is>
          <t>cnbc_adjusted</t>
        </is>
      </c>
      <c r="D44" t="inlineStr">
        <is>
          <t>2023-12-29</t>
        </is>
      </c>
      <c r="E44" t="n">
        <v>0.655</v>
      </c>
      <c r="F44" t="n">
        <v>0.655</v>
      </c>
      <c r="G44" t="inlineStr">
        <is>
          <t>match</t>
        </is>
      </c>
    </row>
    <row r="45">
      <c r="A45" t="inlineStr">
        <is>
          <t>ALK.AX</t>
        </is>
      </c>
      <c r="B45" t="n">
        <v>2024</v>
      </c>
      <c r="C45" t="inlineStr">
        <is>
          <t>cnbc_unadjusted</t>
        </is>
      </c>
      <c r="D45" t="inlineStr">
        <is>
          <t>2024-12-31</t>
        </is>
      </c>
      <c r="E45" t="n">
        <v>0.51</v>
      </c>
      <c r="F45" t="n">
        <v>0.51</v>
      </c>
      <c r="G45" t="inlineStr">
        <is>
          <t>match</t>
        </is>
      </c>
    </row>
    <row r="46">
      <c r="A46" t="inlineStr">
        <is>
          <t>ALK.AX</t>
        </is>
      </c>
      <c r="B46" t="n">
        <v>2024</v>
      </c>
      <c r="C46" t="inlineStr">
        <is>
          <t>cnbc_adjusted</t>
        </is>
      </c>
      <c r="D46" t="inlineStr">
        <is>
          <t>2024-12-31</t>
        </is>
      </c>
      <c r="E46" t="n">
        <v>0.51</v>
      </c>
      <c r="F46" t="n">
        <v>0.51</v>
      </c>
      <c r="G46" t="inlineStr">
        <is>
          <t>match</t>
        </is>
      </c>
    </row>
    <row r="47">
      <c r="A47" t="inlineStr">
        <is>
          <t>ALK.AX</t>
        </is>
      </c>
      <c r="B47" t="n">
        <v>2025</v>
      </c>
      <c r="C47" t="inlineStr">
        <is>
          <t>cnbc_unadjusted</t>
        </is>
      </c>
      <c r="D47" t="inlineStr">
        <is>
          <t>2025-12-31</t>
        </is>
      </c>
      <c r="E47" t="n">
        <v>1.345</v>
      </c>
      <c r="F47" t="n">
        <v>1.345</v>
      </c>
      <c r="G47" t="inlineStr">
        <is>
          <t>match</t>
        </is>
      </c>
    </row>
    <row r="48">
      <c r="A48" t="inlineStr">
        <is>
          <t>ALK.AX</t>
        </is>
      </c>
      <c r="B48" t="n">
        <v>2025</v>
      </c>
      <c r="C48" t="inlineStr">
        <is>
          <t>cnbc_adjusted</t>
        </is>
      </c>
      <c r="D48" t="inlineStr">
        <is>
          <t>2025-12-31</t>
        </is>
      </c>
      <c r="E48" t="n">
        <v>1.345</v>
      </c>
      <c r="F48" t="n">
        <v>1.345</v>
      </c>
      <c r="G48" t="inlineStr">
        <is>
          <t>match</t>
        </is>
      </c>
    </row>
    <row r="49">
      <c r="A49" t="inlineStr">
        <is>
          <t>ALK.AX</t>
        </is>
      </c>
      <c r="B49" t="n">
        <v>2026</v>
      </c>
      <c r="C49" t="inlineStr">
        <is>
          <t>cnbc_unadjusted</t>
        </is>
      </c>
      <c r="D49" t="inlineStr">
        <is>
          <t>2026-09-25</t>
        </is>
      </c>
      <c r="E49" t="n">
        <v>1.895</v>
      </c>
      <c r="F49" t="n">
        <v>1.895</v>
      </c>
      <c r="G49" t="inlineStr">
        <is>
          <t>match</t>
        </is>
      </c>
    </row>
    <row r="50">
      <c r="A50" t="inlineStr">
        <is>
          <t>ALK.AX</t>
        </is>
      </c>
      <c r="B50" t="n">
        <v>2026</v>
      </c>
      <c r="C50" t="inlineStr">
        <is>
          <t>cnbc_adjusted</t>
        </is>
      </c>
      <c r="D50" t="inlineStr">
        <is>
          <t>2026-09-25</t>
        </is>
      </c>
      <c r="E50" t="n">
        <v>1.895</v>
      </c>
      <c r="F50" t="n">
        <v>1.895</v>
      </c>
      <c r="G50" t="inlineStr">
        <is>
          <t>match</t>
        </is>
      </c>
    </row>
    <row r="51">
      <c r="A51" t="inlineStr">
        <is>
          <t>AMRQ.L</t>
        </is>
      </c>
      <c r="B51" t="n">
        <v>2020</v>
      </c>
      <c r="C51" t="inlineStr">
        <is>
          <t>cnbc_unadjusted</t>
        </is>
      </c>
      <c r="D51" t="inlineStr">
        <is>
          <t>2020-12-31</t>
        </is>
      </c>
      <c r="E51" t="n">
        <v>44.5</v>
      </c>
      <c r="F51" t="n">
        <v>44.5</v>
      </c>
      <c r="G51" t="inlineStr">
        <is>
          <t>match</t>
        </is>
      </c>
    </row>
    <row r="52">
      <c r="A52" t="inlineStr">
        <is>
          <t>AMRQ.L</t>
        </is>
      </c>
      <c r="B52" t="n">
        <v>2020</v>
      </c>
      <c r="C52" t="inlineStr">
        <is>
          <t>cnbc_adjusted</t>
        </is>
      </c>
      <c r="D52" t="inlineStr">
        <is>
          <t>2020-12-31</t>
        </is>
      </c>
      <c r="E52" t="n">
        <v>44.5</v>
      </c>
      <c r="F52" t="n">
        <v>44.5</v>
      </c>
      <c r="G52" t="inlineStr">
        <is>
          <t>match</t>
        </is>
      </c>
    </row>
    <row r="53">
      <c r="A53" t="inlineStr">
        <is>
          <t>AMRQ.L</t>
        </is>
      </c>
      <c r="B53" t="n">
        <v>2021</v>
      </c>
      <c r="C53" t="inlineStr">
        <is>
          <t>cnbc_unadjusted</t>
        </is>
      </c>
      <c r="D53" t="inlineStr">
        <is>
          <t>2021-12-31</t>
        </is>
      </c>
      <c r="E53" t="n">
        <v>34.5</v>
      </c>
      <c r="F53" t="n">
        <v>34.5</v>
      </c>
      <c r="G53" t="inlineStr">
        <is>
          <t>match</t>
        </is>
      </c>
    </row>
    <row r="54">
      <c r="A54" t="inlineStr">
        <is>
          <t>AMRQ.L</t>
        </is>
      </c>
      <c r="B54" t="n">
        <v>2021</v>
      </c>
      <c r="C54" t="inlineStr">
        <is>
          <t>cnbc_adjusted</t>
        </is>
      </c>
      <c r="D54" t="inlineStr">
        <is>
          <t>2021-12-31</t>
        </is>
      </c>
      <c r="E54" t="n">
        <v>34.5</v>
      </c>
      <c r="F54" t="n">
        <v>34.5</v>
      </c>
      <c r="G54" t="inlineStr">
        <is>
          <t>match</t>
        </is>
      </c>
    </row>
    <row r="55">
      <c r="A55" t="inlineStr">
        <is>
          <t>AMRQ.L</t>
        </is>
      </c>
      <c r="B55" t="n">
        <v>2022</v>
      </c>
      <c r="C55" t="inlineStr">
        <is>
          <t>cnbc_unadjusted</t>
        </is>
      </c>
      <c r="D55" t="inlineStr">
        <is>
          <t>2022-12-30</t>
        </is>
      </c>
      <c r="E55" t="n">
        <v>41.5</v>
      </c>
      <c r="F55" t="n">
        <v>41.5</v>
      </c>
      <c r="G55" t="inlineStr">
        <is>
          <t>match</t>
        </is>
      </c>
    </row>
    <row r="56">
      <c r="A56" t="inlineStr">
        <is>
          <t>AMRQ.L</t>
        </is>
      </c>
      <c r="B56" t="n">
        <v>2022</v>
      </c>
      <c r="C56" t="inlineStr">
        <is>
          <t>cnbc_adjusted</t>
        </is>
      </c>
      <c r="D56" t="inlineStr">
        <is>
          <t>2022-12-30</t>
        </is>
      </c>
      <c r="E56" t="n">
        <v>41.5</v>
      </c>
      <c r="F56" t="n">
        <v>41.5</v>
      </c>
      <c r="G56" t="inlineStr">
        <is>
          <t>match</t>
        </is>
      </c>
    </row>
    <row r="57">
      <c r="A57" t="inlineStr">
        <is>
          <t>AMRQ.L</t>
        </is>
      </c>
      <c r="B57" t="n">
        <v>2023</v>
      </c>
      <c r="C57" t="inlineStr">
        <is>
          <t>cnbc_unadjusted</t>
        </is>
      </c>
      <c r="D57" t="inlineStr">
        <is>
          <t>2023-12-29</t>
        </is>
      </c>
      <c r="E57" t="n">
        <v>63.5</v>
      </c>
      <c r="F57" t="n">
        <v>63.5</v>
      </c>
      <c r="G57" t="inlineStr">
        <is>
          <t>match</t>
        </is>
      </c>
    </row>
    <row r="58">
      <c r="A58" t="inlineStr">
        <is>
          <t>AMRQ.L</t>
        </is>
      </c>
      <c r="B58" t="n">
        <v>2023</v>
      </c>
      <c r="C58" t="inlineStr">
        <is>
          <t>cnbc_adjusted</t>
        </is>
      </c>
      <c r="D58" t="inlineStr">
        <is>
          <t>2023-12-29</t>
        </is>
      </c>
      <c r="E58" t="n">
        <v>63.5</v>
      </c>
      <c r="F58" t="n">
        <v>63.5</v>
      </c>
      <c r="G58" t="inlineStr">
        <is>
          <t>match</t>
        </is>
      </c>
    </row>
    <row r="59">
      <c r="A59" t="inlineStr">
        <is>
          <t>AMRQ.L</t>
        </is>
      </c>
      <c r="B59" t="n">
        <v>2024</v>
      </c>
      <c r="C59" t="inlineStr">
        <is>
          <t>cnbc_unadjusted</t>
        </is>
      </c>
      <c r="D59" t="inlineStr">
        <is>
          <t>2024-12-31</t>
        </is>
      </c>
      <c r="E59" t="n">
        <v>102</v>
      </c>
      <c r="F59" t="n">
        <v>102</v>
      </c>
      <c r="G59" t="inlineStr">
        <is>
          <t>match</t>
        </is>
      </c>
    </row>
    <row r="60">
      <c r="A60" t="inlineStr">
        <is>
          <t>AMRQ.L</t>
        </is>
      </c>
      <c r="B60" t="n">
        <v>2024</v>
      </c>
      <c r="C60" t="inlineStr">
        <is>
          <t>cnbc_adjusted</t>
        </is>
      </c>
      <c r="D60" t="inlineStr">
        <is>
          <t>2024-12-31</t>
        </is>
      </c>
      <c r="E60" t="n">
        <v>102</v>
      </c>
      <c r="F60" t="n">
        <v>102</v>
      </c>
      <c r="G60" t="inlineStr">
        <is>
          <t>match</t>
        </is>
      </c>
    </row>
    <row r="61">
      <c r="A61" t="inlineStr">
        <is>
          <t>AMRQ.L</t>
        </is>
      </c>
      <c r="B61" t="n">
        <v>2025</v>
      </c>
      <c r="C61" t="inlineStr">
        <is>
          <t>cnbc_unadjusted</t>
        </is>
      </c>
      <c r="D61" t="inlineStr">
        <is>
          <t>2025-12-31</t>
        </is>
      </c>
      <c r="E61" t="n">
        <v>109</v>
      </c>
      <c r="F61" t="n">
        <v>109</v>
      </c>
      <c r="G61" t="inlineStr">
        <is>
          <t>match</t>
        </is>
      </c>
    </row>
    <row r="62">
      <c r="A62" t="inlineStr">
        <is>
          <t>AMRQ.L</t>
        </is>
      </c>
      <c r="B62" t="n">
        <v>2025</v>
      </c>
      <c r="C62" t="inlineStr">
        <is>
          <t>cnbc_adjusted</t>
        </is>
      </c>
      <c r="D62" t="inlineStr">
        <is>
          <t>2025-12-31</t>
        </is>
      </c>
      <c r="E62" t="n">
        <v>109</v>
      </c>
      <c r="F62" t="n">
        <v>109</v>
      </c>
      <c r="G62" t="inlineStr">
        <is>
          <t>match</t>
        </is>
      </c>
    </row>
    <row r="63">
      <c r="A63" t="inlineStr">
        <is>
          <t>AMRQ.L</t>
        </is>
      </c>
      <c r="B63" t="n">
        <v>2026</v>
      </c>
      <c r="C63" t="inlineStr">
        <is>
          <t>cnbc_unadjusted</t>
        </is>
      </c>
      <c r="D63" t="inlineStr">
        <is>
          <t>2026-09-25</t>
        </is>
      </c>
      <c r="E63" t="n">
        <v>119.5</v>
      </c>
      <c r="F63" t="n">
        <v>119.5</v>
      </c>
      <c r="G63" t="inlineStr">
        <is>
          <t>match</t>
        </is>
      </c>
    </row>
    <row r="64">
      <c r="A64" t="inlineStr">
        <is>
          <t>AMRQ.L</t>
        </is>
      </c>
      <c r="B64" t="n">
        <v>2026</v>
      </c>
      <c r="C64" t="inlineStr">
        <is>
          <t>cnbc_adjusted</t>
        </is>
      </c>
      <c r="D64" t="inlineStr">
        <is>
          <t>2026-09-25</t>
        </is>
      </c>
      <c r="E64" t="n">
        <v>119.5</v>
      </c>
      <c r="F64" t="n">
        <v>119.5</v>
      </c>
      <c r="G64" t="inlineStr">
        <is>
          <t>match</t>
        </is>
      </c>
    </row>
    <row r="65">
      <c r="A65" t="inlineStr">
        <is>
          <t>AR.TO</t>
        </is>
      </c>
      <c r="B65" t="n">
        <v>2017</v>
      </c>
      <c r="C65" t="inlineStr">
        <is>
          <t>tmx</t>
        </is>
      </c>
      <c r="D65" t="inlineStr">
        <is>
          <t>2017-12-29</t>
        </is>
      </c>
      <c r="E65" t="n">
        <v>2.4</v>
      </c>
      <c r="F65" t="n">
        <v>2.4</v>
      </c>
      <c r="G65" t="inlineStr">
        <is>
          <t>match</t>
        </is>
      </c>
    </row>
    <row r="66">
      <c r="A66" t="inlineStr">
        <is>
          <t>AR.TO</t>
        </is>
      </c>
      <c r="B66" t="n">
        <v>2018</v>
      </c>
      <c r="C66" t="inlineStr">
        <is>
          <t>tmx</t>
        </is>
      </c>
      <c r="D66" t="inlineStr">
        <is>
          <t>2018-12-31</t>
        </is>
      </c>
      <c r="E66" t="n">
        <v>1.56</v>
      </c>
      <c r="F66" t="n">
        <v>1.56</v>
      </c>
      <c r="G66" t="inlineStr">
        <is>
          <t>match</t>
        </is>
      </c>
    </row>
    <row r="67">
      <c r="A67" t="inlineStr">
        <is>
          <t>AR.TO</t>
        </is>
      </c>
      <c r="B67" t="n">
        <v>2019</v>
      </c>
      <c r="C67" t="inlineStr">
        <is>
          <t>tmx</t>
        </is>
      </c>
      <c r="D67" t="inlineStr">
        <is>
          <t>2019-12-31</t>
        </is>
      </c>
      <c r="E67" t="n">
        <v>1.95</v>
      </c>
      <c r="F67" t="n">
        <v>1.95</v>
      </c>
      <c r="G67" t="inlineStr">
        <is>
          <t>match</t>
        </is>
      </c>
    </row>
    <row r="68">
      <c r="A68" t="inlineStr">
        <is>
          <t>AR.TO</t>
        </is>
      </c>
      <c r="B68" t="n">
        <v>2020</v>
      </c>
      <c r="C68" t="inlineStr">
        <is>
          <t>tmx</t>
        </is>
      </c>
      <c r="D68" t="inlineStr">
        <is>
          <t>2020-12-31</t>
        </is>
      </c>
      <c r="E68" t="n">
        <v>2.74</v>
      </c>
      <c r="F68" t="n">
        <v>2.74</v>
      </c>
      <c r="G68" t="inlineStr">
        <is>
          <t>match</t>
        </is>
      </c>
    </row>
    <row r="69">
      <c r="A69" t="inlineStr">
        <is>
          <t>AR.TO</t>
        </is>
      </c>
      <c r="B69" t="n">
        <v>2021</v>
      </c>
      <c r="C69" t="inlineStr">
        <is>
          <t>tmx</t>
        </is>
      </c>
      <c r="D69" t="inlineStr">
        <is>
          <t>2021-12-31</t>
        </is>
      </c>
      <c r="E69" t="n">
        <v>2.4</v>
      </c>
      <c r="F69" t="n">
        <v>2.4</v>
      </c>
      <c r="G69" t="inlineStr">
        <is>
          <t>match</t>
        </is>
      </c>
    </row>
    <row r="70">
      <c r="A70" t="inlineStr">
        <is>
          <t>AR.TO</t>
        </is>
      </c>
      <c r="B70" t="n">
        <v>2022</v>
      </c>
      <c r="C70" t="inlineStr">
        <is>
          <t>tmx</t>
        </is>
      </c>
      <c r="D70" t="inlineStr">
        <is>
          <t>2022-12-30</t>
        </is>
      </c>
      <c r="E70" t="n">
        <v>0.52</v>
      </c>
      <c r="F70" t="n">
        <v>0.52</v>
      </c>
      <c r="G70" t="inlineStr">
        <is>
          <t>match</t>
        </is>
      </c>
    </row>
    <row r="71">
      <c r="A71" t="inlineStr">
        <is>
          <t>AR.TO</t>
        </is>
      </c>
      <c r="B71" t="n">
        <v>2023</v>
      </c>
      <c r="C71" t="inlineStr">
        <is>
          <t>tmx</t>
        </is>
      </c>
      <c r="D71" t="inlineStr">
        <is>
          <t>2023-12-29</t>
        </is>
      </c>
      <c r="E71" t="n">
        <v>0.47</v>
      </c>
      <c r="F71" t="n">
        <v>0.47</v>
      </c>
      <c r="G71" t="inlineStr">
        <is>
          <t>match</t>
        </is>
      </c>
    </row>
    <row r="72">
      <c r="A72" t="inlineStr">
        <is>
          <t>AR.TO</t>
        </is>
      </c>
      <c r="B72" t="n">
        <v>2024</v>
      </c>
      <c r="C72" t="inlineStr">
        <is>
          <t>tmx</t>
        </is>
      </c>
      <c r="D72" t="inlineStr">
        <is>
          <t>2024-07-16</t>
        </is>
      </c>
      <c r="E72" t="n">
        <v>0.52</v>
      </c>
      <c r="F72" t="n">
        <v>0.52</v>
      </c>
      <c r="G72" t="inlineStr">
        <is>
          <t>match</t>
        </is>
      </c>
    </row>
    <row r="73">
      <c r="A73" t="inlineStr">
        <is>
          <t>ASE.V</t>
        </is>
      </c>
      <c r="B73" t="n">
        <v>2017</v>
      </c>
      <c r="C73" t="inlineStr">
        <is>
          <t>tmx</t>
        </is>
      </c>
      <c r="D73" t="inlineStr">
        <is>
          <t>2017-12-28</t>
        </is>
      </c>
      <c r="E73" t="n">
        <v>0.075</v>
      </c>
      <c r="F73" t="n">
        <v>0.075</v>
      </c>
      <c r="G73" t="inlineStr">
        <is>
          <t>match</t>
        </is>
      </c>
    </row>
    <row r="74">
      <c r="A74" t="inlineStr">
        <is>
          <t>ASE.V</t>
        </is>
      </c>
      <c r="B74" t="n">
        <v>2018</v>
      </c>
      <c r="C74" t="inlineStr">
        <is>
          <t>tmx</t>
        </is>
      </c>
      <c r="D74" t="inlineStr">
        <is>
          <t>2018-12-31</t>
        </is>
      </c>
      <c r="E74" t="n">
        <v>0.03</v>
      </c>
      <c r="F74" t="n">
        <v>0.03</v>
      </c>
      <c r="G74" t="inlineStr">
        <is>
          <t>match</t>
        </is>
      </c>
    </row>
    <row r="75">
      <c r="A75" t="inlineStr">
        <is>
          <t>ASE.V</t>
        </is>
      </c>
      <c r="B75" t="n">
        <v>2019</v>
      </c>
      <c r="C75" t="inlineStr">
        <is>
          <t>tmx</t>
        </is>
      </c>
      <c r="D75" t="inlineStr">
        <is>
          <t>2019-12-31</t>
        </is>
      </c>
      <c r="E75" t="n">
        <v>0.045</v>
      </c>
      <c r="F75" t="n">
        <v>0.045</v>
      </c>
      <c r="G75" t="inlineStr">
        <is>
          <t>match</t>
        </is>
      </c>
    </row>
    <row r="76">
      <c r="A76" t="inlineStr">
        <is>
          <t>ASE.V</t>
        </is>
      </c>
      <c r="B76" t="n">
        <v>2020</v>
      </c>
      <c r="C76" t="inlineStr">
        <is>
          <t>tmx</t>
        </is>
      </c>
      <c r="D76" t="inlineStr">
        <is>
          <t>2020-12-31</t>
        </is>
      </c>
      <c r="E76" t="n">
        <v>0.11</v>
      </c>
      <c r="F76" t="n">
        <v>0.11</v>
      </c>
      <c r="G76" t="inlineStr">
        <is>
          <t>match</t>
        </is>
      </c>
    </row>
    <row r="77">
      <c r="A77" t="inlineStr">
        <is>
          <t>ASE.V</t>
        </is>
      </c>
      <c r="B77" t="n">
        <v>2021</v>
      </c>
      <c r="C77" t="inlineStr">
        <is>
          <t>tmx</t>
        </is>
      </c>
      <c r="D77" t="inlineStr">
        <is>
          <t>2021-12-31</t>
        </is>
      </c>
      <c r="E77" t="n">
        <v>1.22</v>
      </c>
      <c r="F77" t="n">
        <v>1.22</v>
      </c>
      <c r="G77" t="inlineStr">
        <is>
          <t>match</t>
        </is>
      </c>
    </row>
    <row r="78">
      <c r="A78" t="inlineStr">
        <is>
          <t>ASE.V</t>
        </is>
      </c>
      <c r="B78" t="n">
        <v>2022</v>
      </c>
      <c r="C78" t="inlineStr">
        <is>
          <t>tmx</t>
        </is>
      </c>
      <c r="D78" t="inlineStr">
        <is>
          <t>2022-12-30</t>
        </is>
      </c>
      <c r="E78" t="n">
        <v>1.37</v>
      </c>
      <c r="F78" t="n">
        <v>1.37</v>
      </c>
      <c r="G78" t="inlineStr">
        <is>
          <t>match</t>
        </is>
      </c>
    </row>
    <row r="79">
      <c r="A79" t="inlineStr">
        <is>
          <t>ASE.V</t>
        </is>
      </c>
      <c r="B79" t="n">
        <v>2023</v>
      </c>
      <c r="C79" t="inlineStr">
        <is>
          <t>tmx</t>
        </is>
      </c>
      <c r="D79" t="inlineStr">
        <is>
          <t>2023-12-29</t>
        </is>
      </c>
      <c r="E79" t="n">
        <v>1.42</v>
      </c>
      <c r="F79" t="n">
        <v>1.42</v>
      </c>
      <c r="G79" t="inlineStr">
        <is>
          <t>match</t>
        </is>
      </c>
    </row>
    <row r="80">
      <c r="A80" t="inlineStr">
        <is>
          <t>ASE.V</t>
        </is>
      </c>
      <c r="B80" t="n">
        <v>2024</v>
      </c>
      <c r="C80" t="inlineStr">
        <is>
          <t>tmx</t>
        </is>
      </c>
      <c r="D80" t="inlineStr">
        <is>
          <t>2024-12-31</t>
        </is>
      </c>
      <c r="E80" t="n">
        <v>1.05</v>
      </c>
      <c r="F80" t="n">
        <v>1.05</v>
      </c>
      <c r="G80" t="inlineStr">
        <is>
          <t>match</t>
        </is>
      </c>
    </row>
    <row r="81">
      <c r="A81" t="inlineStr">
        <is>
          <t>ASE.V</t>
        </is>
      </c>
      <c r="B81" t="n">
        <v>2025</v>
      </c>
      <c r="C81" t="inlineStr">
        <is>
          <t>tmx</t>
        </is>
      </c>
      <c r="D81" t="inlineStr">
        <is>
          <t>2025-12-31</t>
        </is>
      </c>
      <c r="E81" t="n">
        <v>1.65</v>
      </c>
      <c r="F81" t="n">
        <v>1.65</v>
      </c>
      <c r="G81" t="inlineStr">
        <is>
          <t>match</t>
        </is>
      </c>
    </row>
    <row r="82">
      <c r="A82" t="inlineStr">
        <is>
          <t>ASE.V</t>
        </is>
      </c>
      <c r="B82" t="n">
        <v>2026</v>
      </c>
      <c r="C82" t="inlineStr">
        <is>
          <t>tmx</t>
        </is>
      </c>
      <c r="D82" t="inlineStr">
        <is>
          <t>2026-09-25</t>
        </is>
      </c>
      <c r="E82" t="n">
        <v>0.86</v>
      </c>
      <c r="F82" t="n">
        <v>0.86</v>
      </c>
      <c r="G82" t="inlineStr">
        <is>
          <t>match</t>
        </is>
      </c>
    </row>
    <row r="83">
      <c r="A83" t="inlineStr">
        <is>
          <t>AU</t>
        </is>
      </c>
      <c r="B83" t="n">
        <v>2017</v>
      </c>
      <c r="C83" t="inlineStr">
        <is>
          <t>nasdaq</t>
        </is>
      </c>
      <c r="D83" t="inlineStr">
        <is>
          <t>2017-12-29</t>
        </is>
      </c>
      <c r="E83" t="n">
        <v>10.19</v>
      </c>
      <c r="F83" t="n">
        <v>10.19</v>
      </c>
      <c r="G83" t="inlineStr">
        <is>
          <t>match</t>
        </is>
      </c>
    </row>
    <row r="84">
      <c r="A84" t="inlineStr">
        <is>
          <t>AU</t>
        </is>
      </c>
      <c r="B84" t="n">
        <v>2018</v>
      </c>
      <c r="C84" t="inlineStr">
        <is>
          <t>nasdaq</t>
        </is>
      </c>
      <c r="D84" t="inlineStr">
        <is>
          <t>2018-12-31</t>
        </is>
      </c>
      <c r="E84" t="n">
        <v>12.55</v>
      </c>
      <c r="F84" t="n">
        <v>12.55</v>
      </c>
      <c r="G84" t="inlineStr">
        <is>
          <t>match</t>
        </is>
      </c>
    </row>
    <row r="85">
      <c r="A85" t="inlineStr">
        <is>
          <t>AU</t>
        </is>
      </c>
      <c r="B85" t="n">
        <v>2019</v>
      </c>
      <c r="C85" t="inlineStr">
        <is>
          <t>nasdaq</t>
        </is>
      </c>
      <c r="D85" t="inlineStr">
        <is>
          <t>2019-12-31</t>
        </is>
      </c>
      <c r="E85" t="n">
        <v>22.34</v>
      </c>
      <c r="F85" t="n">
        <v>22.34</v>
      </c>
      <c r="G85" t="inlineStr">
        <is>
          <t>match</t>
        </is>
      </c>
    </row>
    <row r="86">
      <c r="A86" t="inlineStr">
        <is>
          <t>AU</t>
        </is>
      </c>
      <c r="B86" t="n">
        <v>2020</v>
      </c>
      <c r="C86" t="inlineStr">
        <is>
          <t>nasdaq</t>
        </is>
      </c>
      <c r="D86" t="inlineStr">
        <is>
          <t>2020-12-31</t>
        </is>
      </c>
      <c r="E86" t="n">
        <v>22.62</v>
      </c>
      <c r="F86" t="n">
        <v>22.62</v>
      </c>
      <c r="G86" t="inlineStr">
        <is>
          <t>match</t>
        </is>
      </c>
    </row>
    <row r="87">
      <c r="A87" t="inlineStr">
        <is>
          <t>AU</t>
        </is>
      </c>
      <c r="B87" t="n">
        <v>2021</v>
      </c>
      <c r="C87" t="inlineStr">
        <is>
          <t>nasdaq</t>
        </is>
      </c>
      <c r="D87" t="inlineStr">
        <is>
          <t>2021-12-31</t>
        </is>
      </c>
      <c r="E87" t="n">
        <v>20.98</v>
      </c>
      <c r="F87" t="n">
        <v>20.98</v>
      </c>
      <c r="G87" t="inlineStr">
        <is>
          <t>match</t>
        </is>
      </c>
    </row>
    <row r="88">
      <c r="A88" t="inlineStr">
        <is>
          <t>AU</t>
        </is>
      </c>
      <c r="B88" t="n">
        <v>2022</v>
      </c>
      <c r="C88" t="inlineStr">
        <is>
          <t>nasdaq</t>
        </is>
      </c>
      <c r="D88" t="inlineStr">
        <is>
          <t>2022-12-30</t>
        </is>
      </c>
      <c r="E88" t="n">
        <v>19.42</v>
      </c>
      <c r="F88" t="n">
        <v>19.42</v>
      </c>
      <c r="G88" t="inlineStr">
        <is>
          <t>match</t>
        </is>
      </c>
    </row>
    <row r="89">
      <c r="A89" t="inlineStr">
        <is>
          <t>AU</t>
        </is>
      </c>
      <c r="B89" t="n">
        <v>2023</v>
      </c>
      <c r="C89" t="inlineStr">
        <is>
          <t>nasdaq</t>
        </is>
      </c>
      <c r="D89" t="inlineStr">
        <is>
          <t>2023-12-29</t>
        </is>
      </c>
      <c r="E89" t="n">
        <v>18.69</v>
      </c>
      <c r="F89" t="n">
        <v>18.69</v>
      </c>
      <c r="G89" t="inlineStr">
        <is>
          <t>match</t>
        </is>
      </c>
    </row>
    <row r="90">
      <c r="A90" t="inlineStr">
        <is>
          <t>AU</t>
        </is>
      </c>
      <c r="B90" t="n">
        <v>2024</v>
      </c>
      <c r="C90" t="inlineStr">
        <is>
          <t>nasdaq</t>
        </is>
      </c>
      <c r="D90" t="inlineStr">
        <is>
          <t>2024-12-31</t>
        </is>
      </c>
      <c r="E90" t="n">
        <v>23.08</v>
      </c>
      <c r="F90" t="n">
        <v>23.08</v>
      </c>
      <c r="G90" t="inlineStr">
        <is>
          <t>match</t>
        </is>
      </c>
    </row>
    <row r="91">
      <c r="A91" t="inlineStr">
        <is>
          <t>AU</t>
        </is>
      </c>
      <c r="B91" t="n">
        <v>2025</v>
      </c>
      <c r="C91" t="inlineStr">
        <is>
          <t>nasdaq</t>
        </is>
      </c>
      <c r="D91" t="inlineStr">
        <is>
          <t>2025-12-31</t>
        </is>
      </c>
      <c r="E91" t="n">
        <v>85.28</v>
      </c>
      <c r="F91" t="n">
        <v>85.28</v>
      </c>
      <c r="G91" t="inlineStr">
        <is>
          <t>match</t>
        </is>
      </c>
    </row>
    <row r="92">
      <c r="A92" t="inlineStr">
        <is>
          <t>AU</t>
        </is>
      </c>
      <c r="B92" t="n">
        <v>2026</v>
      </c>
      <c r="C92" t="inlineStr">
        <is>
          <t>nasdaq</t>
        </is>
      </c>
      <c r="D92" t="inlineStr">
        <is>
          <t>2026-09-25</t>
        </is>
      </c>
      <c r="E92" t="n">
        <v>99.03</v>
      </c>
      <c r="F92" t="n">
        <v>99.03</v>
      </c>
      <c r="G92" t="inlineStr">
        <is>
          <t>match</t>
        </is>
      </c>
    </row>
    <row r="93">
      <c r="A93" t="inlineStr">
        <is>
          <t>AUMB.V</t>
        </is>
      </c>
      <c r="B93" t="n">
        <v>2018</v>
      </c>
      <c r="C93" t="inlineStr">
        <is>
          <t>tmx</t>
        </is>
      </c>
      <c r="D93" t="inlineStr">
        <is>
          <t>2018-12-31</t>
        </is>
      </c>
      <c r="E93" t="n">
        <v>0.29</v>
      </c>
      <c r="F93" t="n">
        <v>0.29</v>
      </c>
      <c r="G93" t="inlineStr">
        <is>
          <t>match</t>
        </is>
      </c>
    </row>
    <row r="94">
      <c r="A94" t="inlineStr">
        <is>
          <t>AUMB.V</t>
        </is>
      </c>
      <c r="B94" t="n">
        <v>2019</v>
      </c>
      <c r="C94" t="inlineStr">
        <is>
          <t>tmx</t>
        </is>
      </c>
      <c r="D94" t="inlineStr">
        <is>
          <t>2019-12-31</t>
        </is>
      </c>
      <c r="E94" t="n">
        <v>0.25</v>
      </c>
      <c r="F94" t="n">
        <v>0.25</v>
      </c>
      <c r="G94" t="inlineStr">
        <is>
          <t>match</t>
        </is>
      </c>
    </row>
    <row r="95">
      <c r="A95" t="inlineStr">
        <is>
          <t>AUMB.V</t>
        </is>
      </c>
      <c r="B95" t="n">
        <v>2020</v>
      </c>
      <c r="C95" t="inlineStr">
        <is>
          <t>tmx</t>
        </is>
      </c>
      <c r="D95" t="inlineStr">
        <is>
          <t>2020-12-31</t>
        </is>
      </c>
      <c r="E95" t="n">
        <v>0.51</v>
      </c>
      <c r="F95" t="n">
        <v>0.51</v>
      </c>
      <c r="G95" t="inlineStr">
        <is>
          <t>match</t>
        </is>
      </c>
    </row>
    <row r="96">
      <c r="A96" t="inlineStr">
        <is>
          <t>AUMB.V</t>
        </is>
      </c>
      <c r="B96" t="n">
        <v>2021</v>
      </c>
      <c r="C96" t="inlineStr">
        <is>
          <t>tmx</t>
        </is>
      </c>
      <c r="D96" t="inlineStr">
        <is>
          <t>2021-12-31</t>
        </is>
      </c>
      <c r="E96" t="n">
        <v>0.305</v>
      </c>
      <c r="F96" t="n">
        <v>0.305</v>
      </c>
      <c r="G96" t="inlineStr">
        <is>
          <t>match</t>
        </is>
      </c>
    </row>
    <row r="97">
      <c r="A97" t="inlineStr">
        <is>
          <t>AUMB.V</t>
        </is>
      </c>
      <c r="B97" t="n">
        <v>2022</v>
      </c>
      <c r="C97" t="inlineStr">
        <is>
          <t>tmx</t>
        </is>
      </c>
      <c r="D97" t="inlineStr">
        <is>
          <t>2022-12-30</t>
        </is>
      </c>
      <c r="E97" t="n">
        <v>0.16</v>
      </c>
      <c r="F97" t="n">
        <v>0.16</v>
      </c>
      <c r="G97" t="inlineStr">
        <is>
          <t>match</t>
        </is>
      </c>
    </row>
    <row r="98">
      <c r="A98" t="inlineStr">
        <is>
          <t>AUMB.V</t>
        </is>
      </c>
      <c r="B98" t="n">
        <v>2023</v>
      </c>
      <c r="C98" t="inlineStr">
        <is>
          <t>tmx</t>
        </is>
      </c>
      <c r="D98" t="inlineStr">
        <is>
          <t>2023-12-29</t>
        </is>
      </c>
      <c r="E98" t="n">
        <v>0.075</v>
      </c>
      <c r="F98" t="n">
        <v>0.075</v>
      </c>
      <c r="G98" t="inlineStr">
        <is>
          <t>match</t>
        </is>
      </c>
    </row>
    <row r="99">
      <c r="A99" t="inlineStr">
        <is>
          <t>AUMB.V</t>
        </is>
      </c>
      <c r="B99" t="n">
        <v>2024</v>
      </c>
      <c r="C99" t="inlineStr">
        <is>
          <t>tmx</t>
        </is>
      </c>
      <c r="D99" t="inlineStr">
        <is>
          <t>2024-12-31</t>
        </is>
      </c>
      <c r="E99" t="n">
        <v>0.155</v>
      </c>
      <c r="F99" t="n">
        <v>0.155</v>
      </c>
      <c r="G99" t="inlineStr">
        <is>
          <t>match</t>
        </is>
      </c>
    </row>
    <row r="100">
      <c r="A100" t="inlineStr">
        <is>
          <t>AUMB.V</t>
        </is>
      </c>
      <c r="B100" t="n">
        <v>2025</v>
      </c>
      <c r="C100" t="inlineStr">
        <is>
          <t>tmx</t>
        </is>
      </c>
      <c r="D100" t="inlineStr">
        <is>
          <t>2025-12-31</t>
        </is>
      </c>
      <c r="E100" t="n">
        <v>0.88</v>
      </c>
      <c r="F100" t="n">
        <v>0.88</v>
      </c>
      <c r="G100" t="inlineStr">
        <is>
          <t>match</t>
        </is>
      </c>
    </row>
    <row r="101">
      <c r="A101" t="inlineStr">
        <is>
          <t>AUMB.V</t>
        </is>
      </c>
      <c r="B101" t="n">
        <v>2026</v>
      </c>
      <c r="C101" t="inlineStr">
        <is>
          <t>tmx</t>
        </is>
      </c>
      <c r="D101" t="inlineStr">
        <is>
          <t>2026-09-25</t>
        </is>
      </c>
      <c r="E101" t="n">
        <v>0.83</v>
      </c>
      <c r="F101" t="n">
        <v>0.83</v>
      </c>
      <c r="G101" t="inlineStr">
        <is>
          <t>match</t>
        </is>
      </c>
    </row>
    <row r="102">
      <c r="A102" t="inlineStr">
        <is>
          <t>BTO.TO</t>
        </is>
      </c>
      <c r="B102" t="n">
        <v>2017</v>
      </c>
      <c r="C102" t="inlineStr">
        <is>
          <t>tmx</t>
        </is>
      </c>
      <c r="D102" t="inlineStr">
        <is>
          <t>2017-12-29</t>
        </is>
      </c>
      <c r="E102" t="n">
        <v>3.88</v>
      </c>
      <c r="F102" t="n">
        <v>3.88</v>
      </c>
      <c r="G102" t="inlineStr">
        <is>
          <t>match</t>
        </is>
      </c>
    </row>
    <row r="103">
      <c r="A103" t="inlineStr">
        <is>
          <t>BTO.TO</t>
        </is>
      </c>
      <c r="B103" t="n">
        <v>2018</v>
      </c>
      <c r="C103" t="inlineStr">
        <is>
          <t>tmx</t>
        </is>
      </c>
      <c r="D103" t="inlineStr">
        <is>
          <t>2018-12-31</t>
        </is>
      </c>
      <c r="E103" t="n">
        <v>3.99</v>
      </c>
      <c r="F103" t="n">
        <v>3.99</v>
      </c>
      <c r="G103" t="inlineStr">
        <is>
          <t>match</t>
        </is>
      </c>
    </row>
    <row r="104">
      <c r="A104" t="inlineStr">
        <is>
          <t>BTO.TO</t>
        </is>
      </c>
      <c r="B104" t="n">
        <v>2019</v>
      </c>
      <c r="C104" t="inlineStr">
        <is>
          <t>tmx</t>
        </is>
      </c>
      <c r="D104" t="inlineStr">
        <is>
          <t>2019-12-31</t>
        </is>
      </c>
      <c r="E104" t="n">
        <v>5.21</v>
      </c>
      <c r="F104" t="n">
        <v>5.21</v>
      </c>
      <c r="G104" t="inlineStr">
        <is>
          <t>match</t>
        </is>
      </c>
    </row>
    <row r="105">
      <c r="A105" t="inlineStr">
        <is>
          <t>BTO.TO</t>
        </is>
      </c>
      <c r="B105" t="n">
        <v>2020</v>
      </c>
      <c r="C105" t="inlineStr">
        <is>
          <t>tmx</t>
        </is>
      </c>
      <c r="D105" t="inlineStr">
        <is>
          <t>2020-12-31</t>
        </is>
      </c>
      <c r="E105" t="n">
        <v>7.13</v>
      </c>
      <c r="F105" t="n">
        <v>7.13</v>
      </c>
      <c r="G105" t="inlineStr">
        <is>
          <t>match</t>
        </is>
      </c>
    </row>
    <row r="106">
      <c r="A106" t="inlineStr">
        <is>
          <t>BTO.TO</t>
        </is>
      </c>
      <c r="B106" t="n">
        <v>2021</v>
      </c>
      <c r="C106" t="inlineStr">
        <is>
          <t>tmx</t>
        </is>
      </c>
      <c r="D106" t="inlineStr">
        <is>
          <t>2021-12-31</t>
        </is>
      </c>
      <c r="E106" t="n">
        <v>4.98</v>
      </c>
      <c r="F106" t="n">
        <v>4.98</v>
      </c>
      <c r="G106" t="inlineStr">
        <is>
          <t>match</t>
        </is>
      </c>
    </row>
    <row r="107">
      <c r="A107" t="inlineStr">
        <is>
          <t>BTO.TO</t>
        </is>
      </c>
      <c r="B107" t="n">
        <v>2022</v>
      </c>
      <c r="C107" t="inlineStr">
        <is>
          <t>tmx</t>
        </is>
      </c>
      <c r="D107" t="inlineStr">
        <is>
          <t>2022-12-30</t>
        </is>
      </c>
      <c r="E107" t="n">
        <v>4.81</v>
      </c>
      <c r="F107" t="n">
        <v>4.81</v>
      </c>
      <c r="G107" t="inlineStr">
        <is>
          <t>match</t>
        </is>
      </c>
    </row>
    <row r="108">
      <c r="A108" t="inlineStr">
        <is>
          <t>BTO.TO</t>
        </is>
      </c>
      <c r="B108" t="n">
        <v>2023</v>
      </c>
      <c r="C108" t="inlineStr">
        <is>
          <t>tmx</t>
        </is>
      </c>
      <c r="D108" t="inlineStr">
        <is>
          <t>2023-12-29</t>
        </is>
      </c>
      <c r="E108" t="n">
        <v>4.19</v>
      </c>
      <c r="F108" t="n">
        <v>4.19</v>
      </c>
      <c r="G108" t="inlineStr">
        <is>
          <t>match</t>
        </is>
      </c>
    </row>
    <row r="109">
      <c r="A109" t="inlineStr">
        <is>
          <t>BTO.TO</t>
        </is>
      </c>
      <c r="B109" t="n">
        <v>2024</v>
      </c>
      <c r="C109" t="inlineStr">
        <is>
          <t>tmx</t>
        </is>
      </c>
      <c r="D109" t="inlineStr">
        <is>
          <t>2024-12-31</t>
        </is>
      </c>
      <c r="E109" t="n">
        <v>3.52</v>
      </c>
      <c r="F109" t="n">
        <v>3.52</v>
      </c>
      <c r="G109" t="inlineStr">
        <is>
          <t>match</t>
        </is>
      </c>
    </row>
    <row r="110">
      <c r="A110" t="inlineStr">
        <is>
          <t>BTO.TO</t>
        </is>
      </c>
      <c r="B110" t="n">
        <v>2025</v>
      </c>
      <c r="C110" t="inlineStr">
        <is>
          <t>tmx</t>
        </is>
      </c>
      <c r="D110" t="inlineStr">
        <is>
          <t>2025-12-31</t>
        </is>
      </c>
      <c r="E110" t="n">
        <v>6.18</v>
      </c>
      <c r="F110" t="n">
        <v>6.18</v>
      </c>
      <c r="G110" t="inlineStr">
        <is>
          <t>match</t>
        </is>
      </c>
    </row>
    <row r="111">
      <c r="A111" t="inlineStr">
        <is>
          <t>BTO.TO</t>
        </is>
      </c>
      <c r="B111" t="n">
        <v>2026</v>
      </c>
      <c r="C111" t="inlineStr">
        <is>
          <t>tmx</t>
        </is>
      </c>
      <c r="D111" t="inlineStr">
        <is>
          <t>2026-09-25</t>
        </is>
      </c>
      <c r="E111" t="n">
        <v>7.73</v>
      </c>
      <c r="F111" t="n">
        <v>7.73</v>
      </c>
      <c r="G111" t="inlineStr">
        <is>
          <t>match</t>
        </is>
      </c>
    </row>
    <row r="112">
      <c r="A112" t="inlineStr">
        <is>
          <t>CERT.V</t>
        </is>
      </c>
      <c r="B112" t="n">
        <v>2021</v>
      </c>
      <c r="C112" t="inlineStr">
        <is>
          <t>tmx</t>
        </is>
      </c>
      <c r="D112" t="inlineStr">
        <is>
          <t>2021-12-31</t>
        </is>
      </c>
      <c r="E112" t="n">
        <v>1.41</v>
      </c>
      <c r="F112" t="n">
        <v>1.41</v>
      </c>
      <c r="G112" t="inlineStr">
        <is>
          <t>match</t>
        </is>
      </c>
    </row>
    <row r="113">
      <c r="A113" t="inlineStr">
        <is>
          <t>CERT.V</t>
        </is>
      </c>
      <c r="B113" t="n">
        <v>2022</v>
      </c>
      <c r="C113" t="inlineStr">
        <is>
          <t>tmx</t>
        </is>
      </c>
      <c r="D113" t="inlineStr">
        <is>
          <t>2022-12-30</t>
        </is>
      </c>
      <c r="E113" t="n">
        <v>0.88</v>
      </c>
      <c r="F113" t="n">
        <v>0.88</v>
      </c>
      <c r="G113" t="inlineStr">
        <is>
          <t>match</t>
        </is>
      </c>
    </row>
    <row r="114">
      <c r="A114" t="inlineStr">
        <is>
          <t>CERT.V</t>
        </is>
      </c>
      <c r="B114" t="n">
        <v>2023</v>
      </c>
      <c r="C114" t="inlineStr">
        <is>
          <t>tmx</t>
        </is>
      </c>
      <c r="D114" t="inlineStr">
        <is>
          <t>2023-12-29</t>
        </is>
      </c>
      <c r="E114" t="n">
        <v>0.6</v>
      </c>
      <c r="F114" t="n">
        <v>0.6</v>
      </c>
      <c r="G114" t="inlineStr">
        <is>
          <t>match</t>
        </is>
      </c>
    </row>
    <row r="115">
      <c r="A115" t="inlineStr">
        <is>
          <t>CERT.V</t>
        </is>
      </c>
      <c r="B115" t="n">
        <v>2024</v>
      </c>
      <c r="C115" t="inlineStr">
        <is>
          <t>tmx</t>
        </is>
      </c>
      <c r="D115" t="inlineStr">
        <is>
          <t>2024-12-31</t>
        </is>
      </c>
      <c r="E115" t="n">
        <v>0.385</v>
      </c>
      <c r="F115" t="n">
        <v>0.385</v>
      </c>
      <c r="G115" t="inlineStr">
        <is>
          <t>match</t>
        </is>
      </c>
    </row>
    <row r="116">
      <c r="A116" t="inlineStr">
        <is>
          <t>CERT.V</t>
        </is>
      </c>
      <c r="B116" t="n">
        <v>2025</v>
      </c>
      <c r="C116" t="inlineStr">
        <is>
          <t>tmx</t>
        </is>
      </c>
      <c r="D116" t="inlineStr">
        <is>
          <t>2025-12-31</t>
        </is>
      </c>
      <c r="E116" t="n">
        <v>1.65</v>
      </c>
      <c r="F116" t="n">
        <v>1.65</v>
      </c>
      <c r="G116" t="inlineStr">
        <is>
          <t>match</t>
        </is>
      </c>
    </row>
    <row r="117">
      <c r="A117" t="inlineStr">
        <is>
          <t>CERT.V</t>
        </is>
      </c>
      <c r="B117" t="n">
        <v>2026</v>
      </c>
      <c r="C117" t="inlineStr">
        <is>
          <t>tmx</t>
        </is>
      </c>
      <c r="D117" t="inlineStr">
        <is>
          <t>2026-09-25</t>
        </is>
      </c>
      <c r="E117" t="n">
        <v>2.42</v>
      </c>
      <c r="F117" t="n">
        <v>2.42</v>
      </c>
      <c r="G117" t="inlineStr">
        <is>
          <t>match</t>
        </is>
      </c>
    </row>
    <row r="118">
      <c r="A118" t="inlineStr">
        <is>
          <t>CG.TO</t>
        </is>
      </c>
      <c r="B118" t="n">
        <v>2017</v>
      </c>
      <c r="C118" t="inlineStr">
        <is>
          <t>tmx</t>
        </is>
      </c>
      <c r="D118" t="inlineStr">
        <is>
          <t>2017-12-29</t>
        </is>
      </c>
      <c r="E118" t="n">
        <v>6.44</v>
      </c>
      <c r="F118" t="n">
        <v>6.44</v>
      </c>
      <c r="G118" t="inlineStr">
        <is>
          <t>match</t>
        </is>
      </c>
    </row>
    <row r="119">
      <c r="A119" t="inlineStr">
        <is>
          <t>CG.TO</t>
        </is>
      </c>
      <c r="B119" t="n">
        <v>2018</v>
      </c>
      <c r="C119" t="inlineStr">
        <is>
          <t>tmx</t>
        </is>
      </c>
      <c r="D119" t="inlineStr">
        <is>
          <t>2018-12-31</t>
        </is>
      </c>
      <c r="E119" t="n">
        <v>5.86</v>
      </c>
      <c r="F119" t="n">
        <v>5.86</v>
      </c>
      <c r="G119" t="inlineStr">
        <is>
          <t>match</t>
        </is>
      </c>
    </row>
    <row r="120">
      <c r="A120" t="inlineStr">
        <is>
          <t>CG.TO</t>
        </is>
      </c>
      <c r="B120" t="n">
        <v>2019</v>
      </c>
      <c r="C120" t="inlineStr">
        <is>
          <t>tmx</t>
        </is>
      </c>
      <c r="D120" t="inlineStr">
        <is>
          <t>2019-12-31</t>
        </is>
      </c>
      <c r="E120" t="n">
        <v>10.33</v>
      </c>
      <c r="F120" t="n">
        <v>10.33</v>
      </c>
      <c r="G120" t="inlineStr">
        <is>
          <t>match</t>
        </is>
      </c>
    </row>
    <row r="121">
      <c r="A121" t="inlineStr">
        <is>
          <t>CG.TO</t>
        </is>
      </c>
      <c r="B121" t="n">
        <v>2020</v>
      </c>
      <c r="C121" t="inlineStr">
        <is>
          <t>tmx</t>
        </is>
      </c>
      <c r="D121" t="inlineStr">
        <is>
          <t>2020-12-31</t>
        </is>
      </c>
      <c r="E121" t="n">
        <v>14.74</v>
      </c>
      <c r="F121" t="n">
        <v>14.74</v>
      </c>
      <c r="G121" t="inlineStr">
        <is>
          <t>match</t>
        </is>
      </c>
    </row>
    <row r="122">
      <c r="A122" t="inlineStr">
        <is>
          <t>CG.TO</t>
        </is>
      </c>
      <c r="B122" t="n">
        <v>2021</v>
      </c>
      <c r="C122" t="inlineStr">
        <is>
          <t>tmx</t>
        </is>
      </c>
      <c r="D122" t="inlineStr">
        <is>
          <t>2021-12-31</t>
        </is>
      </c>
      <c r="E122" t="n">
        <v>9.75</v>
      </c>
      <c r="F122" t="n">
        <v>9.75</v>
      </c>
      <c r="G122" t="inlineStr">
        <is>
          <t>match</t>
        </is>
      </c>
    </row>
    <row r="123">
      <c r="A123" t="inlineStr">
        <is>
          <t>CG.TO</t>
        </is>
      </c>
      <c r="B123" t="n">
        <v>2022</v>
      </c>
      <c r="C123" t="inlineStr">
        <is>
          <t>tmx</t>
        </is>
      </c>
      <c r="D123" t="inlineStr">
        <is>
          <t>2022-12-30</t>
        </is>
      </c>
      <c r="E123" t="n">
        <v>7.01</v>
      </c>
      <c r="F123" t="n">
        <v>7.01</v>
      </c>
      <c r="G123" t="inlineStr">
        <is>
          <t>match</t>
        </is>
      </c>
    </row>
    <row r="124">
      <c r="A124" t="inlineStr">
        <is>
          <t>CG.TO</t>
        </is>
      </c>
      <c r="B124" t="n">
        <v>2023</v>
      </c>
      <c r="C124" t="inlineStr">
        <is>
          <t>tmx</t>
        </is>
      </c>
      <c r="D124" t="inlineStr">
        <is>
          <t>2023-12-29</t>
        </is>
      </c>
      <c r="E124" t="n">
        <v>7.91</v>
      </c>
      <c r="F124" t="n">
        <v>7.91</v>
      </c>
      <c r="G124" t="inlineStr">
        <is>
          <t>match</t>
        </is>
      </c>
    </row>
    <row r="125">
      <c r="A125" t="inlineStr">
        <is>
          <t>CG.TO</t>
        </is>
      </c>
      <c r="B125" t="n">
        <v>2024</v>
      </c>
      <c r="C125" t="inlineStr">
        <is>
          <t>tmx</t>
        </is>
      </c>
      <c r="D125" t="inlineStr">
        <is>
          <t>2024-12-31</t>
        </is>
      </c>
      <c r="E125" t="n">
        <v>8.18</v>
      </c>
      <c r="F125" t="n">
        <v>8.18</v>
      </c>
      <c r="G125" t="inlineStr">
        <is>
          <t>match</t>
        </is>
      </c>
    </row>
    <row r="126">
      <c r="A126" t="inlineStr">
        <is>
          <t>CG.TO</t>
        </is>
      </c>
      <c r="B126" t="n">
        <v>2025</v>
      </c>
      <c r="C126" t="inlineStr">
        <is>
          <t>tmx</t>
        </is>
      </c>
      <c r="D126" t="inlineStr">
        <is>
          <t>2025-12-31</t>
        </is>
      </c>
      <c r="E126" t="n">
        <v>19.76</v>
      </c>
      <c r="F126" t="n">
        <v>19.76</v>
      </c>
      <c r="G126" t="inlineStr">
        <is>
          <t>match</t>
        </is>
      </c>
    </row>
    <row r="127">
      <c r="A127" t="inlineStr">
        <is>
          <t>CG.TO</t>
        </is>
      </c>
      <c r="B127" t="n">
        <v>2026</v>
      </c>
      <c r="C127" t="inlineStr">
        <is>
          <t>tmx</t>
        </is>
      </c>
      <c r="D127" t="inlineStr">
        <is>
          <t>2026-09-25</t>
        </is>
      </c>
      <c r="E127" t="n">
        <v>31.89</v>
      </c>
      <c r="F127" t="n">
        <v>31.89</v>
      </c>
      <c r="G127" t="inlineStr">
        <is>
          <t>match</t>
        </is>
      </c>
    </row>
    <row r="128">
      <c r="A128" t="inlineStr">
        <is>
          <t>CXB.TO</t>
        </is>
      </c>
      <c r="B128" t="n">
        <v>2017</v>
      </c>
      <c r="C128" t="inlineStr">
        <is>
          <t>tmx</t>
        </is>
      </c>
      <c r="D128" t="inlineStr">
        <is>
          <t>2017-12-29</t>
        </is>
      </c>
      <c r="E128" t="n">
        <v>1.3</v>
      </c>
      <c r="F128" t="n">
        <v>1.3</v>
      </c>
      <c r="G128" t="inlineStr">
        <is>
          <t>match</t>
        </is>
      </c>
    </row>
    <row r="129">
      <c r="A129" t="inlineStr">
        <is>
          <t>CXB.TO</t>
        </is>
      </c>
      <c r="B129" t="n">
        <v>2018</v>
      </c>
      <c r="C129" t="inlineStr">
        <is>
          <t>tmx</t>
        </is>
      </c>
      <c r="D129" t="inlineStr">
        <is>
          <t>2018-12-31</t>
        </is>
      </c>
      <c r="E129" t="n">
        <v>0.365</v>
      </c>
      <c r="F129" t="n">
        <v>0.365</v>
      </c>
      <c r="G129" t="inlineStr">
        <is>
          <t>match</t>
        </is>
      </c>
    </row>
    <row r="130">
      <c r="A130" t="inlineStr">
        <is>
          <t>CXB.TO</t>
        </is>
      </c>
      <c r="B130" t="n">
        <v>2019</v>
      </c>
      <c r="C130" t="inlineStr">
        <is>
          <t>tmx</t>
        </is>
      </c>
      <c r="D130" t="inlineStr">
        <is>
          <t>2019-12-31</t>
        </is>
      </c>
      <c r="E130" t="n">
        <v>0.9399999999999999</v>
      </c>
      <c r="F130" t="n">
        <v>0.9399999999999999</v>
      </c>
      <c r="G130" t="inlineStr">
        <is>
          <t>match</t>
        </is>
      </c>
    </row>
    <row r="131">
      <c r="A131" t="inlineStr">
        <is>
          <t>CXB.TO</t>
        </is>
      </c>
      <c r="B131" t="n">
        <v>2020</v>
      </c>
      <c r="C131" t="inlineStr">
        <is>
          <t>tmx</t>
        </is>
      </c>
      <c r="D131" t="inlineStr">
        <is>
          <t>2020-12-31</t>
        </is>
      </c>
      <c r="E131" t="n">
        <v>2.42</v>
      </c>
      <c r="F131" t="n">
        <v>2.42</v>
      </c>
      <c r="G131" t="inlineStr">
        <is>
          <t>match</t>
        </is>
      </c>
    </row>
    <row r="132">
      <c r="A132" t="inlineStr">
        <is>
          <t>CXB.TO</t>
        </is>
      </c>
      <c r="B132" t="n">
        <v>2021</v>
      </c>
      <c r="C132" t="inlineStr">
        <is>
          <t>tmx</t>
        </is>
      </c>
      <c r="D132" t="inlineStr">
        <is>
          <t>2021-12-31</t>
        </is>
      </c>
      <c r="E132" t="n">
        <v>1.34</v>
      </c>
      <c r="F132" t="n">
        <v>1.34</v>
      </c>
      <c r="G132" t="inlineStr">
        <is>
          <t>match</t>
        </is>
      </c>
    </row>
    <row r="133">
      <c r="A133" t="inlineStr">
        <is>
          <t>CXB.TO</t>
        </is>
      </c>
      <c r="B133" t="n">
        <v>2022</v>
      </c>
      <c r="C133" t="inlineStr">
        <is>
          <t>tmx</t>
        </is>
      </c>
      <c r="D133" t="inlineStr">
        <is>
          <t>2022-12-30</t>
        </is>
      </c>
      <c r="E133" t="n">
        <v>0.9</v>
      </c>
      <c r="F133" t="n">
        <v>0.9</v>
      </c>
      <c r="G133" t="inlineStr">
        <is>
          <t>match</t>
        </is>
      </c>
    </row>
    <row r="134">
      <c r="A134" t="inlineStr">
        <is>
          <t>CXB.TO</t>
        </is>
      </c>
      <c r="B134" t="n">
        <v>2023</v>
      </c>
      <c r="C134" t="inlineStr">
        <is>
          <t>tmx</t>
        </is>
      </c>
      <c r="D134" t="inlineStr">
        <is>
          <t>2023-12-29</t>
        </is>
      </c>
      <c r="E134" t="n">
        <v>1.36</v>
      </c>
      <c r="F134" t="n">
        <v>1.36</v>
      </c>
      <c r="G134" t="inlineStr">
        <is>
          <t>match</t>
        </is>
      </c>
    </row>
    <row r="135">
      <c r="A135" t="inlineStr">
        <is>
          <t>CXB.TO</t>
        </is>
      </c>
      <c r="B135" t="n">
        <v>2024</v>
      </c>
      <c r="C135" t="inlineStr">
        <is>
          <t>tmx</t>
        </is>
      </c>
      <c r="D135" t="inlineStr">
        <is>
          <t>2024-12-31</t>
        </is>
      </c>
      <c r="E135" t="n">
        <v>2.15</v>
      </c>
      <c r="F135" t="n">
        <v>2.15</v>
      </c>
      <c r="G135" t="inlineStr">
        <is>
          <t>match</t>
        </is>
      </c>
    </row>
    <row r="136">
      <c r="A136" t="inlineStr">
        <is>
          <t>CXB.TO</t>
        </is>
      </c>
      <c r="B136" t="n">
        <v>2025</v>
      </c>
      <c r="C136" t="inlineStr">
        <is>
          <t>tmx</t>
        </is>
      </c>
      <c r="D136" t="inlineStr">
        <is>
          <t>2025-06-18</t>
        </is>
      </c>
      <c r="E136" t="n">
        <v>2.99</v>
      </c>
      <c r="F136" t="n">
        <v>2.99</v>
      </c>
      <c r="G136" t="inlineStr">
        <is>
          <t>match</t>
        </is>
      </c>
    </row>
    <row r="137">
      <c r="A137" t="inlineStr">
        <is>
          <t>CYL.AX</t>
        </is>
      </c>
      <c r="B137" t="n">
        <v>2017</v>
      </c>
      <c r="C137" t="inlineStr">
        <is>
          <t>cnbc_unadjusted</t>
        </is>
      </c>
      <c r="D137" t="inlineStr">
        <is>
          <t>2017-12-29</t>
        </is>
      </c>
      <c r="E137" t="n">
        <v>1.23</v>
      </c>
      <c r="F137" t="n">
        <v>1.23</v>
      </c>
      <c r="G137" t="inlineStr">
        <is>
          <t>match</t>
        </is>
      </c>
    </row>
    <row r="138">
      <c r="A138" t="inlineStr">
        <is>
          <t>CYL.AX</t>
        </is>
      </c>
      <c r="B138" t="n">
        <v>2017</v>
      </c>
      <c r="C138" t="inlineStr">
        <is>
          <t>cnbc_adjusted</t>
        </is>
      </c>
      <c r="D138" t="inlineStr">
        <is>
          <t>2017-12-29</t>
        </is>
      </c>
      <c r="E138" t="n">
        <v>1.23</v>
      </c>
      <c r="F138" t="n">
        <v>1.23</v>
      </c>
      <c r="G138" t="inlineStr">
        <is>
          <t>match</t>
        </is>
      </c>
    </row>
    <row r="139">
      <c r="A139" t="inlineStr">
        <is>
          <t>CYL.AX</t>
        </is>
      </c>
      <c r="B139" t="n">
        <v>2018</v>
      </c>
      <c r="C139" t="inlineStr">
        <is>
          <t>cnbc_unadjusted</t>
        </is>
      </c>
      <c r="D139" t="inlineStr">
        <is>
          <t>2018-12-31</t>
        </is>
      </c>
      <c r="E139" t="n">
        <v>1.75</v>
      </c>
      <c r="F139" t="n">
        <v>1.75</v>
      </c>
      <c r="G139" t="inlineStr">
        <is>
          <t>match</t>
        </is>
      </c>
    </row>
    <row r="140">
      <c r="A140" t="inlineStr">
        <is>
          <t>CYL.AX</t>
        </is>
      </c>
      <c r="B140" t="n">
        <v>2018</v>
      </c>
      <c r="C140" t="inlineStr">
        <is>
          <t>cnbc_adjusted</t>
        </is>
      </c>
      <c r="D140" t="inlineStr">
        <is>
          <t>2018-12-31</t>
        </is>
      </c>
      <c r="E140" t="n">
        <v>1.75</v>
      </c>
      <c r="F140" t="n">
        <v>1.75</v>
      </c>
      <c r="G140" t="inlineStr">
        <is>
          <t>match</t>
        </is>
      </c>
    </row>
    <row r="141">
      <c r="A141" t="inlineStr">
        <is>
          <t>CYL.AX</t>
        </is>
      </c>
      <c r="B141" t="n">
        <v>2019</v>
      </c>
      <c r="C141" t="inlineStr">
        <is>
          <t>cnbc_unadjusted</t>
        </is>
      </c>
      <c r="D141" t="inlineStr">
        <is>
          <t>2019-12-31</t>
        </is>
      </c>
      <c r="E141" t="n">
        <v>2.82</v>
      </c>
      <c r="F141" t="n">
        <v>2.82</v>
      </c>
      <c r="G141" t="inlineStr">
        <is>
          <t>match</t>
        </is>
      </c>
    </row>
    <row r="142">
      <c r="A142" t="inlineStr">
        <is>
          <t>CYL.AX</t>
        </is>
      </c>
      <c r="B142" t="n">
        <v>2019</v>
      </c>
      <c r="C142" t="inlineStr">
        <is>
          <t>cnbc_adjusted</t>
        </is>
      </c>
      <c r="D142" t="inlineStr">
        <is>
          <t>2019-12-31</t>
        </is>
      </c>
      <c r="E142" t="n">
        <v>2.82</v>
      </c>
      <c r="F142" t="n">
        <v>2.82</v>
      </c>
      <c r="G142" t="inlineStr">
        <is>
          <t>match</t>
        </is>
      </c>
    </row>
    <row r="143">
      <c r="A143" t="inlineStr">
        <is>
          <t>CYL.AX</t>
        </is>
      </c>
      <c r="B143" t="n">
        <v>2020</v>
      </c>
      <c r="C143" t="inlineStr">
        <is>
          <t>cnbc_unadjusted</t>
        </is>
      </c>
      <c r="D143" t="inlineStr">
        <is>
          <t>2020-12-31</t>
        </is>
      </c>
      <c r="E143" t="n">
        <v>2.12</v>
      </c>
      <c r="F143" t="n">
        <v>2.12</v>
      </c>
      <c r="G143" t="inlineStr">
        <is>
          <t>match</t>
        </is>
      </c>
    </row>
    <row r="144">
      <c r="A144" t="inlineStr">
        <is>
          <t>CYL.AX</t>
        </is>
      </c>
      <c r="B144" t="n">
        <v>2020</v>
      </c>
      <c r="C144" t="inlineStr">
        <is>
          <t>cnbc_adjusted</t>
        </is>
      </c>
      <c r="D144" t="inlineStr">
        <is>
          <t>2020-12-31</t>
        </is>
      </c>
      <c r="E144" t="n">
        <v>2.12</v>
      </c>
      <c r="F144" t="n">
        <v>2.12</v>
      </c>
      <c r="G144" t="inlineStr">
        <is>
          <t>match</t>
        </is>
      </c>
    </row>
    <row r="145">
      <c r="A145" t="inlineStr">
        <is>
          <t>CYL.AX</t>
        </is>
      </c>
      <c r="B145" t="n">
        <v>2021</v>
      </c>
      <c r="C145" t="inlineStr">
        <is>
          <t>cnbc_unadjusted</t>
        </is>
      </c>
      <c r="D145" t="inlineStr">
        <is>
          <t>2021-12-31</t>
        </is>
      </c>
      <c r="E145" t="n">
        <v>1.965</v>
      </c>
      <c r="F145" t="n">
        <v>1.965</v>
      </c>
      <c r="G145" t="inlineStr">
        <is>
          <t>match</t>
        </is>
      </c>
    </row>
    <row r="146">
      <c r="A146" t="inlineStr">
        <is>
          <t>CYL.AX</t>
        </is>
      </c>
      <c r="B146" t="n">
        <v>2021</v>
      </c>
      <c r="C146" t="inlineStr">
        <is>
          <t>cnbc_adjusted</t>
        </is>
      </c>
      <c r="D146" t="inlineStr">
        <is>
          <t>2021-12-31</t>
        </is>
      </c>
      <c r="E146" t="n">
        <v>1.965</v>
      </c>
      <c r="F146" t="n">
        <v>1.965</v>
      </c>
      <c r="G146" t="inlineStr">
        <is>
          <t>match</t>
        </is>
      </c>
    </row>
    <row r="147">
      <c r="A147" t="inlineStr">
        <is>
          <t>CYL.AX</t>
        </is>
      </c>
      <c r="B147" t="n">
        <v>2022</v>
      </c>
      <c r="C147" t="inlineStr">
        <is>
          <t>cnbc_unadjusted</t>
        </is>
      </c>
      <c r="D147" t="inlineStr">
        <is>
          <t>2022-12-30</t>
        </is>
      </c>
      <c r="E147" t="n">
        <v>1.18</v>
      </c>
      <c r="F147" t="n">
        <v>1.18</v>
      </c>
      <c r="G147" t="inlineStr">
        <is>
          <t>match</t>
        </is>
      </c>
    </row>
    <row r="148">
      <c r="A148" t="inlineStr">
        <is>
          <t>CYL.AX</t>
        </is>
      </c>
      <c r="B148" t="n">
        <v>2022</v>
      </c>
      <c r="C148" t="inlineStr">
        <is>
          <t>cnbc_adjusted</t>
        </is>
      </c>
      <c r="D148" t="inlineStr">
        <is>
          <t>2022-12-30</t>
        </is>
      </c>
      <c r="E148" t="n">
        <v>1.18</v>
      </c>
      <c r="F148" t="n">
        <v>1.18</v>
      </c>
      <c r="G148" t="inlineStr">
        <is>
          <t>match</t>
        </is>
      </c>
    </row>
    <row r="149">
      <c r="A149" t="inlineStr">
        <is>
          <t>CYL.AX</t>
        </is>
      </c>
      <c r="B149" t="n">
        <v>2023</v>
      </c>
      <c r="C149" t="inlineStr">
        <is>
          <t>cnbc_unadjusted</t>
        </is>
      </c>
      <c r="D149" t="inlineStr">
        <is>
          <t>2023-12-29</t>
        </is>
      </c>
      <c r="E149" t="n">
        <v>0.805</v>
      </c>
      <c r="F149" t="n">
        <v>0.805</v>
      </c>
      <c r="G149" t="inlineStr">
        <is>
          <t>match</t>
        </is>
      </c>
    </row>
    <row r="150">
      <c r="A150" t="inlineStr">
        <is>
          <t>CYL.AX</t>
        </is>
      </c>
      <c r="B150" t="n">
        <v>2023</v>
      </c>
      <c r="C150" t="inlineStr">
        <is>
          <t>cnbc_adjusted</t>
        </is>
      </c>
      <c r="D150" t="inlineStr">
        <is>
          <t>2023-12-29</t>
        </is>
      </c>
      <c r="E150" t="n">
        <v>0.805</v>
      </c>
      <c r="F150" t="n">
        <v>0.805</v>
      </c>
      <c r="G150" t="inlineStr">
        <is>
          <t>match</t>
        </is>
      </c>
    </row>
    <row r="151">
      <c r="A151" t="inlineStr">
        <is>
          <t>CYL.AX</t>
        </is>
      </c>
      <c r="B151" t="n">
        <v>2024</v>
      </c>
      <c r="C151" t="inlineStr">
        <is>
          <t>cnbc_unadjusted</t>
        </is>
      </c>
      <c r="D151" t="inlineStr">
        <is>
          <t>2024-12-31</t>
        </is>
      </c>
      <c r="E151" t="n">
        <v>2.58</v>
      </c>
      <c r="F151" t="n">
        <v>2.58</v>
      </c>
      <c r="G151" t="inlineStr">
        <is>
          <t>match</t>
        </is>
      </c>
    </row>
    <row r="152">
      <c r="A152" t="inlineStr">
        <is>
          <t>CYL.AX</t>
        </is>
      </c>
      <c r="B152" t="n">
        <v>2024</v>
      </c>
      <c r="C152" t="inlineStr">
        <is>
          <t>cnbc_adjusted</t>
        </is>
      </c>
      <c r="D152" t="inlineStr">
        <is>
          <t>2024-12-31</t>
        </is>
      </c>
      <c r="E152" t="n">
        <v>2.58</v>
      </c>
      <c r="F152" t="n">
        <v>2.58</v>
      </c>
      <c r="G152" t="inlineStr">
        <is>
          <t>match</t>
        </is>
      </c>
    </row>
    <row r="153">
      <c r="A153" t="inlineStr">
        <is>
          <t>CYL.AX</t>
        </is>
      </c>
      <c r="B153" t="n">
        <v>2025</v>
      </c>
      <c r="C153" t="inlineStr">
        <is>
          <t>cnbc_unadjusted</t>
        </is>
      </c>
      <c r="D153" t="inlineStr">
        <is>
          <t>2025-12-31</t>
        </is>
      </c>
      <c r="E153" t="n">
        <v>7.36</v>
      </c>
      <c r="F153" t="n">
        <v>7.36</v>
      </c>
      <c r="G153" t="inlineStr">
        <is>
          <t>match</t>
        </is>
      </c>
    </row>
    <row r="154">
      <c r="A154" t="inlineStr">
        <is>
          <t>CYL.AX</t>
        </is>
      </c>
      <c r="B154" t="n">
        <v>2025</v>
      </c>
      <c r="C154" t="inlineStr">
        <is>
          <t>cnbc_adjusted</t>
        </is>
      </c>
      <c r="D154" t="inlineStr">
        <is>
          <t>2025-12-31</t>
        </is>
      </c>
      <c r="E154" t="n">
        <v>7.36</v>
      </c>
      <c r="F154" t="n">
        <v>7.36</v>
      </c>
      <c r="G154" t="inlineStr">
        <is>
          <t>match</t>
        </is>
      </c>
    </row>
    <row r="155">
      <c r="A155" t="inlineStr">
        <is>
          <t>CYL.AX</t>
        </is>
      </c>
      <c r="B155" t="n">
        <v>2026</v>
      </c>
      <c r="C155" t="inlineStr">
        <is>
          <t>cnbc_unadjusted</t>
        </is>
      </c>
      <c r="D155" t="inlineStr">
        <is>
          <t>2026-09-25</t>
        </is>
      </c>
      <c r="E155" t="n">
        <v>5.89</v>
      </c>
      <c r="F155" t="n">
        <v>5.89</v>
      </c>
      <c r="G155" t="inlineStr">
        <is>
          <t>match</t>
        </is>
      </c>
    </row>
    <row r="156">
      <c r="A156" t="inlineStr">
        <is>
          <t>CYL.AX</t>
        </is>
      </c>
      <c r="B156" t="n">
        <v>2026</v>
      </c>
      <c r="C156" t="inlineStr">
        <is>
          <t>cnbc_adjusted</t>
        </is>
      </c>
      <c r="D156" t="inlineStr">
        <is>
          <t>2026-09-25</t>
        </is>
      </c>
      <c r="E156" t="n">
        <v>5.89</v>
      </c>
      <c r="F156" t="n">
        <v>5.89</v>
      </c>
      <c r="G156" t="inlineStr">
        <is>
          <t>match</t>
        </is>
      </c>
    </row>
    <row r="157">
      <c r="A157" t="inlineStr">
        <is>
          <t>ELD.TO</t>
        </is>
      </c>
      <c r="B157" t="n">
        <v>2017</v>
      </c>
      <c r="C157" t="inlineStr">
        <is>
          <t>tmx</t>
        </is>
      </c>
      <c r="D157" t="inlineStr">
        <is>
          <t>2017-12-29</t>
        </is>
      </c>
      <c r="E157" t="n">
        <v>9.1</v>
      </c>
      <c r="F157" t="n">
        <v>9.1</v>
      </c>
      <c r="G157" t="inlineStr">
        <is>
          <t>match</t>
        </is>
      </c>
    </row>
    <row r="158">
      <c r="A158" t="inlineStr">
        <is>
          <t>ELD.TO</t>
        </is>
      </c>
      <c r="B158" t="n">
        <v>2018</v>
      </c>
      <c r="C158" t="inlineStr">
        <is>
          <t>tmx</t>
        </is>
      </c>
      <c r="D158" t="inlineStr">
        <is>
          <t>2018-12-31</t>
        </is>
      </c>
      <c r="E158" t="n">
        <v>4</v>
      </c>
      <c r="F158" t="n">
        <v>4</v>
      </c>
      <c r="G158" t="inlineStr">
        <is>
          <t>match</t>
        </is>
      </c>
    </row>
    <row r="159">
      <c r="A159" t="inlineStr">
        <is>
          <t>ELD.TO</t>
        </is>
      </c>
      <c r="B159" t="n">
        <v>2019</v>
      </c>
      <c r="C159" t="inlineStr">
        <is>
          <t>tmx</t>
        </is>
      </c>
      <c r="D159" t="inlineStr">
        <is>
          <t>2019-12-31</t>
        </is>
      </c>
      <c r="E159" t="n">
        <v>10.43</v>
      </c>
      <c r="F159" t="n">
        <v>10.43</v>
      </c>
      <c r="G159" t="inlineStr">
        <is>
          <t>match</t>
        </is>
      </c>
    </row>
    <row r="160">
      <c r="A160" t="inlineStr">
        <is>
          <t>ELD.TO</t>
        </is>
      </c>
      <c r="B160" t="n">
        <v>2020</v>
      </c>
      <c r="C160" t="inlineStr">
        <is>
          <t>tmx</t>
        </is>
      </c>
      <c r="D160" t="inlineStr">
        <is>
          <t>2020-12-31</t>
        </is>
      </c>
      <c r="E160" t="n">
        <v>16.87</v>
      </c>
      <c r="F160" t="n">
        <v>16.87</v>
      </c>
      <c r="G160" t="inlineStr">
        <is>
          <t>match</t>
        </is>
      </c>
    </row>
    <row r="161">
      <c r="A161" t="inlineStr">
        <is>
          <t>ELD.TO</t>
        </is>
      </c>
      <c r="B161" t="n">
        <v>2021</v>
      </c>
      <c r="C161" t="inlineStr">
        <is>
          <t>tmx</t>
        </is>
      </c>
      <c r="D161" t="inlineStr">
        <is>
          <t>2021-12-31</t>
        </is>
      </c>
      <c r="E161" t="n">
        <v>11.86</v>
      </c>
      <c r="F161" t="n">
        <v>11.86</v>
      </c>
      <c r="G161" t="inlineStr">
        <is>
          <t>match</t>
        </is>
      </c>
    </row>
    <row r="162">
      <c r="A162" t="inlineStr">
        <is>
          <t>ELD.TO</t>
        </is>
      </c>
      <c r="B162" t="n">
        <v>2022</v>
      </c>
      <c r="C162" t="inlineStr">
        <is>
          <t>tmx</t>
        </is>
      </c>
      <c r="D162" t="inlineStr">
        <is>
          <t>2022-12-30</t>
        </is>
      </c>
      <c r="E162" t="n">
        <v>11.29</v>
      </c>
      <c r="F162" t="n">
        <v>11.29</v>
      </c>
      <c r="G162" t="inlineStr">
        <is>
          <t>match</t>
        </is>
      </c>
    </row>
    <row r="163">
      <c r="A163" t="inlineStr">
        <is>
          <t>ELD.TO</t>
        </is>
      </c>
      <c r="B163" t="n">
        <v>2023</v>
      </c>
      <c r="C163" t="inlineStr">
        <is>
          <t>tmx</t>
        </is>
      </c>
      <c r="D163" t="inlineStr">
        <is>
          <t>2023-12-29</t>
        </is>
      </c>
      <c r="E163" t="n">
        <v>17.2</v>
      </c>
      <c r="F163" t="n">
        <v>17.2</v>
      </c>
      <c r="G163" t="inlineStr">
        <is>
          <t>match</t>
        </is>
      </c>
    </row>
    <row r="164">
      <c r="A164" t="inlineStr">
        <is>
          <t>ELD.TO</t>
        </is>
      </c>
      <c r="B164" t="n">
        <v>2024</v>
      </c>
      <c r="C164" t="inlineStr">
        <is>
          <t>tmx</t>
        </is>
      </c>
      <c r="D164" t="inlineStr">
        <is>
          <t>2024-12-31</t>
        </is>
      </c>
      <c r="E164" t="n">
        <v>21.38</v>
      </c>
      <c r="F164" t="n">
        <v>21.38</v>
      </c>
      <c r="G164" t="inlineStr">
        <is>
          <t>match</t>
        </is>
      </c>
    </row>
    <row r="165">
      <c r="A165" t="inlineStr">
        <is>
          <t>ELD.TO</t>
        </is>
      </c>
      <c r="B165" t="n">
        <v>2025</v>
      </c>
      <c r="C165" t="inlineStr">
        <is>
          <t>tmx</t>
        </is>
      </c>
      <c r="D165" t="inlineStr">
        <is>
          <t>2025-12-31</t>
        </is>
      </c>
      <c r="E165" t="n">
        <v>49.33</v>
      </c>
      <c r="F165" t="n">
        <v>49.33</v>
      </c>
      <c r="G165" t="inlineStr">
        <is>
          <t>match</t>
        </is>
      </c>
    </row>
    <row r="166">
      <c r="A166" t="inlineStr">
        <is>
          <t>ELD.TO</t>
        </is>
      </c>
      <c r="B166" t="n">
        <v>2026</v>
      </c>
      <c r="C166" t="inlineStr">
        <is>
          <t>tmx</t>
        </is>
      </c>
      <c r="D166" t="inlineStr">
        <is>
          <t>2026-09-25</t>
        </is>
      </c>
      <c r="E166" t="n">
        <v>59.34</v>
      </c>
      <c r="F166" t="n">
        <v>59.34</v>
      </c>
      <c r="G166" t="inlineStr">
        <is>
          <t>match</t>
        </is>
      </c>
    </row>
    <row r="167">
      <c r="A167" t="inlineStr">
        <is>
          <t>EQX.TO</t>
        </is>
      </c>
      <c r="B167" t="n">
        <v>2019</v>
      </c>
      <c r="C167" t="inlineStr">
        <is>
          <t>tmx</t>
        </is>
      </c>
      <c r="D167" t="inlineStr">
        <is>
          <t>2019-12-31</t>
        </is>
      </c>
      <c r="E167" t="n">
        <v>9.99</v>
      </c>
      <c r="F167" t="n">
        <v>9.99</v>
      </c>
      <c r="G167" t="inlineStr">
        <is>
          <t>match</t>
        </is>
      </c>
    </row>
    <row r="168">
      <c r="A168" t="inlineStr">
        <is>
          <t>EQX.TO</t>
        </is>
      </c>
      <c r="B168" t="n">
        <v>2020</v>
      </c>
      <c r="C168" t="inlineStr">
        <is>
          <t>tmx</t>
        </is>
      </c>
      <c r="D168" t="inlineStr">
        <is>
          <t>2020-12-31</t>
        </is>
      </c>
      <c r="E168" t="n">
        <v>13.17</v>
      </c>
      <c r="F168" t="n">
        <v>13.17</v>
      </c>
      <c r="G168" t="inlineStr">
        <is>
          <t>match</t>
        </is>
      </c>
    </row>
    <row r="169">
      <c r="A169" t="inlineStr">
        <is>
          <t>EQX.TO</t>
        </is>
      </c>
      <c r="B169" t="n">
        <v>2021</v>
      </c>
      <c r="C169" t="inlineStr">
        <is>
          <t>tmx</t>
        </is>
      </c>
      <c r="D169" t="inlineStr">
        <is>
          <t>2021-12-31</t>
        </is>
      </c>
      <c r="E169" t="n">
        <v>8.56</v>
      </c>
      <c r="F169" t="n">
        <v>8.56</v>
      </c>
      <c r="G169" t="inlineStr">
        <is>
          <t>match</t>
        </is>
      </c>
    </row>
    <row r="170">
      <c r="A170" t="inlineStr">
        <is>
          <t>EQX.TO</t>
        </is>
      </c>
      <c r="B170" t="n">
        <v>2022</v>
      </c>
      <c r="C170" t="inlineStr">
        <is>
          <t>tmx</t>
        </is>
      </c>
      <c r="D170" t="inlineStr">
        <is>
          <t>2022-12-30</t>
        </is>
      </c>
      <c r="E170" t="n">
        <v>4.43</v>
      </c>
      <c r="F170" t="n">
        <v>4.43</v>
      </c>
      <c r="G170" t="inlineStr">
        <is>
          <t>match</t>
        </is>
      </c>
    </row>
    <row r="171">
      <c r="A171" t="inlineStr">
        <is>
          <t>EQX.TO</t>
        </is>
      </c>
      <c r="B171" t="n">
        <v>2023</v>
      </c>
      <c r="C171" t="inlineStr">
        <is>
          <t>tmx</t>
        </is>
      </c>
      <c r="D171" t="inlineStr">
        <is>
          <t>2023-12-29</t>
        </is>
      </c>
      <c r="E171" t="n">
        <v>6.44</v>
      </c>
      <c r="F171" t="n">
        <v>6.44</v>
      </c>
      <c r="G171" t="inlineStr">
        <is>
          <t>match</t>
        </is>
      </c>
    </row>
    <row r="172">
      <c r="A172" t="inlineStr">
        <is>
          <t>EQX.TO</t>
        </is>
      </c>
      <c r="B172" t="n">
        <v>2024</v>
      </c>
      <c r="C172" t="inlineStr">
        <is>
          <t>tmx</t>
        </is>
      </c>
      <c r="D172" t="inlineStr">
        <is>
          <t>2024-12-31</t>
        </is>
      </c>
      <c r="E172" t="n">
        <v>7.24</v>
      </c>
      <c r="F172" t="n">
        <v>7.24</v>
      </c>
      <c r="G172" t="inlineStr">
        <is>
          <t>match</t>
        </is>
      </c>
    </row>
    <row r="173">
      <c r="A173" t="inlineStr">
        <is>
          <t>EQX.TO</t>
        </is>
      </c>
      <c r="B173" t="n">
        <v>2025</v>
      </c>
      <c r="C173" t="inlineStr">
        <is>
          <t>tmx</t>
        </is>
      </c>
      <c r="D173" t="inlineStr">
        <is>
          <t>2025-12-31</t>
        </is>
      </c>
      <c r="E173" t="n">
        <v>19.29</v>
      </c>
      <c r="F173" t="n">
        <v>19.29</v>
      </c>
      <c r="G173" t="inlineStr">
        <is>
          <t>match</t>
        </is>
      </c>
    </row>
    <row r="174">
      <c r="A174" t="inlineStr">
        <is>
          <t>EQX.TO</t>
        </is>
      </c>
      <c r="B174" t="n">
        <v>2026</v>
      </c>
      <c r="C174" t="inlineStr">
        <is>
          <t>tmx</t>
        </is>
      </c>
      <c r="D174" t="inlineStr">
        <is>
          <t>2026-09-25</t>
        </is>
      </c>
      <c r="E174" t="n">
        <v>16.87</v>
      </c>
      <c r="F174" t="n">
        <v>16.87</v>
      </c>
      <c r="G174" t="inlineStr">
        <is>
          <t>match</t>
        </is>
      </c>
    </row>
    <row r="175">
      <c r="A175" t="inlineStr">
        <is>
          <t>FVI.TO</t>
        </is>
      </c>
      <c r="B175" t="n">
        <v>2017</v>
      </c>
      <c r="C175" t="inlineStr">
        <is>
          <t>tmx</t>
        </is>
      </c>
      <c r="D175" t="inlineStr">
        <is>
          <t>2017-12-29</t>
        </is>
      </c>
      <c r="E175" t="n">
        <v>6.56</v>
      </c>
      <c r="F175" t="n">
        <v>6.56</v>
      </c>
      <c r="G175" t="inlineStr">
        <is>
          <t>match</t>
        </is>
      </c>
    </row>
    <row r="176">
      <c r="A176" t="inlineStr">
        <is>
          <t>FVI.TO</t>
        </is>
      </c>
      <c r="B176" t="n">
        <v>2018</v>
      </c>
      <c r="C176" t="inlineStr">
        <is>
          <t>tmx</t>
        </is>
      </c>
      <c r="D176" t="inlineStr">
        <is>
          <t>2018-12-31</t>
        </is>
      </c>
      <c r="E176" t="n">
        <v>5</v>
      </c>
      <c r="F176" t="n">
        <v>5</v>
      </c>
      <c r="G176" t="inlineStr">
        <is>
          <t>match</t>
        </is>
      </c>
    </row>
    <row r="177">
      <c r="A177" t="inlineStr">
        <is>
          <t>FVI.TO</t>
        </is>
      </c>
      <c r="B177" t="n">
        <v>2019</v>
      </c>
      <c r="C177" t="inlineStr">
        <is>
          <t>tmx</t>
        </is>
      </c>
      <c r="D177" t="inlineStr">
        <is>
          <t>2019-12-31</t>
        </is>
      </c>
      <c r="E177" t="n">
        <v>5.29</v>
      </c>
      <c r="F177" t="n">
        <v>5.29</v>
      </c>
      <c r="G177" t="inlineStr">
        <is>
          <t>match</t>
        </is>
      </c>
    </row>
    <row r="178">
      <c r="A178" t="inlineStr">
        <is>
          <t>FVI.TO</t>
        </is>
      </c>
      <c r="B178" t="n">
        <v>2020</v>
      </c>
      <c r="C178" t="inlineStr">
        <is>
          <t>tmx</t>
        </is>
      </c>
      <c r="D178" t="inlineStr">
        <is>
          <t>2020-12-31</t>
        </is>
      </c>
      <c r="E178" t="n">
        <v>10.46</v>
      </c>
      <c r="F178" t="n">
        <v>10.46</v>
      </c>
      <c r="G178" t="inlineStr">
        <is>
          <t>match</t>
        </is>
      </c>
    </row>
    <row r="179">
      <c r="A179" t="inlineStr">
        <is>
          <t>FVI.TO</t>
        </is>
      </c>
      <c r="B179" t="n">
        <v>2021</v>
      </c>
      <c r="C179" t="inlineStr">
        <is>
          <t>tmx</t>
        </is>
      </c>
      <c r="D179" t="inlineStr">
        <is>
          <t>2021-12-31</t>
        </is>
      </c>
      <c r="E179" t="n">
        <v>4.94</v>
      </c>
      <c r="F179" t="n">
        <v>4.94</v>
      </c>
      <c r="G179" t="inlineStr">
        <is>
          <t>match</t>
        </is>
      </c>
    </row>
    <row r="180">
      <c r="A180" t="inlineStr">
        <is>
          <t>FVI.TO</t>
        </is>
      </c>
      <c r="B180" t="n">
        <v>2022</v>
      </c>
      <c r="C180" t="inlineStr">
        <is>
          <t>tmx</t>
        </is>
      </c>
      <c r="D180" t="inlineStr">
        <is>
          <t>2022-12-30</t>
        </is>
      </c>
      <c r="E180" t="n">
        <v>5.09</v>
      </c>
      <c r="F180" t="n">
        <v>5.09</v>
      </c>
      <c r="G180" t="inlineStr">
        <is>
          <t>match</t>
        </is>
      </c>
    </row>
    <row r="181">
      <c r="A181" t="inlineStr">
        <is>
          <t>FVI.TO</t>
        </is>
      </c>
      <c r="B181" t="n">
        <v>2023</v>
      </c>
      <c r="C181" t="inlineStr">
        <is>
          <t>tmx</t>
        </is>
      </c>
      <c r="D181" t="inlineStr">
        <is>
          <t>2023-12-29</t>
        </is>
      </c>
      <c r="E181" t="n">
        <v>5.1</v>
      </c>
      <c r="F181" t="n">
        <v>5.1</v>
      </c>
      <c r="G181" t="inlineStr">
        <is>
          <t>match</t>
        </is>
      </c>
    </row>
    <row r="182">
      <c r="A182" t="inlineStr">
        <is>
          <t>FVI.TO</t>
        </is>
      </c>
      <c r="B182" t="n">
        <v>2024</v>
      </c>
      <c r="C182" t="inlineStr">
        <is>
          <t>tmx</t>
        </is>
      </c>
      <c r="D182" t="inlineStr">
        <is>
          <t>2024-12-31</t>
        </is>
      </c>
      <c r="E182" t="n">
        <v>6.17</v>
      </c>
      <c r="F182" t="n">
        <v>6.17</v>
      </c>
      <c r="G182" t="inlineStr">
        <is>
          <t>match</t>
        </is>
      </c>
    </row>
    <row r="183">
      <c r="A183" t="inlineStr">
        <is>
          <t>FVI.TO</t>
        </is>
      </c>
      <c r="B183" t="n">
        <v>2025</v>
      </c>
      <c r="C183" t="inlineStr">
        <is>
          <t>tmx</t>
        </is>
      </c>
      <c r="D183" t="inlineStr">
        <is>
          <t>2025-12-31</t>
        </is>
      </c>
      <c r="E183" t="n">
        <v>13.45</v>
      </c>
      <c r="F183" t="n">
        <v>13.45</v>
      </c>
      <c r="G183" t="inlineStr">
        <is>
          <t>match</t>
        </is>
      </c>
    </row>
    <row r="184">
      <c r="A184" t="inlineStr">
        <is>
          <t>FVI.TO</t>
        </is>
      </c>
      <c r="B184" t="n">
        <v>2026</v>
      </c>
      <c r="C184" t="inlineStr">
        <is>
          <t>tmx</t>
        </is>
      </c>
      <c r="D184" t="inlineStr">
        <is>
          <t>2026-09-25</t>
        </is>
      </c>
      <c r="E184" t="n">
        <v>16.56</v>
      </c>
      <c r="F184" t="n">
        <v>16.56</v>
      </c>
      <c r="G184" t="inlineStr">
        <is>
          <t>match</t>
        </is>
      </c>
    </row>
    <row r="185">
      <c r="A185" t="inlineStr">
        <is>
          <t>GFI</t>
        </is>
      </c>
      <c r="B185" t="n">
        <v>2017</v>
      </c>
      <c r="C185" t="inlineStr">
        <is>
          <t>nasdaq</t>
        </is>
      </c>
      <c r="D185" t="inlineStr">
        <is>
          <t>2017-12-29</t>
        </is>
      </c>
      <c r="E185" t="n">
        <v>4.3</v>
      </c>
      <c r="F185" t="n">
        <v>4.3</v>
      </c>
      <c r="G185" t="inlineStr">
        <is>
          <t>match</t>
        </is>
      </c>
    </row>
    <row r="186">
      <c r="A186" t="inlineStr">
        <is>
          <t>GFI</t>
        </is>
      </c>
      <c r="B186" t="n">
        <v>2018</v>
      </c>
      <c r="C186" t="inlineStr">
        <is>
          <t>nasdaq</t>
        </is>
      </c>
      <c r="D186" t="inlineStr">
        <is>
          <t>2018-12-31</t>
        </is>
      </c>
      <c r="E186" t="n">
        <v>3.52</v>
      </c>
      <c r="F186" t="n">
        <v>3.52</v>
      </c>
      <c r="G186" t="inlineStr">
        <is>
          <t>match</t>
        </is>
      </c>
    </row>
    <row r="187">
      <c r="A187" t="inlineStr">
        <is>
          <t>GFI</t>
        </is>
      </c>
      <c r="B187" t="n">
        <v>2019</v>
      </c>
      <c r="C187" t="inlineStr">
        <is>
          <t>nasdaq</t>
        </is>
      </c>
      <c r="D187" t="inlineStr">
        <is>
          <t>2019-12-31</t>
        </is>
      </c>
      <c r="E187" t="n">
        <v>6.6</v>
      </c>
      <c r="F187" t="n">
        <v>6.6</v>
      </c>
      <c r="G187" t="inlineStr">
        <is>
          <t>match</t>
        </is>
      </c>
    </row>
    <row r="188">
      <c r="A188" t="inlineStr">
        <is>
          <t>GFI</t>
        </is>
      </c>
      <c r="B188" t="n">
        <v>2020</v>
      </c>
      <c r="C188" t="inlineStr">
        <is>
          <t>nasdaq</t>
        </is>
      </c>
      <c r="D188" t="inlineStr">
        <is>
          <t>2020-12-31</t>
        </is>
      </c>
      <c r="E188" t="n">
        <v>9.27</v>
      </c>
      <c r="F188" t="n">
        <v>9.27</v>
      </c>
      <c r="G188" t="inlineStr">
        <is>
          <t>match</t>
        </is>
      </c>
    </row>
    <row r="189">
      <c r="A189" t="inlineStr">
        <is>
          <t>GFI</t>
        </is>
      </c>
      <c r="B189" t="n">
        <v>2021</v>
      </c>
      <c r="C189" t="inlineStr">
        <is>
          <t>nasdaq</t>
        </is>
      </c>
      <c r="D189" t="inlineStr">
        <is>
          <t>2021-12-31</t>
        </is>
      </c>
      <c r="E189" t="n">
        <v>10.99</v>
      </c>
      <c r="F189" t="n">
        <v>10.99</v>
      </c>
      <c r="G189" t="inlineStr">
        <is>
          <t>match</t>
        </is>
      </c>
    </row>
    <row r="190">
      <c r="A190" t="inlineStr">
        <is>
          <t>GFI</t>
        </is>
      </c>
      <c r="B190" t="n">
        <v>2022</v>
      </c>
      <c r="C190" t="inlineStr">
        <is>
          <t>nasdaq</t>
        </is>
      </c>
      <c r="D190" t="inlineStr">
        <is>
          <t>2022-12-30</t>
        </is>
      </c>
      <c r="E190" t="n">
        <v>10.35</v>
      </c>
      <c r="F190" t="n">
        <v>10.35</v>
      </c>
      <c r="G190" t="inlineStr">
        <is>
          <t>match</t>
        </is>
      </c>
    </row>
    <row r="191">
      <c r="A191" t="inlineStr">
        <is>
          <t>GFI</t>
        </is>
      </c>
      <c r="B191" t="n">
        <v>2023</v>
      </c>
      <c r="C191" t="inlineStr">
        <is>
          <t>nasdaq</t>
        </is>
      </c>
      <c r="D191" t="inlineStr">
        <is>
          <t>2023-12-29</t>
        </is>
      </c>
      <c r="E191" t="n">
        <v>14.46</v>
      </c>
      <c r="F191" t="n">
        <v>14.46</v>
      </c>
      <c r="G191" t="inlineStr">
        <is>
          <t>match</t>
        </is>
      </c>
    </row>
    <row r="192">
      <c r="A192" t="inlineStr">
        <is>
          <t>GFI</t>
        </is>
      </c>
      <c r="B192" t="n">
        <v>2024</v>
      </c>
      <c r="C192" t="inlineStr">
        <is>
          <t>nasdaq</t>
        </is>
      </c>
      <c r="D192" t="inlineStr">
        <is>
          <t>2024-12-31</t>
        </is>
      </c>
      <c r="E192" t="n">
        <v>13.2</v>
      </c>
      <c r="F192" t="n">
        <v>13.2</v>
      </c>
      <c r="G192" t="inlineStr">
        <is>
          <t>match</t>
        </is>
      </c>
    </row>
    <row r="193">
      <c r="A193" t="inlineStr">
        <is>
          <t>GFI</t>
        </is>
      </c>
      <c r="B193" t="n">
        <v>2025</v>
      </c>
      <c r="C193" t="inlineStr">
        <is>
          <t>nasdaq</t>
        </is>
      </c>
      <c r="D193" t="inlineStr">
        <is>
          <t>2025-12-31</t>
        </is>
      </c>
      <c r="E193" t="n">
        <v>43.66</v>
      </c>
      <c r="F193" t="n">
        <v>43.66</v>
      </c>
      <c r="G193" t="inlineStr">
        <is>
          <t>match</t>
        </is>
      </c>
    </row>
    <row r="194">
      <c r="A194" t="inlineStr">
        <is>
          <t>GFI</t>
        </is>
      </c>
      <c r="B194" t="n">
        <v>2026</v>
      </c>
      <c r="C194" t="inlineStr">
        <is>
          <t>nasdaq</t>
        </is>
      </c>
      <c r="D194" t="inlineStr">
        <is>
          <t>2026-09-25</t>
        </is>
      </c>
      <c r="E194" t="n">
        <v>40.38</v>
      </c>
      <c r="F194" t="n">
        <v>40.38</v>
      </c>
      <c r="G194" t="inlineStr">
        <is>
          <t>match</t>
        </is>
      </c>
    </row>
    <row r="195">
      <c r="A195" t="inlineStr">
        <is>
          <t>GMD.AX</t>
        </is>
      </c>
      <c r="B195" t="n">
        <v>2017</v>
      </c>
      <c r="C195" t="inlineStr">
        <is>
          <t>cnbc_unadjusted</t>
        </is>
      </c>
      <c r="D195" t="inlineStr">
        <is>
          <t>2017-12-29</t>
        </is>
      </c>
      <c r="E195" t="n">
        <v>0.033</v>
      </c>
      <c r="F195" t="n">
        <v>0.033</v>
      </c>
      <c r="G195" t="inlineStr">
        <is>
          <t>match</t>
        </is>
      </c>
    </row>
    <row r="196">
      <c r="A196" t="inlineStr">
        <is>
          <t>GMD.AX</t>
        </is>
      </c>
      <c r="B196" t="n">
        <v>2018</v>
      </c>
      <c r="C196" t="inlineStr">
        <is>
          <t>cnbc_unadjusted</t>
        </is>
      </c>
      <c r="D196" t="inlineStr">
        <is>
          <t>2018-12-31</t>
        </is>
      </c>
      <c r="E196" t="n">
        <v>0.033</v>
      </c>
      <c r="F196" t="n">
        <v>0.033</v>
      </c>
      <c r="G196" t="inlineStr">
        <is>
          <t>match</t>
        </is>
      </c>
    </row>
    <row r="197">
      <c r="A197" t="inlineStr">
        <is>
          <t>GMD.AX</t>
        </is>
      </c>
      <c r="B197" t="n">
        <v>2019</v>
      </c>
      <c r="C197" t="inlineStr">
        <is>
          <t>cnbc_unadjusted</t>
        </is>
      </c>
      <c r="D197" t="inlineStr">
        <is>
          <t>2019-12-31</t>
        </is>
      </c>
      <c r="E197" t="n">
        <v>0.032</v>
      </c>
      <c r="F197" t="n">
        <v>0.032</v>
      </c>
      <c r="G197" t="inlineStr">
        <is>
          <t>match</t>
        </is>
      </c>
    </row>
    <row r="198">
      <c r="A198" t="inlineStr">
        <is>
          <t>GMD.AX</t>
        </is>
      </c>
      <c r="B198" t="n">
        <v>2020</v>
      </c>
      <c r="C198" t="inlineStr">
        <is>
          <t>cnbc_unadjusted</t>
        </is>
      </c>
      <c r="D198" t="inlineStr">
        <is>
          <t>2020-12-31</t>
        </is>
      </c>
      <c r="E198" t="n">
        <v>0.074</v>
      </c>
      <c r="F198" t="n">
        <v>0.074</v>
      </c>
      <c r="G198" t="inlineStr">
        <is>
          <t>match</t>
        </is>
      </c>
    </row>
    <row r="199">
      <c r="A199" t="inlineStr">
        <is>
          <t>GMD.AX</t>
        </is>
      </c>
      <c r="B199" t="n">
        <v>2021</v>
      </c>
      <c r="C199" t="inlineStr">
        <is>
          <t>cnbc_unadjusted</t>
        </is>
      </c>
      <c r="D199" t="inlineStr">
        <is>
          <t>2021-12-31</t>
        </is>
      </c>
      <c r="E199" t="n">
        <v>0.165</v>
      </c>
      <c r="F199" t="n">
        <v>0.165</v>
      </c>
      <c r="G199" t="inlineStr">
        <is>
          <t>match</t>
        </is>
      </c>
    </row>
    <row r="200">
      <c r="A200" t="inlineStr">
        <is>
          <t>GMD.AX</t>
        </is>
      </c>
      <c r="B200" t="n">
        <v>2022</v>
      </c>
      <c r="C200" t="inlineStr">
        <is>
          <t>cnbc_unadjusted</t>
        </is>
      </c>
      <c r="D200" t="inlineStr">
        <is>
          <t>2022-12-30</t>
        </is>
      </c>
      <c r="E200" t="n">
        <v>1.25</v>
      </c>
      <c r="F200" t="n">
        <v>1.25</v>
      </c>
      <c r="G200" t="inlineStr">
        <is>
          <t>match</t>
        </is>
      </c>
    </row>
    <row r="201">
      <c r="A201" t="inlineStr">
        <is>
          <t>GMD.AX</t>
        </is>
      </c>
      <c r="B201" t="n">
        <v>2022</v>
      </c>
      <c r="C201" t="inlineStr">
        <is>
          <t>cnbc_adjusted</t>
        </is>
      </c>
      <c r="D201" t="inlineStr">
        <is>
          <t>2022-12-30</t>
        </is>
      </c>
      <c r="E201" t="n">
        <v>1.25</v>
      </c>
      <c r="F201" t="n">
        <v>1.25</v>
      </c>
      <c r="G201" t="inlineStr">
        <is>
          <t>match</t>
        </is>
      </c>
    </row>
    <row r="202">
      <c r="A202" t="inlineStr">
        <is>
          <t>GMD.AX</t>
        </is>
      </c>
      <c r="B202" t="n">
        <v>2023</v>
      </c>
      <c r="C202" t="inlineStr">
        <is>
          <t>cnbc_unadjusted</t>
        </is>
      </c>
      <c r="D202" t="inlineStr">
        <is>
          <t>2023-12-29</t>
        </is>
      </c>
      <c r="E202" t="n">
        <v>1.79</v>
      </c>
      <c r="F202" t="n">
        <v>1.79</v>
      </c>
      <c r="G202" t="inlineStr">
        <is>
          <t>match</t>
        </is>
      </c>
    </row>
    <row r="203">
      <c r="A203" t="inlineStr">
        <is>
          <t>GMD.AX</t>
        </is>
      </c>
      <c r="B203" t="n">
        <v>2023</v>
      </c>
      <c r="C203" t="inlineStr">
        <is>
          <t>cnbc_adjusted</t>
        </is>
      </c>
      <c r="D203" t="inlineStr">
        <is>
          <t>2023-12-29</t>
        </is>
      </c>
      <c r="E203" t="n">
        <v>1.79</v>
      </c>
      <c r="F203" t="n">
        <v>1.79</v>
      </c>
      <c r="G203" t="inlineStr">
        <is>
          <t>match</t>
        </is>
      </c>
    </row>
    <row r="204">
      <c r="A204" t="inlineStr">
        <is>
          <t>GMD.AX</t>
        </is>
      </c>
      <c r="B204" t="n">
        <v>2024</v>
      </c>
      <c r="C204" t="inlineStr">
        <is>
          <t>cnbc_unadjusted</t>
        </is>
      </c>
      <c r="D204" t="inlineStr">
        <is>
          <t>2024-12-31</t>
        </is>
      </c>
      <c r="E204" t="n">
        <v>2.47</v>
      </c>
      <c r="F204" t="n">
        <v>2.47</v>
      </c>
      <c r="G204" t="inlineStr">
        <is>
          <t>match</t>
        </is>
      </c>
    </row>
    <row r="205">
      <c r="A205" t="inlineStr">
        <is>
          <t>GMD.AX</t>
        </is>
      </c>
      <c r="B205" t="n">
        <v>2024</v>
      </c>
      <c r="C205" t="inlineStr">
        <is>
          <t>cnbc_adjusted</t>
        </is>
      </c>
      <c r="D205" t="inlineStr">
        <is>
          <t>2024-12-31</t>
        </is>
      </c>
      <c r="E205" t="n">
        <v>2.47</v>
      </c>
      <c r="F205" t="n">
        <v>2.47</v>
      </c>
      <c r="G205" t="inlineStr">
        <is>
          <t>match</t>
        </is>
      </c>
    </row>
    <row r="206">
      <c r="A206" t="inlineStr">
        <is>
          <t>GMD.AX</t>
        </is>
      </c>
      <c r="B206" t="n">
        <v>2025</v>
      </c>
      <c r="C206" t="inlineStr">
        <is>
          <t>cnbc_unadjusted</t>
        </is>
      </c>
      <c r="D206" t="inlineStr">
        <is>
          <t>2025-12-31</t>
        </is>
      </c>
      <c r="E206" t="n">
        <v>7.25</v>
      </c>
      <c r="F206" t="n">
        <v>7.25</v>
      </c>
      <c r="G206" t="inlineStr">
        <is>
          <t>match</t>
        </is>
      </c>
    </row>
    <row r="207">
      <c r="A207" t="inlineStr">
        <is>
          <t>GMD.AX</t>
        </is>
      </c>
      <c r="B207" t="n">
        <v>2025</v>
      </c>
      <c r="C207" t="inlineStr">
        <is>
          <t>cnbc_adjusted</t>
        </is>
      </c>
      <c r="D207" t="inlineStr">
        <is>
          <t>2025-12-31</t>
        </is>
      </c>
      <c r="E207" t="n">
        <v>7.25</v>
      </c>
      <c r="F207" t="n">
        <v>7.25</v>
      </c>
      <c r="G207" t="inlineStr">
        <is>
          <t>match</t>
        </is>
      </c>
    </row>
    <row r="208">
      <c r="A208" t="inlineStr">
        <is>
          <t>GMD.AX</t>
        </is>
      </c>
      <c r="B208" t="n">
        <v>2026</v>
      </c>
      <c r="C208" t="inlineStr">
        <is>
          <t>cnbc_unadjusted</t>
        </is>
      </c>
      <c r="D208" t="inlineStr">
        <is>
          <t>2026-09-25</t>
        </is>
      </c>
      <c r="E208" t="n">
        <v>7.65</v>
      </c>
      <c r="F208" t="n">
        <v>7.65</v>
      </c>
      <c r="G208" t="inlineStr">
        <is>
          <t>match</t>
        </is>
      </c>
    </row>
    <row r="209">
      <c r="A209" t="inlineStr">
        <is>
          <t>GMD.AX</t>
        </is>
      </c>
      <c r="B209" t="n">
        <v>2026</v>
      </c>
      <c r="C209" t="inlineStr">
        <is>
          <t>cnbc_adjusted</t>
        </is>
      </c>
      <c r="D209" t="inlineStr">
        <is>
          <t>2026-09-25</t>
        </is>
      </c>
      <c r="E209" t="n">
        <v>7.65</v>
      </c>
      <c r="F209" t="n">
        <v>7.65</v>
      </c>
      <c r="G209" t="inlineStr">
        <is>
          <t>match</t>
        </is>
      </c>
    </row>
    <row r="210">
      <c r="A210" t="inlineStr">
        <is>
          <t>HMY</t>
        </is>
      </c>
      <c r="B210" t="n">
        <v>2017</v>
      </c>
      <c r="C210" t="inlineStr">
        <is>
          <t>nasdaq</t>
        </is>
      </c>
      <c r="D210" t="inlineStr">
        <is>
          <t>2017-12-29</t>
        </is>
      </c>
      <c r="E210" t="n">
        <v>1.87</v>
      </c>
      <c r="F210" t="n">
        <v>1.87</v>
      </c>
      <c r="G210" t="inlineStr">
        <is>
          <t>match</t>
        </is>
      </c>
    </row>
    <row r="211">
      <c r="A211" t="inlineStr">
        <is>
          <t>HMY</t>
        </is>
      </c>
      <c r="B211" t="n">
        <v>2018</v>
      </c>
      <c r="C211" t="inlineStr">
        <is>
          <t>nasdaq</t>
        </is>
      </c>
      <c r="D211" t="inlineStr">
        <is>
          <t>2018-12-31</t>
        </is>
      </c>
      <c r="E211" t="n">
        <v>1.79</v>
      </c>
      <c r="F211" t="n">
        <v>1.79</v>
      </c>
      <c r="G211" t="inlineStr">
        <is>
          <t>match</t>
        </is>
      </c>
    </row>
    <row r="212">
      <c r="A212" t="inlineStr">
        <is>
          <t>HMY</t>
        </is>
      </c>
      <c r="B212" t="n">
        <v>2019</v>
      </c>
      <c r="C212" t="inlineStr">
        <is>
          <t>nasdaq</t>
        </is>
      </c>
      <c r="D212" t="inlineStr">
        <is>
          <t>2019-12-31</t>
        </is>
      </c>
      <c r="E212" t="n">
        <v>3.63</v>
      </c>
      <c r="F212" t="n">
        <v>3.63</v>
      </c>
      <c r="G212" t="inlineStr">
        <is>
          <t>match</t>
        </is>
      </c>
    </row>
    <row r="213">
      <c r="A213" t="inlineStr">
        <is>
          <t>HMY</t>
        </is>
      </c>
      <c r="B213" t="n">
        <v>2020</v>
      </c>
      <c r="C213" t="inlineStr">
        <is>
          <t>nasdaq</t>
        </is>
      </c>
      <c r="D213" t="inlineStr">
        <is>
          <t>2020-12-31</t>
        </is>
      </c>
      <c r="E213" t="n">
        <v>4.68</v>
      </c>
      <c r="F213" t="n">
        <v>4.68</v>
      </c>
      <c r="G213" t="inlineStr">
        <is>
          <t>match</t>
        </is>
      </c>
    </row>
    <row r="214">
      <c r="A214" t="inlineStr">
        <is>
          <t>HMY</t>
        </is>
      </c>
      <c r="B214" t="n">
        <v>2021</v>
      </c>
      <c r="C214" t="inlineStr">
        <is>
          <t>nasdaq</t>
        </is>
      </c>
      <c r="D214" t="inlineStr">
        <is>
          <t>2021-12-31</t>
        </is>
      </c>
      <c r="E214" t="n">
        <v>4.11</v>
      </c>
      <c r="F214" t="n">
        <v>4.11</v>
      </c>
      <c r="G214" t="inlineStr">
        <is>
          <t>match</t>
        </is>
      </c>
    </row>
    <row r="215">
      <c r="A215" t="inlineStr">
        <is>
          <t>HMY</t>
        </is>
      </c>
      <c r="B215" t="n">
        <v>2022</v>
      </c>
      <c r="C215" t="inlineStr">
        <is>
          <t>nasdaq</t>
        </is>
      </c>
      <c r="D215" t="inlineStr">
        <is>
          <t>2022-12-30</t>
        </is>
      </c>
      <c r="E215" t="n">
        <v>3.4</v>
      </c>
      <c r="F215" t="n">
        <v>3.4</v>
      </c>
      <c r="G215" t="inlineStr">
        <is>
          <t>match</t>
        </is>
      </c>
    </row>
    <row r="216">
      <c r="A216" t="inlineStr">
        <is>
          <t>HMY</t>
        </is>
      </c>
      <c r="B216" t="n">
        <v>2023</v>
      </c>
      <c r="C216" t="inlineStr">
        <is>
          <t>nasdaq</t>
        </is>
      </c>
      <c r="D216" t="inlineStr">
        <is>
          <t>2023-12-29</t>
        </is>
      </c>
      <c r="E216" t="n">
        <v>6.15</v>
      </c>
      <c r="F216" t="n">
        <v>6.15</v>
      </c>
      <c r="G216" t="inlineStr">
        <is>
          <t>match</t>
        </is>
      </c>
    </row>
    <row r="217">
      <c r="A217" t="inlineStr">
        <is>
          <t>HMY</t>
        </is>
      </c>
      <c r="B217" t="n">
        <v>2024</v>
      </c>
      <c r="C217" t="inlineStr">
        <is>
          <t>nasdaq</t>
        </is>
      </c>
      <c r="D217" t="inlineStr">
        <is>
          <t>2024-12-31</t>
        </is>
      </c>
      <c r="E217" t="n">
        <v>8.210000000000001</v>
      </c>
      <c r="F217" t="n">
        <v>8.210000000000001</v>
      </c>
      <c r="G217" t="inlineStr">
        <is>
          <t>match</t>
        </is>
      </c>
    </row>
    <row r="218">
      <c r="A218" t="inlineStr">
        <is>
          <t>HMY</t>
        </is>
      </c>
      <c r="B218" t="n">
        <v>2025</v>
      </c>
      <c r="C218" t="inlineStr">
        <is>
          <t>nasdaq</t>
        </is>
      </c>
      <c r="D218" t="inlineStr">
        <is>
          <t>2025-12-31</t>
        </is>
      </c>
      <c r="E218" t="n">
        <v>19.9</v>
      </c>
      <c r="F218" t="n">
        <v>19.9</v>
      </c>
      <c r="G218" t="inlineStr">
        <is>
          <t>match</t>
        </is>
      </c>
    </row>
    <row r="219">
      <c r="A219" t="inlineStr">
        <is>
          <t>HMY</t>
        </is>
      </c>
      <c r="B219" t="n">
        <v>2026</v>
      </c>
      <c r="C219" t="inlineStr">
        <is>
          <t>nasdaq</t>
        </is>
      </c>
      <c r="D219" t="inlineStr">
        <is>
          <t>2026-09-25</t>
        </is>
      </c>
      <c r="E219" t="n">
        <v>18.97</v>
      </c>
      <c r="F219" t="n">
        <v>18.97</v>
      </c>
      <c r="G219" t="inlineStr">
        <is>
          <t>match</t>
        </is>
      </c>
    </row>
    <row r="220">
      <c r="A220" t="inlineStr">
        <is>
          <t>IAU.TO</t>
        </is>
      </c>
      <c r="B220" t="n">
        <v>2021</v>
      </c>
      <c r="C220" t="inlineStr">
        <is>
          <t>tmx</t>
        </is>
      </c>
      <c r="D220" t="inlineStr">
        <is>
          <t>2021-12-31</t>
        </is>
      </c>
      <c r="E220" t="n">
        <v>3.09</v>
      </c>
      <c r="F220" t="n">
        <v>3.09</v>
      </c>
      <c r="G220" t="inlineStr">
        <is>
          <t>match</t>
        </is>
      </c>
    </row>
    <row r="221">
      <c r="A221" t="inlineStr">
        <is>
          <t>IAU.TO</t>
        </is>
      </c>
      <c r="B221" t="n">
        <v>2022</v>
      </c>
      <c r="C221" t="inlineStr">
        <is>
          <t>tmx</t>
        </is>
      </c>
      <c r="D221" t="inlineStr">
        <is>
          <t>2022-12-30</t>
        </is>
      </c>
      <c r="E221" t="n">
        <v>3.78</v>
      </c>
      <c r="F221" t="n">
        <v>3.78</v>
      </c>
      <c r="G221" t="inlineStr">
        <is>
          <t>match</t>
        </is>
      </c>
    </row>
    <row r="222">
      <c r="A222" t="inlineStr">
        <is>
          <t>IAU.TO</t>
        </is>
      </c>
      <c r="B222" t="n">
        <v>2023</v>
      </c>
      <c r="C222" t="inlineStr">
        <is>
          <t>tmx</t>
        </is>
      </c>
      <c r="D222" t="inlineStr">
        <is>
          <t>2023-12-29</t>
        </is>
      </c>
      <c r="E222" t="n">
        <v>2.33</v>
      </c>
      <c r="F222" t="n">
        <v>2.33</v>
      </c>
      <c r="G222" t="inlineStr">
        <is>
          <t>match</t>
        </is>
      </c>
    </row>
    <row r="223">
      <c r="A223" t="inlineStr">
        <is>
          <t>IAU.TO</t>
        </is>
      </c>
      <c r="B223" t="n">
        <v>2024</v>
      </c>
      <c r="C223" t="inlineStr">
        <is>
          <t>tmx</t>
        </is>
      </c>
      <c r="D223" t="inlineStr">
        <is>
          <t>2024-12-31</t>
        </is>
      </c>
      <c r="E223" t="n">
        <v>0.6899999999999999</v>
      </c>
      <c r="F223" t="n">
        <v>0.6899999999999999</v>
      </c>
      <c r="G223" t="inlineStr">
        <is>
          <t>match</t>
        </is>
      </c>
    </row>
    <row r="224">
      <c r="A224" t="inlineStr">
        <is>
          <t>IAU.TO</t>
        </is>
      </c>
      <c r="B224" t="n">
        <v>2025</v>
      </c>
      <c r="C224" t="inlineStr">
        <is>
          <t>tmx</t>
        </is>
      </c>
      <c r="D224" t="inlineStr">
        <is>
          <t>2025-12-31</t>
        </is>
      </c>
      <c r="E224" t="n">
        <v>2.02</v>
      </c>
      <c r="F224" t="n">
        <v>2.02</v>
      </c>
      <c r="G224" t="inlineStr">
        <is>
          <t>match</t>
        </is>
      </c>
    </row>
    <row r="225">
      <c r="A225" t="inlineStr">
        <is>
          <t>IAU.TO</t>
        </is>
      </c>
      <c r="B225" t="n">
        <v>2026</v>
      </c>
      <c r="C225" t="inlineStr">
        <is>
          <t>tmx</t>
        </is>
      </c>
      <c r="D225" t="inlineStr">
        <is>
          <t>2026-09-25</t>
        </is>
      </c>
      <c r="E225" t="n">
        <v>2.48</v>
      </c>
      <c r="F225" t="n">
        <v>2.48</v>
      </c>
      <c r="G225" t="inlineStr">
        <is>
          <t>match</t>
        </is>
      </c>
    </row>
    <row r="226">
      <c r="A226" t="inlineStr">
        <is>
          <t>IMG.TO</t>
        </is>
      </c>
      <c r="B226" t="n">
        <v>2017</v>
      </c>
      <c r="C226" t="inlineStr">
        <is>
          <t>tmx</t>
        </is>
      </c>
      <c r="D226" t="inlineStr">
        <is>
          <t>2017-12-29</t>
        </is>
      </c>
      <c r="E226" t="n">
        <v>7.33</v>
      </c>
      <c r="F226" t="n">
        <v>7.33</v>
      </c>
      <c r="G226" t="inlineStr">
        <is>
          <t>match</t>
        </is>
      </c>
    </row>
    <row r="227">
      <c r="A227" t="inlineStr">
        <is>
          <t>IMG.TO</t>
        </is>
      </c>
      <c r="B227" t="n">
        <v>2018</v>
      </c>
      <c r="C227" t="inlineStr">
        <is>
          <t>tmx</t>
        </is>
      </c>
      <c r="D227" t="inlineStr">
        <is>
          <t>2018-12-31</t>
        </is>
      </c>
      <c r="E227" t="n">
        <v>5.01</v>
      </c>
      <c r="F227" t="n">
        <v>5.01</v>
      </c>
      <c r="G227" t="inlineStr">
        <is>
          <t>match</t>
        </is>
      </c>
    </row>
    <row r="228">
      <c r="A228" t="inlineStr">
        <is>
          <t>IMG.TO</t>
        </is>
      </c>
      <c r="B228" t="n">
        <v>2019</v>
      </c>
      <c r="C228" t="inlineStr">
        <is>
          <t>tmx</t>
        </is>
      </c>
      <c r="D228" t="inlineStr">
        <is>
          <t>2019-12-31</t>
        </is>
      </c>
      <c r="E228" t="n">
        <v>4.85</v>
      </c>
      <c r="F228" t="n">
        <v>4.85</v>
      </c>
      <c r="G228" t="inlineStr">
        <is>
          <t>match</t>
        </is>
      </c>
    </row>
    <row r="229">
      <c r="A229" t="inlineStr">
        <is>
          <t>IMG.TO</t>
        </is>
      </c>
      <c r="B229" t="n">
        <v>2020</v>
      </c>
      <c r="C229" t="inlineStr">
        <is>
          <t>tmx</t>
        </is>
      </c>
      <c r="D229" t="inlineStr">
        <is>
          <t>2020-12-31</t>
        </is>
      </c>
      <c r="E229" t="n">
        <v>4.67</v>
      </c>
      <c r="F229" t="n">
        <v>4.67</v>
      </c>
      <c r="G229" t="inlineStr">
        <is>
          <t>match</t>
        </is>
      </c>
    </row>
    <row r="230">
      <c r="A230" t="inlineStr">
        <is>
          <t>IMG.TO</t>
        </is>
      </c>
      <c r="B230" t="n">
        <v>2021</v>
      </c>
      <c r="C230" t="inlineStr">
        <is>
          <t>tmx</t>
        </is>
      </c>
      <c r="D230" t="inlineStr">
        <is>
          <t>2021-12-31</t>
        </is>
      </c>
      <c r="E230" t="n">
        <v>3.94</v>
      </c>
      <c r="F230" t="n">
        <v>3.94</v>
      </c>
      <c r="G230" t="inlineStr">
        <is>
          <t>match</t>
        </is>
      </c>
    </row>
    <row r="231">
      <c r="A231" t="inlineStr">
        <is>
          <t>IMG.TO</t>
        </is>
      </c>
      <c r="B231" t="n">
        <v>2022</v>
      </c>
      <c r="C231" t="inlineStr">
        <is>
          <t>tmx</t>
        </is>
      </c>
      <c r="D231" t="inlineStr">
        <is>
          <t>2022-12-30</t>
        </is>
      </c>
      <c r="E231" t="n">
        <v>3.47</v>
      </c>
      <c r="F231" t="n">
        <v>3.47</v>
      </c>
      <c r="G231" t="inlineStr">
        <is>
          <t>match</t>
        </is>
      </c>
    </row>
    <row r="232">
      <c r="A232" t="inlineStr">
        <is>
          <t>IMG.TO</t>
        </is>
      </c>
      <c r="B232" t="n">
        <v>2023</v>
      </c>
      <c r="C232" t="inlineStr">
        <is>
          <t>tmx</t>
        </is>
      </c>
      <c r="D232" t="inlineStr">
        <is>
          <t>2023-12-29</t>
        </is>
      </c>
      <c r="E232" t="n">
        <v>3.34</v>
      </c>
      <c r="F232" t="n">
        <v>3.34</v>
      </c>
      <c r="G232" t="inlineStr">
        <is>
          <t>match</t>
        </is>
      </c>
    </row>
    <row r="233">
      <c r="A233" t="inlineStr">
        <is>
          <t>IMG.TO</t>
        </is>
      </c>
      <c r="B233" t="n">
        <v>2024</v>
      </c>
      <c r="C233" t="inlineStr">
        <is>
          <t>tmx</t>
        </is>
      </c>
      <c r="D233" t="inlineStr">
        <is>
          <t>2024-12-31</t>
        </is>
      </c>
      <c r="E233" t="n">
        <v>7.43</v>
      </c>
      <c r="F233" t="n">
        <v>7.43</v>
      </c>
      <c r="G233" t="inlineStr">
        <is>
          <t>match</t>
        </is>
      </c>
    </row>
    <row r="234">
      <c r="A234" t="inlineStr">
        <is>
          <t>IMG.TO</t>
        </is>
      </c>
      <c r="B234" t="n">
        <v>2025</v>
      </c>
      <c r="C234" t="inlineStr">
        <is>
          <t>tmx</t>
        </is>
      </c>
      <c r="D234" t="inlineStr">
        <is>
          <t>2025-12-31</t>
        </is>
      </c>
      <c r="E234" t="n">
        <v>22.65</v>
      </c>
      <c r="F234" t="n">
        <v>22.65</v>
      </c>
      <c r="G234" t="inlineStr">
        <is>
          <t>match</t>
        </is>
      </c>
    </row>
    <row r="235">
      <c r="A235" t="inlineStr">
        <is>
          <t>IMG.TO</t>
        </is>
      </c>
      <c r="B235" t="n">
        <v>2026</v>
      </c>
      <c r="C235" t="inlineStr">
        <is>
          <t>tmx</t>
        </is>
      </c>
      <c r="D235" t="inlineStr">
        <is>
          <t>2026-09-25</t>
        </is>
      </c>
      <c r="E235" t="n">
        <v>27.85</v>
      </c>
      <c r="F235" t="n">
        <v>27.85</v>
      </c>
      <c r="G235" t="inlineStr">
        <is>
          <t>match</t>
        </is>
      </c>
    </row>
    <row r="236">
      <c r="A236" t="inlineStr">
        <is>
          <t>K.TO</t>
        </is>
      </c>
      <c r="B236" t="n">
        <v>2017</v>
      </c>
      <c r="C236" t="inlineStr">
        <is>
          <t>tmx</t>
        </is>
      </c>
      <c r="D236" t="inlineStr">
        <is>
          <t>2017-12-29</t>
        </is>
      </c>
      <c r="E236" t="n">
        <v>5.42</v>
      </c>
      <c r="F236" t="n">
        <v>5.42</v>
      </c>
      <c r="G236" t="inlineStr">
        <is>
          <t>match</t>
        </is>
      </c>
    </row>
    <row r="237">
      <c r="A237" t="inlineStr">
        <is>
          <t>K.TO</t>
        </is>
      </c>
      <c r="B237" t="n">
        <v>2018</v>
      </c>
      <c r="C237" t="inlineStr">
        <is>
          <t>tmx</t>
        </is>
      </c>
      <c r="D237" t="inlineStr">
        <is>
          <t>2018-12-31</t>
        </is>
      </c>
      <c r="E237" t="n">
        <v>4.4</v>
      </c>
      <c r="F237" t="n">
        <v>4.4</v>
      </c>
      <c r="G237" t="inlineStr">
        <is>
          <t>match</t>
        </is>
      </c>
    </row>
    <row r="238">
      <c r="A238" t="inlineStr">
        <is>
          <t>K.TO</t>
        </is>
      </c>
      <c r="B238" t="n">
        <v>2019</v>
      </c>
      <c r="C238" t="inlineStr">
        <is>
          <t>tmx</t>
        </is>
      </c>
      <c r="D238" t="inlineStr">
        <is>
          <t>2019-12-31</t>
        </is>
      </c>
      <c r="E238" t="n">
        <v>6.16</v>
      </c>
      <c r="F238" t="n">
        <v>6.16</v>
      </c>
      <c r="G238" t="inlineStr">
        <is>
          <t>match</t>
        </is>
      </c>
    </row>
    <row r="239">
      <c r="A239" t="inlineStr">
        <is>
          <t>K.TO</t>
        </is>
      </c>
      <c r="B239" t="n">
        <v>2020</v>
      </c>
      <c r="C239" t="inlineStr">
        <is>
          <t>tmx</t>
        </is>
      </c>
      <c r="D239" t="inlineStr">
        <is>
          <t>2020-12-31</t>
        </is>
      </c>
      <c r="E239" t="n">
        <v>9.34</v>
      </c>
      <c r="F239" t="n">
        <v>9.34</v>
      </c>
      <c r="G239" t="inlineStr">
        <is>
          <t>match</t>
        </is>
      </c>
    </row>
    <row r="240">
      <c r="A240" t="inlineStr">
        <is>
          <t>K.TO</t>
        </is>
      </c>
      <c r="B240" t="n">
        <v>2021</v>
      </c>
      <c r="C240" t="inlineStr">
        <is>
          <t>tmx</t>
        </is>
      </c>
      <c r="D240" t="inlineStr">
        <is>
          <t>2021-12-31</t>
        </is>
      </c>
      <c r="E240" t="n">
        <v>7.34</v>
      </c>
      <c r="F240" t="n">
        <v>7.34</v>
      </c>
      <c r="G240" t="inlineStr">
        <is>
          <t>match</t>
        </is>
      </c>
    </row>
    <row r="241">
      <c r="A241" t="inlineStr">
        <is>
          <t>K.TO</t>
        </is>
      </c>
      <c r="B241" t="n">
        <v>2022</v>
      </c>
      <c r="C241" t="inlineStr">
        <is>
          <t>tmx</t>
        </is>
      </c>
      <c r="D241" t="inlineStr">
        <is>
          <t>2022-12-30</t>
        </is>
      </c>
      <c r="E241" t="n">
        <v>5.52</v>
      </c>
      <c r="F241" t="n">
        <v>5.52</v>
      </c>
      <c r="G241" t="inlineStr">
        <is>
          <t>match</t>
        </is>
      </c>
    </row>
    <row r="242">
      <c r="A242" t="inlineStr">
        <is>
          <t>K.TO</t>
        </is>
      </c>
      <c r="B242" t="n">
        <v>2023</v>
      </c>
      <c r="C242" t="inlineStr">
        <is>
          <t>tmx</t>
        </is>
      </c>
      <c r="D242" t="inlineStr">
        <is>
          <t>2023-12-29</t>
        </is>
      </c>
      <c r="E242" t="n">
        <v>8.02</v>
      </c>
      <c r="F242" t="n">
        <v>8.02</v>
      </c>
      <c r="G242" t="inlineStr">
        <is>
          <t>match</t>
        </is>
      </c>
    </row>
    <row r="243">
      <c r="A243" t="inlineStr">
        <is>
          <t>K.TO</t>
        </is>
      </c>
      <c r="B243" t="n">
        <v>2024</v>
      </c>
      <c r="C243" t="inlineStr">
        <is>
          <t>tmx</t>
        </is>
      </c>
      <c r="D243" t="inlineStr">
        <is>
          <t>2024-12-31</t>
        </is>
      </c>
      <c r="E243" t="n">
        <v>13.35</v>
      </c>
      <c r="F243" t="n">
        <v>13.35</v>
      </c>
      <c r="G243" t="inlineStr">
        <is>
          <t>match</t>
        </is>
      </c>
    </row>
    <row r="244">
      <c r="A244" t="inlineStr">
        <is>
          <t>K.TO</t>
        </is>
      </c>
      <c r="B244" t="n">
        <v>2025</v>
      </c>
      <c r="C244" t="inlineStr">
        <is>
          <t>tmx</t>
        </is>
      </c>
      <c r="D244" t="inlineStr">
        <is>
          <t>2025-12-31</t>
        </is>
      </c>
      <c r="E244" t="n">
        <v>38.66</v>
      </c>
      <c r="F244" t="n">
        <v>38.66</v>
      </c>
      <c r="G244" t="inlineStr">
        <is>
          <t>match</t>
        </is>
      </c>
    </row>
    <row r="245">
      <c r="A245" t="inlineStr">
        <is>
          <t>K.TO</t>
        </is>
      </c>
      <c r="B245" t="n">
        <v>2026</v>
      </c>
      <c r="C245" t="inlineStr">
        <is>
          <t>tmx</t>
        </is>
      </c>
      <c r="D245" t="inlineStr">
        <is>
          <t>2026-09-25</t>
        </is>
      </c>
      <c r="E245" t="n">
        <v>35.46</v>
      </c>
      <c r="F245" t="n">
        <v>35.46</v>
      </c>
      <c r="G245" t="inlineStr">
        <is>
          <t>match</t>
        </is>
      </c>
    </row>
    <row r="246">
      <c r="A246" t="inlineStr">
        <is>
          <t>KNT.TO</t>
        </is>
      </c>
      <c r="B246" t="n">
        <v>2017</v>
      </c>
      <c r="C246" t="inlineStr">
        <is>
          <t>tmx</t>
        </is>
      </c>
      <c r="D246" t="inlineStr">
        <is>
          <t>2017-12-29</t>
        </is>
      </c>
      <c r="E246" t="n">
        <v>0.54</v>
      </c>
      <c r="F246" t="n">
        <v>0.54</v>
      </c>
      <c r="G246" t="inlineStr">
        <is>
          <t>match</t>
        </is>
      </c>
    </row>
    <row r="247">
      <c r="A247" t="inlineStr">
        <is>
          <t>KNT.TO</t>
        </is>
      </c>
      <c r="B247" t="n">
        <v>2018</v>
      </c>
      <c r="C247" t="inlineStr">
        <is>
          <t>tmx</t>
        </is>
      </c>
      <c r="D247" t="inlineStr">
        <is>
          <t>2018-12-31</t>
        </is>
      </c>
      <c r="E247" t="n">
        <v>0.84</v>
      </c>
      <c r="F247" t="n">
        <v>0.84</v>
      </c>
      <c r="G247" t="inlineStr">
        <is>
          <t>match</t>
        </is>
      </c>
    </row>
    <row r="248">
      <c r="A248" t="inlineStr">
        <is>
          <t>KNT.TO</t>
        </is>
      </c>
      <c r="B248" t="n">
        <v>2019</v>
      </c>
      <c r="C248" t="inlineStr">
        <is>
          <t>tmx</t>
        </is>
      </c>
      <c r="D248" t="inlineStr">
        <is>
          <t>2019-12-31</t>
        </is>
      </c>
      <c r="E248" t="n">
        <v>2.88</v>
      </c>
      <c r="F248" t="n">
        <v>2.88</v>
      </c>
      <c r="G248" t="inlineStr">
        <is>
          <t>match</t>
        </is>
      </c>
    </row>
    <row r="249">
      <c r="A249" t="inlineStr">
        <is>
          <t>KNT.TO</t>
        </is>
      </c>
      <c r="B249" t="n">
        <v>2020</v>
      </c>
      <c r="C249" t="inlineStr">
        <is>
          <t>tmx</t>
        </is>
      </c>
      <c r="D249" t="inlineStr">
        <is>
          <t>2020-12-31</t>
        </is>
      </c>
      <c r="E249" t="n">
        <v>7.61</v>
      </c>
      <c r="F249" t="n">
        <v>7.61</v>
      </c>
      <c r="G249" t="inlineStr">
        <is>
          <t>match</t>
        </is>
      </c>
    </row>
    <row r="250">
      <c r="A250" t="inlineStr">
        <is>
          <t>KNT.TO</t>
        </is>
      </c>
      <c r="B250" t="n">
        <v>2021</v>
      </c>
      <c r="C250" t="inlineStr">
        <is>
          <t>tmx</t>
        </is>
      </c>
      <c r="D250" t="inlineStr">
        <is>
          <t>2021-12-31</t>
        </is>
      </c>
      <c r="E250" t="n">
        <v>7.19</v>
      </c>
      <c r="F250" t="n">
        <v>7.19</v>
      </c>
      <c r="G250" t="inlineStr">
        <is>
          <t>match</t>
        </is>
      </c>
    </row>
    <row r="251">
      <c r="A251" t="inlineStr">
        <is>
          <t>KNT.TO</t>
        </is>
      </c>
      <c r="B251" t="n">
        <v>2022</v>
      </c>
      <c r="C251" t="inlineStr">
        <is>
          <t>tmx</t>
        </is>
      </c>
      <c r="D251" t="inlineStr">
        <is>
          <t>2022-12-30</t>
        </is>
      </c>
      <c r="E251" t="n">
        <v>7.67</v>
      </c>
      <c r="F251" t="n">
        <v>7.67</v>
      </c>
      <c r="G251" t="inlineStr">
        <is>
          <t>match</t>
        </is>
      </c>
    </row>
    <row r="252">
      <c r="A252" t="inlineStr">
        <is>
          <t>KNT.TO</t>
        </is>
      </c>
      <c r="B252" t="n">
        <v>2023</v>
      </c>
      <c r="C252" t="inlineStr">
        <is>
          <t>tmx</t>
        </is>
      </c>
      <c r="D252" t="inlineStr">
        <is>
          <t>2023-12-29</t>
        </is>
      </c>
      <c r="E252" t="n">
        <v>6.51</v>
      </c>
      <c r="F252" t="n">
        <v>6.51</v>
      </c>
      <c r="G252" t="inlineStr">
        <is>
          <t>match</t>
        </is>
      </c>
    </row>
    <row r="253">
      <c r="A253" t="inlineStr">
        <is>
          <t>KNT.TO</t>
        </is>
      </c>
      <c r="B253" t="n">
        <v>2024</v>
      </c>
      <c r="C253" t="inlineStr">
        <is>
          <t>tmx</t>
        </is>
      </c>
      <c r="D253" t="inlineStr">
        <is>
          <t>2024-12-31</t>
        </is>
      </c>
      <c r="E253" t="n">
        <v>8.68</v>
      </c>
      <c r="F253" t="n">
        <v>8.68</v>
      </c>
      <c r="G253" t="inlineStr">
        <is>
          <t>match</t>
        </is>
      </c>
    </row>
    <row r="254">
      <c r="A254" t="inlineStr">
        <is>
          <t>KNT.TO</t>
        </is>
      </c>
      <c r="B254" t="n">
        <v>2025</v>
      </c>
      <c r="C254" t="inlineStr">
        <is>
          <t>tmx</t>
        </is>
      </c>
      <c r="D254" t="inlineStr">
        <is>
          <t>2025-12-31</t>
        </is>
      </c>
      <c r="E254" t="n">
        <v>22.69</v>
      </c>
      <c r="F254" t="n">
        <v>22.69</v>
      </c>
      <c r="G254" t="inlineStr">
        <is>
          <t>match</t>
        </is>
      </c>
    </row>
    <row r="255">
      <c r="A255" t="inlineStr">
        <is>
          <t>KNT.TO</t>
        </is>
      </c>
      <c r="B255" t="n">
        <v>2026</v>
      </c>
      <c r="C255" t="inlineStr">
        <is>
          <t>tmx</t>
        </is>
      </c>
      <c r="D255" t="inlineStr">
        <is>
          <t>2026-09-25</t>
        </is>
      </c>
      <c r="E255" t="n">
        <v>29.45</v>
      </c>
      <c r="F255" t="n">
        <v>29.45</v>
      </c>
      <c r="G255" t="inlineStr">
        <is>
          <t>match</t>
        </is>
      </c>
    </row>
    <row r="256">
      <c r="A256" t="inlineStr">
        <is>
          <t>LYC.AX</t>
        </is>
      </c>
      <c r="B256" t="n">
        <v>2017</v>
      </c>
      <c r="C256" t="inlineStr">
        <is>
          <t>cnbc_unadjusted</t>
        </is>
      </c>
      <c r="D256" t="inlineStr">
        <is>
          <t>2017-12-29</t>
        </is>
      </c>
      <c r="E256" t="n">
        <v>2.18</v>
      </c>
      <c r="F256" t="n">
        <v>2.18</v>
      </c>
      <c r="G256" t="inlineStr">
        <is>
          <t>match</t>
        </is>
      </c>
    </row>
    <row r="257">
      <c r="A257" t="inlineStr">
        <is>
          <t>LYC.AX</t>
        </is>
      </c>
      <c r="B257" t="n">
        <v>2018</v>
      </c>
      <c r="C257" t="inlineStr">
        <is>
          <t>cnbc_unadjusted</t>
        </is>
      </c>
      <c r="D257" t="inlineStr">
        <is>
          <t>2018-12-31</t>
        </is>
      </c>
      <c r="E257" t="n">
        <v>1.585</v>
      </c>
      <c r="F257" t="n">
        <v>1.585</v>
      </c>
      <c r="G257" t="inlineStr">
        <is>
          <t>match</t>
        </is>
      </c>
    </row>
    <row r="258">
      <c r="A258" t="inlineStr">
        <is>
          <t>LYC.AX</t>
        </is>
      </c>
      <c r="B258" t="n">
        <v>2019</v>
      </c>
      <c r="C258" t="inlineStr">
        <is>
          <t>cnbc_unadjusted</t>
        </is>
      </c>
      <c r="D258" t="inlineStr">
        <is>
          <t>2019-12-31</t>
        </is>
      </c>
      <c r="E258" t="n">
        <v>2.33</v>
      </c>
      <c r="F258" t="n">
        <v>2.33</v>
      </c>
      <c r="G258" t="inlineStr">
        <is>
          <t>match</t>
        </is>
      </c>
    </row>
    <row r="259">
      <c r="A259" t="inlineStr">
        <is>
          <t>LYC.AX</t>
        </is>
      </c>
      <c r="B259" t="n">
        <v>2020</v>
      </c>
      <c r="C259" t="inlineStr">
        <is>
          <t>cnbc_unadjusted</t>
        </is>
      </c>
      <c r="D259" t="inlineStr">
        <is>
          <t>2020-12-31</t>
        </is>
      </c>
      <c r="E259" t="n">
        <v>3.98</v>
      </c>
      <c r="F259" t="n">
        <v>3.98</v>
      </c>
      <c r="G259" t="inlineStr">
        <is>
          <t>match</t>
        </is>
      </c>
    </row>
    <row r="260">
      <c r="A260" t="inlineStr">
        <is>
          <t>LYC.AX</t>
        </is>
      </c>
      <c r="B260" t="n">
        <v>2020</v>
      </c>
      <c r="C260" t="inlineStr">
        <is>
          <t>cnbc_adjusted</t>
        </is>
      </c>
      <c r="D260" t="inlineStr">
        <is>
          <t>2020-12-31</t>
        </is>
      </c>
      <c r="E260" t="n">
        <v>3.98</v>
      </c>
      <c r="F260" t="n">
        <v>3.98</v>
      </c>
      <c r="G260" t="inlineStr">
        <is>
          <t>match</t>
        </is>
      </c>
    </row>
    <row r="261">
      <c r="A261" t="inlineStr">
        <is>
          <t>LYC.AX</t>
        </is>
      </c>
      <c r="B261" t="n">
        <v>2021</v>
      </c>
      <c r="C261" t="inlineStr">
        <is>
          <t>cnbc_unadjusted</t>
        </is>
      </c>
      <c r="D261" t="inlineStr">
        <is>
          <t>2021-12-31</t>
        </is>
      </c>
      <c r="E261" t="n">
        <v>10.17</v>
      </c>
      <c r="F261" t="n">
        <v>10.17</v>
      </c>
      <c r="G261" t="inlineStr">
        <is>
          <t>match</t>
        </is>
      </c>
    </row>
    <row r="262">
      <c r="A262" t="inlineStr">
        <is>
          <t>LYC.AX</t>
        </is>
      </c>
      <c r="B262" t="n">
        <v>2021</v>
      </c>
      <c r="C262" t="inlineStr">
        <is>
          <t>cnbc_adjusted</t>
        </is>
      </c>
      <c r="D262" t="inlineStr">
        <is>
          <t>2021-12-31</t>
        </is>
      </c>
      <c r="E262" t="n">
        <v>10.17</v>
      </c>
      <c r="F262" t="n">
        <v>10.17</v>
      </c>
      <c r="G262" t="inlineStr">
        <is>
          <t>match</t>
        </is>
      </c>
    </row>
    <row r="263">
      <c r="A263" t="inlineStr">
        <is>
          <t>LYC.AX</t>
        </is>
      </c>
      <c r="B263" t="n">
        <v>2022</v>
      </c>
      <c r="C263" t="inlineStr">
        <is>
          <t>cnbc_unadjusted</t>
        </is>
      </c>
      <c r="D263" t="inlineStr">
        <is>
          <t>2022-12-30</t>
        </is>
      </c>
      <c r="E263" t="n">
        <v>7.85</v>
      </c>
      <c r="F263" t="n">
        <v>7.85</v>
      </c>
      <c r="G263" t="inlineStr">
        <is>
          <t>match</t>
        </is>
      </c>
    </row>
    <row r="264">
      <c r="A264" t="inlineStr">
        <is>
          <t>LYC.AX</t>
        </is>
      </c>
      <c r="B264" t="n">
        <v>2022</v>
      </c>
      <c r="C264" t="inlineStr">
        <is>
          <t>cnbc_adjusted</t>
        </is>
      </c>
      <c r="D264" t="inlineStr">
        <is>
          <t>2022-12-30</t>
        </is>
      </c>
      <c r="E264" t="n">
        <v>7.85</v>
      </c>
      <c r="F264" t="n">
        <v>7.85</v>
      </c>
      <c r="G264" t="inlineStr">
        <is>
          <t>match</t>
        </is>
      </c>
    </row>
    <row r="265">
      <c r="A265" t="inlineStr">
        <is>
          <t>LYC.AX</t>
        </is>
      </c>
      <c r="B265" t="n">
        <v>2023</v>
      </c>
      <c r="C265" t="inlineStr">
        <is>
          <t>cnbc_unadjusted</t>
        </is>
      </c>
      <c r="D265" t="inlineStr">
        <is>
          <t>2023-12-29</t>
        </is>
      </c>
      <c r="E265" t="n">
        <v>7.16</v>
      </c>
      <c r="F265" t="n">
        <v>7.16</v>
      </c>
      <c r="G265" t="inlineStr">
        <is>
          <t>match</t>
        </is>
      </c>
    </row>
    <row r="266">
      <c r="A266" t="inlineStr">
        <is>
          <t>LYC.AX</t>
        </is>
      </c>
      <c r="B266" t="n">
        <v>2023</v>
      </c>
      <c r="C266" t="inlineStr">
        <is>
          <t>cnbc_adjusted</t>
        </is>
      </c>
      <c r="D266" t="inlineStr">
        <is>
          <t>2023-12-29</t>
        </is>
      </c>
      <c r="E266" t="n">
        <v>7.16</v>
      </c>
      <c r="F266" t="n">
        <v>7.16</v>
      </c>
      <c r="G266" t="inlineStr">
        <is>
          <t>match</t>
        </is>
      </c>
    </row>
    <row r="267">
      <c r="A267" t="inlineStr">
        <is>
          <t>LYC.AX</t>
        </is>
      </c>
      <c r="B267" t="n">
        <v>2024</v>
      </c>
      <c r="C267" t="inlineStr">
        <is>
          <t>cnbc_unadjusted</t>
        </is>
      </c>
      <c r="D267" t="inlineStr">
        <is>
          <t>2024-12-31</t>
        </is>
      </c>
      <c r="E267" t="n">
        <v>6.43</v>
      </c>
      <c r="F267" t="n">
        <v>6.43</v>
      </c>
      <c r="G267" t="inlineStr">
        <is>
          <t>match</t>
        </is>
      </c>
    </row>
    <row r="268">
      <c r="A268" t="inlineStr">
        <is>
          <t>LYC.AX</t>
        </is>
      </c>
      <c r="B268" t="n">
        <v>2024</v>
      </c>
      <c r="C268" t="inlineStr">
        <is>
          <t>cnbc_adjusted</t>
        </is>
      </c>
      <c r="D268" t="inlineStr">
        <is>
          <t>2024-12-31</t>
        </is>
      </c>
      <c r="E268" t="n">
        <v>6.43</v>
      </c>
      <c r="F268" t="n">
        <v>6.43</v>
      </c>
      <c r="G268" t="inlineStr">
        <is>
          <t>match</t>
        </is>
      </c>
    </row>
    <row r="269">
      <c r="A269" t="inlineStr">
        <is>
          <t>LYC.AX</t>
        </is>
      </c>
      <c r="B269" t="n">
        <v>2025</v>
      </c>
      <c r="C269" t="inlineStr">
        <is>
          <t>cnbc_unadjusted</t>
        </is>
      </c>
      <c r="D269" t="inlineStr">
        <is>
          <t>2025-12-31</t>
        </is>
      </c>
      <c r="E269" t="n">
        <v>12.44</v>
      </c>
      <c r="F269" t="n">
        <v>12.44</v>
      </c>
      <c r="G269" t="inlineStr">
        <is>
          <t>match</t>
        </is>
      </c>
    </row>
    <row r="270">
      <c r="A270" t="inlineStr">
        <is>
          <t>LYC.AX</t>
        </is>
      </c>
      <c r="B270" t="n">
        <v>2025</v>
      </c>
      <c r="C270" t="inlineStr">
        <is>
          <t>cnbc_adjusted</t>
        </is>
      </c>
      <c r="D270" t="inlineStr">
        <is>
          <t>2025-12-31</t>
        </is>
      </c>
      <c r="E270" t="n">
        <v>12.44</v>
      </c>
      <c r="F270" t="n">
        <v>12.44</v>
      </c>
      <c r="G270" t="inlineStr">
        <is>
          <t>match</t>
        </is>
      </c>
    </row>
    <row r="271">
      <c r="A271" t="inlineStr">
        <is>
          <t>LYC.AX</t>
        </is>
      </c>
      <c r="B271" t="n">
        <v>2026</v>
      </c>
      <c r="C271" t="inlineStr">
        <is>
          <t>cnbc_unadjusted</t>
        </is>
      </c>
      <c r="D271" t="inlineStr">
        <is>
          <t>2026-09-25</t>
        </is>
      </c>
      <c r="E271" t="n">
        <v>14.22</v>
      </c>
      <c r="F271" t="n">
        <v>14.22</v>
      </c>
      <c r="G271" t="inlineStr">
        <is>
          <t>match</t>
        </is>
      </c>
    </row>
    <row r="272">
      <c r="A272" t="inlineStr">
        <is>
          <t>LYC.AX</t>
        </is>
      </c>
      <c r="B272" t="n">
        <v>2026</v>
      </c>
      <c r="C272" t="inlineStr">
        <is>
          <t>cnbc_adjusted</t>
        </is>
      </c>
      <c r="D272" t="inlineStr">
        <is>
          <t>2026-09-25</t>
        </is>
      </c>
      <c r="E272" t="n">
        <v>14.22</v>
      </c>
      <c r="F272" t="n">
        <v>14.22</v>
      </c>
      <c r="G272" t="inlineStr">
        <is>
          <t>match</t>
        </is>
      </c>
    </row>
    <row r="273">
      <c r="A273" t="inlineStr">
        <is>
          <t>MSA.TO</t>
        </is>
      </c>
      <c r="B273" t="n">
        <v>2021</v>
      </c>
      <c r="C273" t="inlineStr">
        <is>
          <t>tmx</t>
        </is>
      </c>
      <c r="D273" t="inlineStr">
        <is>
          <t>2021-12-31</t>
        </is>
      </c>
      <c r="E273" t="n">
        <v>1.13</v>
      </c>
      <c r="F273" t="n">
        <v>1.13</v>
      </c>
      <c r="G273" t="inlineStr">
        <is>
          <t>match</t>
        </is>
      </c>
    </row>
    <row r="274">
      <c r="A274" t="inlineStr">
        <is>
          <t>MSA.TO</t>
        </is>
      </c>
      <c r="B274" t="n">
        <v>2022</v>
      </c>
      <c r="C274" t="inlineStr">
        <is>
          <t>tmx</t>
        </is>
      </c>
      <c r="D274" t="inlineStr">
        <is>
          <t>2022-12-30</t>
        </is>
      </c>
      <c r="E274" t="n">
        <v>0.7</v>
      </c>
      <c r="F274" t="n">
        <v>0.7</v>
      </c>
      <c r="G274" t="inlineStr">
        <is>
          <t>match</t>
        </is>
      </c>
    </row>
    <row r="275">
      <c r="A275" t="inlineStr">
        <is>
          <t>MSA.TO</t>
        </is>
      </c>
      <c r="B275" t="n">
        <v>2023</v>
      </c>
      <c r="C275" t="inlineStr">
        <is>
          <t>tmx</t>
        </is>
      </c>
      <c r="D275" t="inlineStr">
        <is>
          <t>2023-12-29</t>
        </is>
      </c>
      <c r="E275" t="n">
        <v>0.65</v>
      </c>
      <c r="F275" t="n">
        <v>0.65</v>
      </c>
      <c r="G275" t="inlineStr">
        <is>
          <t>match</t>
        </is>
      </c>
    </row>
    <row r="276">
      <c r="A276" t="inlineStr">
        <is>
          <t>MSA.TO</t>
        </is>
      </c>
      <c r="B276" t="n">
        <v>2024</v>
      </c>
      <c r="C276" t="inlineStr">
        <is>
          <t>tmx</t>
        </is>
      </c>
      <c r="D276" t="inlineStr">
        <is>
          <t>2024-12-31</t>
        </is>
      </c>
      <c r="E276" t="n">
        <v>1.49</v>
      </c>
      <c r="F276" t="n">
        <v>1.49</v>
      </c>
      <c r="G276" t="inlineStr">
        <is>
          <t>match</t>
        </is>
      </c>
    </row>
    <row r="277">
      <c r="A277" t="inlineStr">
        <is>
          <t>MSA.TO</t>
        </is>
      </c>
      <c r="B277" t="n">
        <v>2025</v>
      </c>
      <c r="C277" t="inlineStr">
        <is>
          <t>tmx</t>
        </is>
      </c>
      <c r="D277" t="inlineStr">
        <is>
          <t>2025-12-31</t>
        </is>
      </c>
      <c r="E277" t="n">
        <v>5.62</v>
      </c>
      <c r="F277" t="n">
        <v>5.62</v>
      </c>
      <c r="G277" t="inlineStr">
        <is>
          <t>match</t>
        </is>
      </c>
    </row>
    <row r="278">
      <c r="A278" t="inlineStr">
        <is>
          <t>MSA.TO</t>
        </is>
      </c>
      <c r="B278" t="n">
        <v>2026</v>
      </c>
      <c r="C278" t="inlineStr">
        <is>
          <t>tmx</t>
        </is>
      </c>
      <c r="D278" t="inlineStr">
        <is>
          <t>2026-09-25</t>
        </is>
      </c>
      <c r="E278" t="n">
        <v>9.949999999999999</v>
      </c>
      <c r="F278" t="n">
        <v>9.949999999999999</v>
      </c>
      <c r="G278" t="inlineStr">
        <is>
          <t>match</t>
        </is>
      </c>
    </row>
    <row r="279">
      <c r="A279" t="inlineStr">
        <is>
          <t>MUX</t>
        </is>
      </c>
      <c r="B279" t="n">
        <v>2022</v>
      </c>
      <c r="C279" t="inlineStr">
        <is>
          <t>nasdaq</t>
        </is>
      </c>
      <c r="D279" t="inlineStr">
        <is>
          <t>2022-12-30</t>
        </is>
      </c>
      <c r="E279" t="n">
        <v>5.86</v>
      </c>
      <c r="F279" t="n">
        <v>5.86</v>
      </c>
      <c r="G279" t="inlineStr">
        <is>
          <t>match</t>
        </is>
      </c>
    </row>
    <row r="280">
      <c r="A280" t="inlineStr">
        <is>
          <t>MUX</t>
        </is>
      </c>
      <c r="B280" t="n">
        <v>2023</v>
      </c>
      <c r="C280" t="inlineStr">
        <is>
          <t>nasdaq</t>
        </is>
      </c>
      <c r="D280" t="inlineStr">
        <is>
          <t>2023-12-29</t>
        </is>
      </c>
      <c r="E280" t="n">
        <v>7.21</v>
      </c>
      <c r="F280" t="n">
        <v>7.21</v>
      </c>
      <c r="G280" t="inlineStr">
        <is>
          <t>match</t>
        </is>
      </c>
    </row>
    <row r="281">
      <c r="A281" t="inlineStr">
        <is>
          <t>MUX</t>
        </is>
      </c>
      <c r="B281" t="n">
        <v>2024</v>
      </c>
      <c r="C281" t="inlineStr">
        <is>
          <t>nasdaq</t>
        </is>
      </c>
      <c r="D281" t="inlineStr">
        <is>
          <t>2024-12-31</t>
        </is>
      </c>
      <c r="E281" t="n">
        <v>7.78</v>
      </c>
      <c r="F281" t="n">
        <v>7.78</v>
      </c>
      <c r="G281" t="inlineStr">
        <is>
          <t>match</t>
        </is>
      </c>
    </row>
    <row r="282">
      <c r="A282" t="inlineStr">
        <is>
          <t>MUX</t>
        </is>
      </c>
      <c r="B282" t="n">
        <v>2025</v>
      </c>
      <c r="C282" t="inlineStr">
        <is>
          <t>nasdaq</t>
        </is>
      </c>
      <c r="D282" t="inlineStr">
        <is>
          <t>2025-12-31</t>
        </is>
      </c>
      <c r="E282" t="n">
        <v>18.51</v>
      </c>
      <c r="F282" t="n">
        <v>18.51</v>
      </c>
      <c r="G282" t="inlineStr">
        <is>
          <t>match</t>
        </is>
      </c>
    </row>
    <row r="283">
      <c r="A283" t="inlineStr">
        <is>
          <t>MUX</t>
        </is>
      </c>
      <c r="B283" t="n">
        <v>2026</v>
      </c>
      <c r="C283" t="inlineStr">
        <is>
          <t>nasdaq</t>
        </is>
      </c>
      <c r="D283" t="inlineStr">
        <is>
          <t>2026-09-25</t>
        </is>
      </c>
      <c r="E283" t="n">
        <v>19.02</v>
      </c>
      <c r="F283" t="n">
        <v>19.02</v>
      </c>
      <c r="G283" t="inlineStr">
        <is>
          <t>match</t>
        </is>
      </c>
    </row>
    <row r="284">
      <c r="A284" t="inlineStr">
        <is>
          <t>NFGC.TO</t>
        </is>
      </c>
      <c r="B284" t="n">
        <v>2020</v>
      </c>
      <c r="C284" t="inlineStr">
        <is>
          <t>tmx</t>
        </is>
      </c>
      <c r="D284" t="inlineStr">
        <is>
          <t>2020-12-31</t>
        </is>
      </c>
      <c r="E284" t="n">
        <v>4.07</v>
      </c>
      <c r="F284" t="n">
        <v>4.07</v>
      </c>
      <c r="G284" t="inlineStr">
        <is>
          <t>match</t>
        </is>
      </c>
    </row>
    <row r="285">
      <c r="A285" t="inlineStr">
        <is>
          <t>NFGC.TO</t>
        </is>
      </c>
      <c r="B285" t="n">
        <v>2021</v>
      </c>
      <c r="C285" t="inlineStr">
        <is>
          <t>tmx</t>
        </is>
      </c>
      <c r="D285" t="inlineStr">
        <is>
          <t>2021-12-31</t>
        </is>
      </c>
      <c r="E285" t="n">
        <v>8.98</v>
      </c>
      <c r="F285" t="n">
        <v>8.98</v>
      </c>
      <c r="G285" t="inlineStr">
        <is>
          <t>match</t>
        </is>
      </c>
    </row>
    <row r="286">
      <c r="A286" t="inlineStr">
        <is>
          <t>NFGC.TO</t>
        </is>
      </c>
      <c r="B286" t="n">
        <v>2022</v>
      </c>
      <c r="C286" t="inlineStr">
        <is>
          <t>tmx</t>
        </is>
      </c>
      <c r="D286" t="inlineStr">
        <is>
          <t>2022-12-30</t>
        </is>
      </c>
      <c r="E286" t="n">
        <v>5.45</v>
      </c>
      <c r="F286" t="n">
        <v>5.45</v>
      </c>
      <c r="G286" t="inlineStr">
        <is>
          <t>match</t>
        </is>
      </c>
    </row>
    <row r="287">
      <c r="A287" t="inlineStr">
        <is>
          <t>NFGC.TO</t>
        </is>
      </c>
      <c r="B287" t="n">
        <v>2023</v>
      </c>
      <c r="C287" t="inlineStr">
        <is>
          <t>tmx</t>
        </is>
      </c>
      <c r="D287" t="inlineStr">
        <is>
          <t>2023-12-29</t>
        </is>
      </c>
      <c r="E287" t="n">
        <v>4.67</v>
      </c>
      <c r="F287" t="n">
        <v>4.67</v>
      </c>
      <c r="G287" t="inlineStr">
        <is>
          <t>match</t>
        </is>
      </c>
    </row>
    <row r="288">
      <c r="A288" t="inlineStr">
        <is>
          <t>NFGC.TO</t>
        </is>
      </c>
      <c r="B288" t="n">
        <v>2024</v>
      </c>
      <c r="C288" t="inlineStr">
        <is>
          <t>tmx</t>
        </is>
      </c>
      <c r="D288" t="inlineStr">
        <is>
          <t>2024-12-31</t>
        </is>
      </c>
      <c r="E288" t="n">
        <v>2.59</v>
      </c>
      <c r="F288" t="n">
        <v>2.59</v>
      </c>
      <c r="G288" t="inlineStr">
        <is>
          <t>match</t>
        </is>
      </c>
    </row>
    <row r="289">
      <c r="A289" t="inlineStr">
        <is>
          <t>NFGC.TO</t>
        </is>
      </c>
      <c r="B289" t="n">
        <v>2025</v>
      </c>
      <c r="C289" t="inlineStr">
        <is>
          <t>tmx</t>
        </is>
      </c>
      <c r="D289" t="inlineStr">
        <is>
          <t>2025-12-31</t>
        </is>
      </c>
      <c r="E289" t="n">
        <v>4.06</v>
      </c>
      <c r="F289" t="n">
        <v>4.06</v>
      </c>
      <c r="G289" t="inlineStr">
        <is>
          <t>match</t>
        </is>
      </c>
    </row>
    <row r="290">
      <c r="A290" t="inlineStr">
        <is>
          <t>NFGC.TO</t>
        </is>
      </c>
      <c r="B290" t="n">
        <v>2026</v>
      </c>
      <c r="C290" t="inlineStr">
        <is>
          <t>tmx</t>
        </is>
      </c>
      <c r="D290" t="inlineStr">
        <is>
          <t>2026-09-25</t>
        </is>
      </c>
      <c r="E290" t="n">
        <v>2.49</v>
      </c>
      <c r="F290" t="n">
        <v>2.49</v>
      </c>
      <c r="G290" t="inlineStr">
        <is>
          <t>match</t>
        </is>
      </c>
    </row>
    <row r="291">
      <c r="A291" t="inlineStr">
        <is>
          <t>OBM.AX</t>
        </is>
      </c>
      <c r="B291" t="n">
        <v>2017</v>
      </c>
      <c r="C291" t="inlineStr">
        <is>
          <t>cnbc_unadjusted</t>
        </is>
      </c>
      <c r="D291" t="inlineStr">
        <is>
          <t>2017-08-15</t>
        </is>
      </c>
      <c r="E291" t="n">
        <v>0.235</v>
      </c>
      <c r="F291" t="n">
        <v>0.235</v>
      </c>
      <c r="G291" t="inlineStr">
        <is>
          <t>match</t>
        </is>
      </c>
    </row>
    <row r="292">
      <c r="A292" t="inlineStr">
        <is>
          <t>OBM.AX</t>
        </is>
      </c>
      <c r="B292" t="n">
        <v>2018</v>
      </c>
      <c r="C292" t="inlineStr">
        <is>
          <t>cnbc_unadjusted</t>
        </is>
      </c>
      <c r="D292" t="inlineStr">
        <is>
          <t>2018-07-20</t>
        </is>
      </c>
      <c r="E292" t="n">
        <v>0.115</v>
      </c>
      <c r="F292" t="n">
        <v>0.115</v>
      </c>
      <c r="G292" t="inlineStr">
        <is>
          <t>match</t>
        </is>
      </c>
    </row>
    <row r="293">
      <c r="A293" t="inlineStr">
        <is>
          <t>OBM.AX</t>
        </is>
      </c>
      <c r="B293" t="n">
        <v>2019</v>
      </c>
      <c r="C293" t="inlineStr">
        <is>
          <t>cnbc_unadjusted</t>
        </is>
      </c>
      <c r="D293" t="inlineStr">
        <is>
          <t>2019-12-31</t>
        </is>
      </c>
      <c r="E293" t="n">
        <v>0.185</v>
      </c>
      <c r="F293" t="n">
        <v>0.185</v>
      </c>
      <c r="G293" t="inlineStr">
        <is>
          <t>match</t>
        </is>
      </c>
    </row>
    <row r="294">
      <c r="A294" t="inlineStr">
        <is>
          <t>OBM.AX</t>
        </is>
      </c>
      <c r="B294" t="n">
        <v>2020</v>
      </c>
      <c r="C294" t="inlineStr">
        <is>
          <t>cnbc_unadjusted</t>
        </is>
      </c>
      <c r="D294" t="inlineStr">
        <is>
          <t>2020-12-31</t>
        </is>
      </c>
      <c r="E294" t="n">
        <v>0.305</v>
      </c>
      <c r="F294" t="n">
        <v>0.305</v>
      </c>
      <c r="G294" t="inlineStr">
        <is>
          <t>match</t>
        </is>
      </c>
    </row>
    <row r="295">
      <c r="A295" t="inlineStr">
        <is>
          <t>OBM.AX</t>
        </is>
      </c>
      <c r="B295" t="n">
        <v>2021</v>
      </c>
      <c r="C295" t="inlineStr">
        <is>
          <t>cnbc_unadjusted</t>
        </is>
      </c>
      <c r="D295" t="inlineStr">
        <is>
          <t>2021-12-31</t>
        </is>
      </c>
      <c r="E295" t="n">
        <v>0.066</v>
      </c>
      <c r="F295" t="n">
        <v>0.066</v>
      </c>
      <c r="G295" t="inlineStr">
        <is>
          <t>match</t>
        </is>
      </c>
    </row>
    <row r="296">
      <c r="A296" t="inlineStr">
        <is>
          <t>OBM.AX</t>
        </is>
      </c>
      <c r="B296" t="n">
        <v>2022</v>
      </c>
      <c r="C296" t="inlineStr">
        <is>
          <t>cnbc_unadjusted</t>
        </is>
      </c>
      <c r="D296" t="inlineStr">
        <is>
          <t>2022-12-30</t>
        </is>
      </c>
      <c r="E296" t="n">
        <v>0.08400000000000001</v>
      </c>
      <c r="F296" t="n">
        <v>0.08400000000000001</v>
      </c>
      <c r="G296" t="inlineStr">
        <is>
          <t>match</t>
        </is>
      </c>
    </row>
    <row r="297">
      <c r="A297" t="inlineStr">
        <is>
          <t>OBM.AX</t>
        </is>
      </c>
      <c r="B297" t="n">
        <v>2022</v>
      </c>
      <c r="C297" t="inlineStr">
        <is>
          <t>cnbc_adjusted</t>
        </is>
      </c>
      <c r="D297" t="inlineStr">
        <is>
          <t>2022-12-30</t>
        </is>
      </c>
      <c r="E297" t="n">
        <v>0.08400000000000001</v>
      </c>
      <c r="F297" t="n">
        <v>0.08400000000000001</v>
      </c>
      <c r="G297" t="inlineStr">
        <is>
          <t>match</t>
        </is>
      </c>
    </row>
    <row r="298">
      <c r="A298" t="inlineStr">
        <is>
          <t>OBM.AX</t>
        </is>
      </c>
      <c r="B298" t="n">
        <v>2023</v>
      </c>
      <c r="C298" t="inlineStr">
        <is>
          <t>cnbc_unadjusted</t>
        </is>
      </c>
      <c r="D298" t="inlineStr">
        <is>
          <t>2023-12-29</t>
        </is>
      </c>
      <c r="E298" t="n">
        <v>0.24</v>
      </c>
      <c r="F298" t="n">
        <v>0.24</v>
      </c>
      <c r="G298" t="inlineStr">
        <is>
          <t>match</t>
        </is>
      </c>
    </row>
    <row r="299">
      <c r="A299" t="inlineStr">
        <is>
          <t>OBM.AX</t>
        </is>
      </c>
      <c r="B299" t="n">
        <v>2023</v>
      </c>
      <c r="C299" t="inlineStr">
        <is>
          <t>cnbc_adjusted</t>
        </is>
      </c>
      <c r="D299" t="inlineStr">
        <is>
          <t>2023-12-29</t>
        </is>
      </c>
      <c r="E299" t="n">
        <v>0.24</v>
      </c>
      <c r="F299" t="n">
        <v>0.24</v>
      </c>
      <c r="G299" t="inlineStr">
        <is>
          <t>match</t>
        </is>
      </c>
    </row>
    <row r="300">
      <c r="A300" t="inlineStr">
        <is>
          <t>OBM.AX</t>
        </is>
      </c>
      <c r="B300" t="n">
        <v>2024</v>
      </c>
      <c r="C300" t="inlineStr">
        <is>
          <t>cnbc_unadjusted</t>
        </is>
      </c>
      <c r="D300" t="inlineStr">
        <is>
          <t>2024-12-31</t>
        </is>
      </c>
      <c r="E300" t="n">
        <v>0.65</v>
      </c>
      <c r="F300" t="n">
        <v>0.65</v>
      </c>
      <c r="G300" t="inlineStr">
        <is>
          <t>match</t>
        </is>
      </c>
    </row>
    <row r="301">
      <c r="A301" t="inlineStr">
        <is>
          <t>OBM.AX</t>
        </is>
      </c>
      <c r="B301" t="n">
        <v>2024</v>
      </c>
      <c r="C301" t="inlineStr">
        <is>
          <t>cnbc_adjusted</t>
        </is>
      </c>
      <c r="D301" t="inlineStr">
        <is>
          <t>2024-12-31</t>
        </is>
      </c>
      <c r="E301" t="n">
        <v>0.65</v>
      </c>
      <c r="F301" t="n">
        <v>0.65</v>
      </c>
      <c r="G301" t="inlineStr">
        <is>
          <t>match</t>
        </is>
      </c>
    </row>
    <row r="302">
      <c r="A302" t="inlineStr">
        <is>
          <t>OBM.AX</t>
        </is>
      </c>
      <c r="B302" t="n">
        <v>2025</v>
      </c>
      <c r="C302" t="inlineStr">
        <is>
          <t>cnbc_unadjusted</t>
        </is>
      </c>
      <c r="D302" t="inlineStr">
        <is>
          <t>2025-12-31</t>
        </is>
      </c>
      <c r="E302" t="n">
        <v>1.53</v>
      </c>
      <c r="F302" t="n">
        <v>1.53</v>
      </c>
      <c r="G302" t="inlineStr">
        <is>
          <t>match</t>
        </is>
      </c>
    </row>
    <row r="303">
      <c r="A303" t="inlineStr">
        <is>
          <t>OBM.AX</t>
        </is>
      </c>
      <c r="B303" t="n">
        <v>2025</v>
      </c>
      <c r="C303" t="inlineStr">
        <is>
          <t>cnbc_adjusted</t>
        </is>
      </c>
      <c r="D303" t="inlineStr">
        <is>
          <t>2025-12-31</t>
        </is>
      </c>
      <c r="E303" t="n">
        <v>1.53</v>
      </c>
      <c r="F303" t="n">
        <v>1.53</v>
      </c>
      <c r="G303" t="inlineStr">
        <is>
          <t>match</t>
        </is>
      </c>
    </row>
    <row r="304">
      <c r="A304" t="inlineStr">
        <is>
          <t>OBM.AX</t>
        </is>
      </c>
      <c r="B304" t="n">
        <v>2026</v>
      </c>
      <c r="C304" t="inlineStr">
        <is>
          <t>cnbc_unadjusted</t>
        </is>
      </c>
      <c r="D304" t="inlineStr">
        <is>
          <t>2026-09-25</t>
        </is>
      </c>
      <c r="E304" t="n">
        <v>1.545</v>
      </c>
      <c r="F304" t="n">
        <v>1.545</v>
      </c>
      <c r="G304" t="inlineStr">
        <is>
          <t>match</t>
        </is>
      </c>
    </row>
    <row r="305">
      <c r="A305" t="inlineStr">
        <is>
          <t>OBM.AX</t>
        </is>
      </c>
      <c r="B305" t="n">
        <v>2026</v>
      </c>
      <c r="C305" t="inlineStr">
        <is>
          <t>cnbc_adjusted</t>
        </is>
      </c>
      <c r="D305" t="inlineStr">
        <is>
          <t>2026-09-25</t>
        </is>
      </c>
      <c r="E305" t="n">
        <v>1.545</v>
      </c>
      <c r="F305" t="n">
        <v>1.545</v>
      </c>
      <c r="G305" t="inlineStr">
        <is>
          <t>match</t>
        </is>
      </c>
    </row>
    <row r="306">
      <c r="A306" t="inlineStr">
        <is>
          <t>OGC.TO</t>
        </is>
      </c>
      <c r="B306" t="n">
        <v>2025</v>
      </c>
      <c r="C306" t="inlineStr">
        <is>
          <t>tmx</t>
        </is>
      </c>
      <c r="D306" t="inlineStr">
        <is>
          <t>2025-12-31</t>
        </is>
      </c>
      <c r="E306" t="n">
        <v>38.9</v>
      </c>
      <c r="F306" t="n">
        <v>38.9</v>
      </c>
      <c r="G306" t="inlineStr">
        <is>
          <t>match</t>
        </is>
      </c>
    </row>
    <row r="307">
      <c r="A307" t="inlineStr">
        <is>
          <t>OGC.TO</t>
        </is>
      </c>
      <c r="B307" t="n">
        <v>2026</v>
      </c>
      <c r="C307" t="inlineStr">
        <is>
          <t>tmx</t>
        </is>
      </c>
      <c r="D307" t="inlineStr">
        <is>
          <t>2026-09-25</t>
        </is>
      </c>
      <c r="E307" t="n">
        <v>39.88</v>
      </c>
      <c r="F307" t="n">
        <v>39.88</v>
      </c>
      <c r="G307" t="inlineStr">
        <is>
          <t>match</t>
        </is>
      </c>
    </row>
    <row r="308">
      <c r="A308" t="inlineStr">
        <is>
          <t>OGG.V</t>
        </is>
      </c>
      <c r="B308" t="n">
        <v>2022</v>
      </c>
      <c r="C308" t="inlineStr">
        <is>
          <t>tmx</t>
        </is>
      </c>
      <c r="D308" t="inlineStr">
        <is>
          <t>2022-12-30</t>
        </is>
      </c>
      <c r="E308" t="n">
        <v>5.77</v>
      </c>
      <c r="F308" t="n">
        <v>5.77</v>
      </c>
      <c r="G308" t="inlineStr">
        <is>
          <t>match</t>
        </is>
      </c>
    </row>
    <row r="309">
      <c r="A309" t="inlineStr">
        <is>
          <t>OGG.V</t>
        </is>
      </c>
      <c r="B309" t="n">
        <v>2023</v>
      </c>
      <c r="C309" t="inlineStr">
        <is>
          <t>tmx</t>
        </is>
      </c>
      <c r="D309" t="inlineStr">
        <is>
          <t>2023-12-29</t>
        </is>
      </c>
      <c r="E309" t="n">
        <v>3.85</v>
      </c>
      <c r="F309" t="n">
        <v>3.85</v>
      </c>
      <c r="G309" t="inlineStr">
        <is>
          <t>match</t>
        </is>
      </c>
    </row>
    <row r="310">
      <c r="A310" t="inlineStr">
        <is>
          <t>OGG.V</t>
        </is>
      </c>
      <c r="B310" t="n">
        <v>2024</v>
      </c>
      <c r="C310" t="inlineStr">
        <is>
          <t>tmx</t>
        </is>
      </c>
      <c r="D310" t="inlineStr">
        <is>
          <t>2024-12-31</t>
        </is>
      </c>
      <c r="E310" t="n">
        <v>2.34</v>
      </c>
      <c r="F310" t="n">
        <v>2.34</v>
      </c>
      <c r="G310" t="inlineStr">
        <is>
          <t>match</t>
        </is>
      </c>
    </row>
    <row r="311">
      <c r="A311" t="inlineStr">
        <is>
          <t>OGG.V</t>
        </is>
      </c>
      <c r="B311" t="n">
        <v>2025</v>
      </c>
      <c r="C311" t="inlineStr">
        <is>
          <t>tmx</t>
        </is>
      </c>
      <c r="D311" t="inlineStr">
        <is>
          <t>2025-12-31</t>
        </is>
      </c>
      <c r="E311" t="n">
        <v>4.65</v>
      </c>
      <c r="F311" t="n">
        <v>4.65</v>
      </c>
      <c r="G311" t="inlineStr">
        <is>
          <t>match</t>
        </is>
      </c>
    </row>
    <row r="312">
      <c r="A312" t="inlineStr">
        <is>
          <t>OGG.V</t>
        </is>
      </c>
      <c r="B312" t="n">
        <v>2026</v>
      </c>
      <c r="C312" t="inlineStr">
        <is>
          <t>tmx</t>
        </is>
      </c>
      <c r="D312" t="inlineStr">
        <is>
          <t>2026-09-25</t>
        </is>
      </c>
      <c r="E312" t="n">
        <v>3.98</v>
      </c>
      <c r="F312" t="n">
        <v>3.98</v>
      </c>
      <c r="G312" t="inlineStr">
        <is>
          <t>match</t>
        </is>
      </c>
    </row>
    <row r="313">
      <c r="A313" t="inlineStr">
        <is>
          <t>OLA.TO</t>
        </is>
      </c>
      <c r="B313" t="n">
        <v>2017</v>
      </c>
      <c r="C313" t="inlineStr">
        <is>
          <t>tmx</t>
        </is>
      </c>
      <c r="D313" t="inlineStr">
        <is>
          <t>2017-12-29</t>
        </is>
      </c>
      <c r="E313" t="n">
        <v>1.78</v>
      </c>
      <c r="F313" t="n">
        <v>1.78</v>
      </c>
      <c r="G313" t="inlineStr">
        <is>
          <t>match</t>
        </is>
      </c>
    </row>
    <row r="314">
      <c r="A314" t="inlineStr">
        <is>
          <t>OLA.TO</t>
        </is>
      </c>
      <c r="B314" t="n">
        <v>2018</v>
      </c>
      <c r="C314" t="inlineStr">
        <is>
          <t>tmx</t>
        </is>
      </c>
      <c r="D314" t="inlineStr">
        <is>
          <t>2018-12-31</t>
        </is>
      </c>
      <c r="E314" t="n">
        <v>1.05</v>
      </c>
      <c r="F314" t="n">
        <v>1.05</v>
      </c>
      <c r="G314" t="inlineStr">
        <is>
          <t>match</t>
        </is>
      </c>
    </row>
    <row r="315">
      <c r="A315" t="inlineStr">
        <is>
          <t>OLA.TO</t>
        </is>
      </c>
      <c r="B315" t="n">
        <v>2019</v>
      </c>
      <c r="C315" t="inlineStr">
        <is>
          <t>tmx</t>
        </is>
      </c>
      <c r="D315" t="inlineStr">
        <is>
          <t>2019-12-31</t>
        </is>
      </c>
      <c r="E315" t="n">
        <v>2</v>
      </c>
      <c r="F315" t="n">
        <v>2</v>
      </c>
      <c r="G315" t="inlineStr">
        <is>
          <t>match</t>
        </is>
      </c>
    </row>
    <row r="316">
      <c r="A316" t="inlineStr">
        <is>
          <t>OLA.TO</t>
        </is>
      </c>
      <c r="B316" t="n">
        <v>2020</v>
      </c>
      <c r="C316" t="inlineStr">
        <is>
          <t>tmx</t>
        </is>
      </c>
      <c r="D316" t="inlineStr">
        <is>
          <t>2020-12-31</t>
        </is>
      </c>
      <c r="E316" t="n">
        <v>6.86</v>
      </c>
      <c r="F316" t="n">
        <v>6.86</v>
      </c>
      <c r="G316" t="inlineStr">
        <is>
          <t>match</t>
        </is>
      </c>
    </row>
    <row r="317">
      <c r="A317" t="inlineStr">
        <is>
          <t>OLA.TO</t>
        </is>
      </c>
      <c r="B317" t="n">
        <v>2021</v>
      </c>
      <c r="C317" t="inlineStr">
        <is>
          <t>tmx</t>
        </is>
      </c>
      <c r="D317" t="inlineStr">
        <is>
          <t>2021-12-31</t>
        </is>
      </c>
      <c r="E317" t="n">
        <v>4.83</v>
      </c>
      <c r="F317" t="n">
        <v>4.83</v>
      </c>
      <c r="G317" t="inlineStr">
        <is>
          <t>match</t>
        </is>
      </c>
    </row>
    <row r="318">
      <c r="A318" t="inlineStr">
        <is>
          <t>OLA.TO</t>
        </is>
      </c>
      <c r="B318" t="n">
        <v>2022</v>
      </c>
      <c r="C318" t="inlineStr">
        <is>
          <t>tmx</t>
        </is>
      </c>
      <c r="D318" t="inlineStr">
        <is>
          <t>2022-12-30</t>
        </is>
      </c>
      <c r="E318" t="n">
        <v>5.48</v>
      </c>
      <c r="F318" t="n">
        <v>5.48</v>
      </c>
      <c r="G318" t="inlineStr">
        <is>
          <t>match</t>
        </is>
      </c>
    </row>
    <row r="319">
      <c r="A319" t="inlineStr">
        <is>
          <t>OLA.TO</t>
        </is>
      </c>
      <c r="B319" t="n">
        <v>2023</v>
      </c>
      <c r="C319" t="inlineStr">
        <is>
          <t>tmx</t>
        </is>
      </c>
      <c r="D319" t="inlineStr">
        <is>
          <t>2023-12-29</t>
        </is>
      </c>
      <c r="E319" t="n">
        <v>4.32</v>
      </c>
      <c r="F319" t="n">
        <v>4.32</v>
      </c>
      <c r="G319" t="inlineStr">
        <is>
          <t>match</t>
        </is>
      </c>
    </row>
    <row r="320">
      <c r="A320" t="inlineStr">
        <is>
          <t>OLA.TO</t>
        </is>
      </c>
      <c r="B320" t="n">
        <v>2024</v>
      </c>
      <c r="C320" t="inlineStr">
        <is>
          <t>tmx</t>
        </is>
      </c>
      <c r="D320" t="inlineStr">
        <is>
          <t>2024-12-31</t>
        </is>
      </c>
      <c r="E320" t="n">
        <v>7.96</v>
      </c>
      <c r="F320" t="n">
        <v>7.96</v>
      </c>
      <c r="G320" t="inlineStr">
        <is>
          <t>match</t>
        </is>
      </c>
    </row>
    <row r="321">
      <c r="A321" t="inlineStr">
        <is>
          <t>OLA.TO</t>
        </is>
      </c>
      <c r="B321" t="n">
        <v>2025</v>
      </c>
      <c r="C321" t="inlineStr">
        <is>
          <t>tmx</t>
        </is>
      </c>
      <c r="D321" t="inlineStr">
        <is>
          <t>2025-12-31</t>
        </is>
      </c>
      <c r="E321" t="n">
        <v>18.46</v>
      </c>
      <c r="F321" t="n">
        <v>18.46</v>
      </c>
      <c r="G321" t="inlineStr">
        <is>
          <t>match</t>
        </is>
      </c>
    </row>
    <row r="322">
      <c r="A322" t="inlineStr">
        <is>
          <t>OLA.TO</t>
        </is>
      </c>
      <c r="B322" t="n">
        <v>2026</v>
      </c>
      <c r="C322" t="inlineStr">
        <is>
          <t>tmx</t>
        </is>
      </c>
      <c r="D322" t="inlineStr">
        <is>
          <t>2026-08-04</t>
        </is>
      </c>
      <c r="E322" t="n">
        <v>13.46</v>
      </c>
      <c r="F322" t="n">
        <v>13.46</v>
      </c>
      <c r="G322" t="inlineStr">
        <is>
          <t>match</t>
        </is>
      </c>
    </row>
    <row r="323">
      <c r="A323" t="inlineStr">
        <is>
          <t>PGM.V</t>
        </is>
      </c>
      <c r="B323" t="n">
        <v>2017</v>
      </c>
      <c r="C323" t="inlineStr">
        <is>
          <t>tmx</t>
        </is>
      </c>
      <c r="D323" t="inlineStr">
        <is>
          <t>2017-12-29</t>
        </is>
      </c>
      <c r="E323" t="n">
        <v>0.5600000000000001</v>
      </c>
      <c r="F323" t="n">
        <v>0.5600000000000001</v>
      </c>
      <c r="G323" t="inlineStr">
        <is>
          <t>match</t>
        </is>
      </c>
    </row>
    <row r="324">
      <c r="A324" t="inlineStr">
        <is>
          <t>PGM.V</t>
        </is>
      </c>
      <c r="B324" t="n">
        <v>2018</v>
      </c>
      <c r="C324" t="inlineStr">
        <is>
          <t>tmx</t>
        </is>
      </c>
      <c r="D324" t="inlineStr">
        <is>
          <t>2018-12-31</t>
        </is>
      </c>
      <c r="E324" t="n">
        <v>0.65</v>
      </c>
      <c r="F324" t="n">
        <v>0.65</v>
      </c>
      <c r="G324" t="inlineStr">
        <is>
          <t>match</t>
        </is>
      </c>
    </row>
    <row r="325">
      <c r="A325" t="inlineStr">
        <is>
          <t>PGM.V</t>
        </is>
      </c>
      <c r="B325" t="n">
        <v>2019</v>
      </c>
      <c r="C325" t="inlineStr">
        <is>
          <t>tmx</t>
        </is>
      </c>
      <c r="D325" t="inlineStr">
        <is>
          <t>2019-12-31</t>
        </is>
      </c>
      <c r="E325" t="n">
        <v>0.8100000000000001</v>
      </c>
      <c r="F325" t="n">
        <v>0.8100000000000001</v>
      </c>
      <c r="G325" t="inlineStr">
        <is>
          <t>match</t>
        </is>
      </c>
    </row>
    <row r="326">
      <c r="A326" t="inlineStr">
        <is>
          <t>PGM.V</t>
        </is>
      </c>
      <c r="B326" t="n">
        <v>2020</v>
      </c>
      <c r="C326" t="inlineStr">
        <is>
          <t>tmx</t>
        </is>
      </c>
      <c r="D326" t="inlineStr">
        <is>
          <t>2020-12-31</t>
        </is>
      </c>
      <c r="E326" t="n">
        <v>2.58</v>
      </c>
      <c r="F326" t="n">
        <v>2.58</v>
      </c>
      <c r="G326" t="inlineStr">
        <is>
          <t>match</t>
        </is>
      </c>
    </row>
    <row r="327">
      <c r="A327" t="inlineStr">
        <is>
          <t>PGM.V</t>
        </is>
      </c>
      <c r="B327" t="n">
        <v>2021</v>
      </c>
      <c r="C327" t="inlineStr">
        <is>
          <t>tmx</t>
        </is>
      </c>
      <c r="D327" t="inlineStr">
        <is>
          <t>2021-12-31</t>
        </is>
      </c>
      <c r="E327" t="n">
        <v>0.68</v>
      </c>
      <c r="F327" t="n">
        <v>0.68</v>
      </c>
      <c r="G327" t="inlineStr">
        <is>
          <t>match</t>
        </is>
      </c>
    </row>
    <row r="328">
      <c r="A328" t="inlineStr">
        <is>
          <t>PGM.V</t>
        </is>
      </c>
      <c r="B328" t="n">
        <v>2022</v>
      </c>
      <c r="C328" t="inlineStr">
        <is>
          <t>tmx</t>
        </is>
      </c>
      <c r="D328" t="inlineStr">
        <is>
          <t>2022-11-01</t>
        </is>
      </c>
      <c r="E328" t="n">
        <v>0.015</v>
      </c>
      <c r="F328" t="n">
        <v>0.015</v>
      </c>
      <c r="G328" t="inlineStr">
        <is>
          <t>match</t>
        </is>
      </c>
    </row>
    <row r="329">
      <c r="A329" t="inlineStr">
        <is>
          <t>PNR.AX</t>
        </is>
      </c>
      <c r="B329" t="n">
        <v>2017</v>
      </c>
      <c r="C329" t="inlineStr">
        <is>
          <t>cnbc_unadjusted</t>
        </is>
      </c>
      <c r="D329" t="inlineStr">
        <is>
          <t>2017-12-29</t>
        </is>
      </c>
      <c r="E329" t="n">
        <v>0.215</v>
      </c>
      <c r="F329" t="n">
        <v>0.215</v>
      </c>
      <c r="G329" t="inlineStr">
        <is>
          <t>match</t>
        </is>
      </c>
    </row>
    <row r="330">
      <c r="A330" t="inlineStr">
        <is>
          <t>PNR.AX</t>
        </is>
      </c>
      <c r="B330" t="n">
        <v>2018</v>
      </c>
      <c r="C330" t="inlineStr">
        <is>
          <t>cnbc_unadjusted</t>
        </is>
      </c>
      <c r="D330" t="inlineStr">
        <is>
          <t>2018-12-31</t>
        </is>
      </c>
      <c r="E330" t="n">
        <v>0.2</v>
      </c>
      <c r="F330" t="n">
        <v>0.2</v>
      </c>
      <c r="G330" t="inlineStr">
        <is>
          <t>match</t>
        </is>
      </c>
    </row>
    <row r="331">
      <c r="A331" t="inlineStr">
        <is>
          <t>PNR.AX</t>
        </is>
      </c>
      <c r="B331" t="n">
        <v>2019</v>
      </c>
      <c r="C331" t="inlineStr">
        <is>
          <t>cnbc_unadjusted</t>
        </is>
      </c>
      <c r="D331" t="inlineStr">
        <is>
          <t>2019-12-31</t>
        </is>
      </c>
      <c r="E331" t="n">
        <v>0.155</v>
      </c>
      <c r="F331" t="n">
        <v>0.155</v>
      </c>
      <c r="G331" t="inlineStr">
        <is>
          <t>match</t>
        </is>
      </c>
    </row>
    <row r="332">
      <c r="A332" t="inlineStr">
        <is>
          <t>PNR.AX</t>
        </is>
      </c>
      <c r="B332" t="n">
        <v>2020</v>
      </c>
      <c r="C332" t="inlineStr">
        <is>
          <t>cnbc_unadjusted</t>
        </is>
      </c>
      <c r="D332" t="inlineStr">
        <is>
          <t>2020-12-31</t>
        </is>
      </c>
      <c r="E332" t="n">
        <v>0.22</v>
      </c>
      <c r="F332" t="n">
        <v>0.22</v>
      </c>
      <c r="G332" t="inlineStr">
        <is>
          <t>match</t>
        </is>
      </c>
    </row>
    <row r="333">
      <c r="A333" t="inlineStr">
        <is>
          <t>PNR.AX</t>
        </is>
      </c>
      <c r="B333" t="n">
        <v>2021</v>
      </c>
      <c r="C333" t="inlineStr">
        <is>
          <t>cnbc_unadjusted</t>
        </is>
      </c>
      <c r="D333" t="inlineStr">
        <is>
          <t>2021-12-31</t>
        </is>
      </c>
      <c r="E333" t="n">
        <v>0.335</v>
      </c>
      <c r="F333" t="n">
        <v>0.335</v>
      </c>
      <c r="G333" t="inlineStr">
        <is>
          <t>match</t>
        </is>
      </c>
    </row>
    <row r="334">
      <c r="A334" t="inlineStr">
        <is>
          <t>PNR.AX</t>
        </is>
      </c>
      <c r="B334" t="n">
        <v>2022</v>
      </c>
      <c r="C334" t="inlineStr">
        <is>
          <t>cnbc_unadjusted</t>
        </is>
      </c>
      <c r="D334" t="inlineStr">
        <is>
          <t>2022-12-30</t>
        </is>
      </c>
      <c r="E334" t="n">
        <v>0.096</v>
      </c>
      <c r="F334" t="n">
        <v>0.096</v>
      </c>
      <c r="G334" t="inlineStr">
        <is>
          <t>match</t>
        </is>
      </c>
    </row>
    <row r="335">
      <c r="A335" t="inlineStr">
        <is>
          <t>PNR.AX</t>
        </is>
      </c>
      <c r="B335" t="n">
        <v>2023</v>
      </c>
      <c r="C335" t="inlineStr">
        <is>
          <t>cnbc_unadjusted</t>
        </is>
      </c>
      <c r="D335" t="inlineStr">
        <is>
          <t>2023-12-29</t>
        </is>
      </c>
      <c r="E335" t="n">
        <v>0.057</v>
      </c>
      <c r="F335" t="n">
        <v>0.057</v>
      </c>
      <c r="G335" t="inlineStr">
        <is>
          <t>match</t>
        </is>
      </c>
    </row>
    <row r="336">
      <c r="A336" t="inlineStr">
        <is>
          <t>PNR.AX</t>
        </is>
      </c>
      <c r="B336" t="n">
        <v>2024</v>
      </c>
      <c r="C336" t="inlineStr">
        <is>
          <t>cnbc_unadjusted</t>
        </is>
      </c>
      <c r="D336" t="inlineStr">
        <is>
          <t>2024-12-31</t>
        </is>
      </c>
      <c r="E336" t="n">
        <v>0.09</v>
      </c>
      <c r="F336" t="n">
        <v>0.09</v>
      </c>
      <c r="G336" t="inlineStr">
        <is>
          <t>match</t>
        </is>
      </c>
    </row>
    <row r="337">
      <c r="A337" t="inlineStr">
        <is>
          <t>PNR.AX</t>
        </is>
      </c>
      <c r="B337" t="n">
        <v>2025</v>
      </c>
      <c r="C337" t="inlineStr">
        <is>
          <t>cnbc_unadjusted</t>
        </is>
      </c>
      <c r="D337" t="inlineStr">
        <is>
          <t>2025-12-31</t>
        </is>
      </c>
      <c r="E337" t="n">
        <v>4.89</v>
      </c>
      <c r="F337" t="n">
        <v>4.89</v>
      </c>
      <c r="G337" t="inlineStr">
        <is>
          <t>match</t>
        </is>
      </c>
    </row>
    <row r="338">
      <c r="A338" t="inlineStr">
        <is>
          <t>PNR.AX</t>
        </is>
      </c>
      <c r="B338" t="n">
        <v>2025</v>
      </c>
      <c r="C338" t="inlineStr">
        <is>
          <t>cnbc_adjusted</t>
        </is>
      </c>
      <c r="D338" t="inlineStr">
        <is>
          <t>2025-12-31</t>
        </is>
      </c>
      <c r="E338" t="n">
        <v>4.89</v>
      </c>
      <c r="F338" t="n">
        <v>4.89</v>
      </c>
      <c r="G338" t="inlineStr">
        <is>
          <t>match</t>
        </is>
      </c>
    </row>
    <row r="339">
      <c r="A339" t="inlineStr">
        <is>
          <t>PNR.AX</t>
        </is>
      </c>
      <c r="B339" t="n">
        <v>2026</v>
      </c>
      <c r="C339" t="inlineStr">
        <is>
          <t>cnbc_unadjusted</t>
        </is>
      </c>
      <c r="D339" t="inlineStr">
        <is>
          <t>2026-09-25</t>
        </is>
      </c>
      <c r="E339" t="n">
        <v>2.94</v>
      </c>
      <c r="F339" t="n">
        <v>2.94</v>
      </c>
      <c r="G339" t="inlineStr">
        <is>
          <t>match</t>
        </is>
      </c>
    </row>
    <row r="340">
      <c r="A340" t="inlineStr">
        <is>
          <t>PNR.AX</t>
        </is>
      </c>
      <c r="B340" t="n">
        <v>2026</v>
      </c>
      <c r="C340" t="inlineStr">
        <is>
          <t>cnbc_adjusted</t>
        </is>
      </c>
      <c r="D340" t="inlineStr">
        <is>
          <t>2026-09-25</t>
        </is>
      </c>
      <c r="E340" t="n">
        <v>2.94</v>
      </c>
      <c r="F340" t="n">
        <v>2.94</v>
      </c>
      <c r="G340" t="inlineStr">
        <is>
          <t>match</t>
        </is>
      </c>
    </row>
    <row r="341">
      <c r="A341" t="inlineStr">
        <is>
          <t>RMS.AX</t>
        </is>
      </c>
      <c r="B341" t="n">
        <v>2017</v>
      </c>
      <c r="C341" t="inlineStr">
        <is>
          <t>cnbc_unadjusted</t>
        </is>
      </c>
      <c r="D341" t="inlineStr">
        <is>
          <t>2017-12-29</t>
        </is>
      </c>
      <c r="E341" t="n">
        <v>0.385</v>
      </c>
      <c r="F341" t="n">
        <v>0.385</v>
      </c>
      <c r="G341" t="inlineStr">
        <is>
          <t>match</t>
        </is>
      </c>
    </row>
    <row r="342">
      <c r="A342" t="inlineStr">
        <is>
          <t>RMS.AX</t>
        </is>
      </c>
      <c r="B342" t="n">
        <v>2017</v>
      </c>
      <c r="C342" t="inlineStr">
        <is>
          <t>cnbc_adjusted</t>
        </is>
      </c>
      <c r="D342" t="inlineStr">
        <is>
          <t>2017-12-29</t>
        </is>
      </c>
      <c r="E342" t="n">
        <v>0.385</v>
      </c>
      <c r="F342" t="n">
        <v>0.385</v>
      </c>
      <c r="G342" t="inlineStr">
        <is>
          <t>match</t>
        </is>
      </c>
    </row>
    <row r="343">
      <c r="A343" t="inlineStr">
        <is>
          <t>RMS.AX</t>
        </is>
      </c>
      <c r="B343" t="n">
        <v>2018</v>
      </c>
      <c r="C343" t="inlineStr">
        <is>
          <t>cnbc_unadjusted</t>
        </is>
      </c>
      <c r="D343" t="inlineStr">
        <is>
          <t>2018-12-31</t>
        </is>
      </c>
      <c r="E343" t="n">
        <v>0.47</v>
      </c>
      <c r="F343" t="n">
        <v>0.47</v>
      </c>
      <c r="G343" t="inlineStr">
        <is>
          <t>match</t>
        </is>
      </c>
    </row>
    <row r="344">
      <c r="A344" t="inlineStr">
        <is>
          <t>RMS.AX</t>
        </is>
      </c>
      <c r="B344" t="n">
        <v>2018</v>
      </c>
      <c r="C344" t="inlineStr">
        <is>
          <t>cnbc_adjusted</t>
        </is>
      </c>
      <c r="D344" t="inlineStr">
        <is>
          <t>2018-12-31</t>
        </is>
      </c>
      <c r="E344" t="n">
        <v>0.47</v>
      </c>
      <c r="F344" t="n">
        <v>0.47</v>
      </c>
      <c r="G344" t="inlineStr">
        <is>
          <t>match</t>
        </is>
      </c>
    </row>
    <row r="345">
      <c r="A345" t="inlineStr">
        <is>
          <t>RMS.AX</t>
        </is>
      </c>
      <c r="B345" t="n">
        <v>2019</v>
      </c>
      <c r="C345" t="inlineStr">
        <is>
          <t>cnbc_unadjusted</t>
        </is>
      </c>
      <c r="D345" t="inlineStr">
        <is>
          <t>2019-12-31</t>
        </is>
      </c>
      <c r="E345" t="n">
        <v>1.235</v>
      </c>
      <c r="F345" t="n">
        <v>1.235</v>
      </c>
      <c r="G345" t="inlineStr">
        <is>
          <t>match</t>
        </is>
      </c>
    </row>
    <row r="346">
      <c r="A346" t="inlineStr">
        <is>
          <t>RMS.AX</t>
        </is>
      </c>
      <c r="B346" t="n">
        <v>2019</v>
      </c>
      <c r="C346" t="inlineStr">
        <is>
          <t>cnbc_adjusted</t>
        </is>
      </c>
      <c r="D346" t="inlineStr">
        <is>
          <t>2019-12-31</t>
        </is>
      </c>
      <c r="E346" t="n">
        <v>1.235</v>
      </c>
      <c r="F346" t="n">
        <v>1.235</v>
      </c>
      <c r="G346" t="inlineStr">
        <is>
          <t>match</t>
        </is>
      </c>
    </row>
    <row r="347">
      <c r="A347" t="inlineStr">
        <is>
          <t>RMS.AX</t>
        </is>
      </c>
      <c r="B347" t="n">
        <v>2020</v>
      </c>
      <c r="C347" t="inlineStr">
        <is>
          <t>cnbc_unadjusted</t>
        </is>
      </c>
      <c r="D347" t="inlineStr">
        <is>
          <t>2020-12-31</t>
        </is>
      </c>
      <c r="E347" t="n">
        <v>1.685</v>
      </c>
      <c r="F347" t="n">
        <v>1.685</v>
      </c>
      <c r="G347" t="inlineStr">
        <is>
          <t>match</t>
        </is>
      </c>
    </row>
    <row r="348">
      <c r="A348" t="inlineStr">
        <is>
          <t>RMS.AX</t>
        </is>
      </c>
      <c r="B348" t="n">
        <v>2020</v>
      </c>
      <c r="C348" t="inlineStr">
        <is>
          <t>cnbc_adjusted</t>
        </is>
      </c>
      <c r="D348" t="inlineStr">
        <is>
          <t>2020-12-31</t>
        </is>
      </c>
      <c r="E348" t="n">
        <v>1.685</v>
      </c>
      <c r="F348" t="n">
        <v>1.685</v>
      </c>
      <c r="G348" t="inlineStr">
        <is>
          <t>match</t>
        </is>
      </c>
    </row>
    <row r="349">
      <c r="A349" t="inlineStr">
        <is>
          <t>RMS.AX</t>
        </is>
      </c>
      <c r="B349" t="n">
        <v>2021</v>
      </c>
      <c r="C349" t="inlineStr">
        <is>
          <t>cnbc_unadjusted</t>
        </is>
      </c>
      <c r="D349" t="inlineStr">
        <is>
          <t>2021-12-31</t>
        </is>
      </c>
      <c r="E349" t="n">
        <v>1.57</v>
      </c>
      <c r="F349" t="n">
        <v>1.57</v>
      </c>
      <c r="G349" t="inlineStr">
        <is>
          <t>match</t>
        </is>
      </c>
    </row>
    <row r="350">
      <c r="A350" t="inlineStr">
        <is>
          <t>RMS.AX</t>
        </is>
      </c>
      <c r="B350" t="n">
        <v>2021</v>
      </c>
      <c r="C350" t="inlineStr">
        <is>
          <t>cnbc_adjusted</t>
        </is>
      </c>
      <c r="D350" t="inlineStr">
        <is>
          <t>2021-12-31</t>
        </is>
      </c>
      <c r="E350" t="n">
        <v>1.57</v>
      </c>
      <c r="F350" t="n">
        <v>1.57</v>
      </c>
      <c r="G350" t="inlineStr">
        <is>
          <t>match</t>
        </is>
      </c>
    </row>
    <row r="351">
      <c r="A351" t="inlineStr">
        <is>
          <t>RMS.AX</t>
        </is>
      </c>
      <c r="B351" t="n">
        <v>2022</v>
      </c>
      <c r="C351" t="inlineStr">
        <is>
          <t>cnbc_unadjusted</t>
        </is>
      </c>
      <c r="D351" t="inlineStr">
        <is>
          <t>2022-12-30</t>
        </is>
      </c>
      <c r="E351" t="n">
        <v>0.93</v>
      </c>
      <c r="F351" t="n">
        <v>0.93</v>
      </c>
      <c r="G351" t="inlineStr">
        <is>
          <t>match</t>
        </is>
      </c>
    </row>
    <row r="352">
      <c r="A352" t="inlineStr">
        <is>
          <t>RMS.AX</t>
        </is>
      </c>
      <c r="B352" t="n">
        <v>2022</v>
      </c>
      <c r="C352" t="inlineStr">
        <is>
          <t>cnbc_adjusted</t>
        </is>
      </c>
      <c r="D352" t="inlineStr">
        <is>
          <t>2022-12-30</t>
        </is>
      </c>
      <c r="E352" t="n">
        <v>0.93</v>
      </c>
      <c r="F352" t="n">
        <v>0.93</v>
      </c>
      <c r="G352" t="inlineStr">
        <is>
          <t>match</t>
        </is>
      </c>
    </row>
    <row r="353">
      <c r="A353" t="inlineStr">
        <is>
          <t>RMS.AX</t>
        </is>
      </c>
      <c r="B353" t="n">
        <v>2023</v>
      </c>
      <c r="C353" t="inlineStr">
        <is>
          <t>cnbc_unadjusted</t>
        </is>
      </c>
      <c r="D353" t="inlineStr">
        <is>
          <t>2023-12-29</t>
        </is>
      </c>
      <c r="E353" t="n">
        <v>1.685</v>
      </c>
      <c r="F353" t="n">
        <v>1.685</v>
      </c>
      <c r="G353" t="inlineStr">
        <is>
          <t>match</t>
        </is>
      </c>
    </row>
    <row r="354">
      <c r="A354" t="inlineStr">
        <is>
          <t>RMS.AX</t>
        </is>
      </c>
      <c r="B354" t="n">
        <v>2023</v>
      </c>
      <c r="C354" t="inlineStr">
        <is>
          <t>cnbc_adjusted</t>
        </is>
      </c>
      <c r="D354" t="inlineStr">
        <is>
          <t>2023-12-29</t>
        </is>
      </c>
      <c r="E354" t="n">
        <v>1.685</v>
      </c>
      <c r="F354" t="n">
        <v>1.685</v>
      </c>
      <c r="G354" t="inlineStr">
        <is>
          <t>match</t>
        </is>
      </c>
    </row>
    <row r="355">
      <c r="A355" t="inlineStr">
        <is>
          <t>RMS.AX</t>
        </is>
      </c>
      <c r="B355" t="n">
        <v>2024</v>
      </c>
      <c r="C355" t="inlineStr">
        <is>
          <t>cnbc_unadjusted</t>
        </is>
      </c>
      <c r="D355" t="inlineStr">
        <is>
          <t>2024-12-31</t>
        </is>
      </c>
      <c r="E355" t="n">
        <v>2.07</v>
      </c>
      <c r="F355" t="n">
        <v>2.07</v>
      </c>
      <c r="G355" t="inlineStr">
        <is>
          <t>match</t>
        </is>
      </c>
    </row>
    <row r="356">
      <c r="A356" t="inlineStr">
        <is>
          <t>RMS.AX</t>
        </is>
      </c>
      <c r="B356" t="n">
        <v>2024</v>
      </c>
      <c r="C356" t="inlineStr">
        <is>
          <t>cnbc_adjusted</t>
        </is>
      </c>
      <c r="D356" t="inlineStr">
        <is>
          <t>2024-12-31</t>
        </is>
      </c>
      <c r="E356" t="n">
        <v>2.07</v>
      </c>
      <c r="F356" t="n">
        <v>2.07</v>
      </c>
      <c r="G356" t="inlineStr">
        <is>
          <t>match</t>
        </is>
      </c>
    </row>
    <row r="357">
      <c r="A357" t="inlineStr">
        <is>
          <t>RMS.AX</t>
        </is>
      </c>
      <c r="B357" t="n">
        <v>2025</v>
      </c>
      <c r="C357" t="inlineStr">
        <is>
          <t>cnbc_unadjusted</t>
        </is>
      </c>
      <c r="D357" t="inlineStr">
        <is>
          <t>2025-12-31</t>
        </is>
      </c>
      <c r="E357" t="n">
        <v>4.16</v>
      </c>
      <c r="F357" t="n">
        <v>4.16</v>
      </c>
      <c r="G357" t="inlineStr">
        <is>
          <t>match</t>
        </is>
      </c>
    </row>
    <row r="358">
      <c r="A358" t="inlineStr">
        <is>
          <t>RMS.AX</t>
        </is>
      </c>
      <c r="B358" t="n">
        <v>2025</v>
      </c>
      <c r="C358" t="inlineStr">
        <is>
          <t>cnbc_adjusted</t>
        </is>
      </c>
      <c r="D358" t="inlineStr">
        <is>
          <t>2025-12-31</t>
        </is>
      </c>
      <c r="E358" t="n">
        <v>4.16</v>
      </c>
      <c r="F358" t="n">
        <v>4.16</v>
      </c>
      <c r="G358" t="inlineStr">
        <is>
          <t>match</t>
        </is>
      </c>
    </row>
    <row r="359">
      <c r="A359" t="inlineStr">
        <is>
          <t>RMS.AX</t>
        </is>
      </c>
      <c r="B359" t="n">
        <v>2026</v>
      </c>
      <c r="C359" t="inlineStr">
        <is>
          <t>cnbc_unadjusted</t>
        </is>
      </c>
      <c r="D359" t="inlineStr">
        <is>
          <t>2026-09-25</t>
        </is>
      </c>
      <c r="E359" t="n">
        <v>3.87</v>
      </c>
      <c r="F359" t="n">
        <v>3.87</v>
      </c>
      <c r="G359" t="inlineStr">
        <is>
          <t>match</t>
        </is>
      </c>
    </row>
    <row r="360">
      <c r="A360" t="inlineStr">
        <is>
          <t>RMS.AX</t>
        </is>
      </c>
      <c r="B360" t="n">
        <v>2026</v>
      </c>
      <c r="C360" t="inlineStr">
        <is>
          <t>cnbc_adjusted</t>
        </is>
      </c>
      <c r="D360" t="inlineStr">
        <is>
          <t>2026-09-25</t>
        </is>
      </c>
      <c r="E360" t="n">
        <v>3.87</v>
      </c>
      <c r="F360" t="n">
        <v>3.87</v>
      </c>
      <c r="G360" t="inlineStr">
        <is>
          <t>match</t>
        </is>
      </c>
    </row>
    <row r="361">
      <c r="A361" t="inlineStr">
        <is>
          <t>RRL.AX</t>
        </is>
      </c>
      <c r="B361" t="n">
        <v>2017</v>
      </c>
      <c r="C361" t="inlineStr">
        <is>
          <t>cnbc_unadjusted</t>
        </is>
      </c>
      <c r="D361" t="inlineStr">
        <is>
          <t>2017-12-29</t>
        </is>
      </c>
      <c r="E361" t="n">
        <v>4.3</v>
      </c>
      <c r="F361" t="n">
        <v>4.3</v>
      </c>
      <c r="G361" t="inlineStr">
        <is>
          <t>match</t>
        </is>
      </c>
    </row>
    <row r="362">
      <c r="A362" t="inlineStr">
        <is>
          <t>RRL.AX</t>
        </is>
      </c>
      <c r="B362" t="n">
        <v>2018</v>
      </c>
      <c r="C362" t="inlineStr">
        <is>
          <t>cnbc_unadjusted</t>
        </is>
      </c>
      <c r="D362" t="inlineStr">
        <is>
          <t>2018-12-31</t>
        </is>
      </c>
      <c r="E362" t="n">
        <v>4.83</v>
      </c>
      <c r="F362" t="n">
        <v>4.83</v>
      </c>
      <c r="G362" t="inlineStr">
        <is>
          <t>match</t>
        </is>
      </c>
    </row>
    <row r="363">
      <c r="A363" t="inlineStr">
        <is>
          <t>RRL.AX</t>
        </is>
      </c>
      <c r="B363" t="n">
        <v>2019</v>
      </c>
      <c r="C363" t="inlineStr">
        <is>
          <t>cnbc_unadjusted</t>
        </is>
      </c>
      <c r="D363" t="inlineStr">
        <is>
          <t>2019-12-31</t>
        </is>
      </c>
      <c r="E363" t="n">
        <v>4.34</v>
      </c>
      <c r="F363" t="n">
        <v>4.34</v>
      </c>
      <c r="G363" t="inlineStr">
        <is>
          <t>match</t>
        </is>
      </c>
    </row>
    <row r="364">
      <c r="A364" t="inlineStr">
        <is>
          <t>RRL.AX</t>
        </is>
      </c>
      <c r="B364" t="n">
        <v>2020</v>
      </c>
      <c r="C364" t="inlineStr">
        <is>
          <t>cnbc_unadjusted</t>
        </is>
      </c>
      <c r="D364" t="inlineStr">
        <is>
          <t>2020-12-31</t>
        </is>
      </c>
      <c r="E364" t="n">
        <v>3.74</v>
      </c>
      <c r="F364" t="n">
        <v>3.74</v>
      </c>
      <c r="G364" t="inlineStr">
        <is>
          <t>match</t>
        </is>
      </c>
    </row>
    <row r="365">
      <c r="A365" t="inlineStr">
        <is>
          <t>RRL.AX</t>
        </is>
      </c>
      <c r="B365" t="n">
        <v>2021</v>
      </c>
      <c r="C365" t="inlineStr">
        <is>
          <t>cnbc_unadjusted</t>
        </is>
      </c>
      <c r="D365" t="inlineStr">
        <is>
          <t>2021-12-31</t>
        </is>
      </c>
      <c r="E365" t="n">
        <v>1.95</v>
      </c>
      <c r="F365" t="n">
        <v>1.95</v>
      </c>
      <c r="G365" t="inlineStr">
        <is>
          <t>match</t>
        </is>
      </c>
    </row>
    <row r="366">
      <c r="A366" t="inlineStr">
        <is>
          <t>RRL.AX</t>
        </is>
      </c>
      <c r="B366" t="n">
        <v>2021</v>
      </c>
      <c r="C366" t="inlineStr">
        <is>
          <t>cnbc_adjusted</t>
        </is>
      </c>
      <c r="D366" t="inlineStr">
        <is>
          <t>2021-12-31</t>
        </is>
      </c>
      <c r="E366" t="n">
        <v>1.95</v>
      </c>
      <c r="F366" t="n">
        <v>1.95</v>
      </c>
      <c r="G366" t="inlineStr">
        <is>
          <t>match</t>
        </is>
      </c>
    </row>
    <row r="367">
      <c r="A367" t="inlineStr">
        <is>
          <t>RRL.AX</t>
        </is>
      </c>
      <c r="B367" t="n">
        <v>2022</v>
      </c>
      <c r="C367" t="inlineStr">
        <is>
          <t>cnbc_unadjusted</t>
        </is>
      </c>
      <c r="D367" t="inlineStr">
        <is>
          <t>2022-12-30</t>
        </is>
      </c>
      <c r="E367" t="n">
        <v>2.06</v>
      </c>
      <c r="F367" t="n">
        <v>2.06</v>
      </c>
      <c r="G367" t="inlineStr">
        <is>
          <t>match</t>
        </is>
      </c>
    </row>
    <row r="368">
      <c r="A368" t="inlineStr">
        <is>
          <t>RRL.AX</t>
        </is>
      </c>
      <c r="B368" t="n">
        <v>2022</v>
      </c>
      <c r="C368" t="inlineStr">
        <is>
          <t>cnbc_adjusted</t>
        </is>
      </c>
      <c r="D368" t="inlineStr">
        <is>
          <t>2022-12-30</t>
        </is>
      </c>
      <c r="E368" t="n">
        <v>2.06</v>
      </c>
      <c r="F368" t="n">
        <v>2.06</v>
      </c>
      <c r="G368" t="inlineStr">
        <is>
          <t>match</t>
        </is>
      </c>
    </row>
    <row r="369">
      <c r="A369" t="inlineStr">
        <is>
          <t>RRL.AX</t>
        </is>
      </c>
      <c r="B369" t="n">
        <v>2023</v>
      </c>
      <c r="C369" t="inlineStr">
        <is>
          <t>cnbc_unadjusted</t>
        </is>
      </c>
      <c r="D369" t="inlineStr">
        <is>
          <t>2023-12-29</t>
        </is>
      </c>
      <c r="E369" t="n">
        <v>2.18</v>
      </c>
      <c r="F369" t="n">
        <v>2.18</v>
      </c>
      <c r="G369" t="inlineStr">
        <is>
          <t>match</t>
        </is>
      </c>
    </row>
    <row r="370">
      <c r="A370" t="inlineStr">
        <is>
          <t>RRL.AX</t>
        </is>
      </c>
      <c r="B370" t="n">
        <v>2023</v>
      </c>
      <c r="C370" t="inlineStr">
        <is>
          <t>cnbc_adjusted</t>
        </is>
      </c>
      <c r="D370" t="inlineStr">
        <is>
          <t>2023-12-29</t>
        </is>
      </c>
      <c r="E370" t="n">
        <v>2.18</v>
      </c>
      <c r="F370" t="n">
        <v>2.18</v>
      </c>
      <c r="G370" t="inlineStr">
        <is>
          <t>match</t>
        </is>
      </c>
    </row>
    <row r="371">
      <c r="A371" t="inlineStr">
        <is>
          <t>RRL.AX</t>
        </is>
      </c>
      <c r="B371" t="n">
        <v>2024</v>
      </c>
      <c r="C371" t="inlineStr">
        <is>
          <t>cnbc_unadjusted</t>
        </is>
      </c>
      <c r="D371" t="inlineStr">
        <is>
          <t>2024-12-31</t>
        </is>
      </c>
      <c r="E371" t="n">
        <v>2.55</v>
      </c>
      <c r="F371" t="n">
        <v>2.55</v>
      </c>
      <c r="G371" t="inlineStr">
        <is>
          <t>match</t>
        </is>
      </c>
    </row>
    <row r="372">
      <c r="A372" t="inlineStr">
        <is>
          <t>RRL.AX</t>
        </is>
      </c>
      <c r="B372" t="n">
        <v>2024</v>
      </c>
      <c r="C372" t="inlineStr">
        <is>
          <t>cnbc_adjusted</t>
        </is>
      </c>
      <c r="D372" t="inlineStr">
        <is>
          <t>2024-12-31</t>
        </is>
      </c>
      <c r="E372" t="n">
        <v>2.55</v>
      </c>
      <c r="F372" t="n">
        <v>2.55</v>
      </c>
      <c r="G372" t="inlineStr">
        <is>
          <t>match</t>
        </is>
      </c>
    </row>
    <row r="373">
      <c r="A373" t="inlineStr">
        <is>
          <t>RRL.AX</t>
        </is>
      </c>
      <c r="B373" t="n">
        <v>2025</v>
      </c>
      <c r="C373" t="inlineStr">
        <is>
          <t>cnbc_unadjusted</t>
        </is>
      </c>
      <c r="D373" t="inlineStr">
        <is>
          <t>2025-12-31</t>
        </is>
      </c>
      <c r="E373" t="n">
        <v>7.55</v>
      </c>
      <c r="F373" t="n">
        <v>7.55</v>
      </c>
      <c r="G373" t="inlineStr">
        <is>
          <t>match</t>
        </is>
      </c>
    </row>
    <row r="374">
      <c r="A374" t="inlineStr">
        <is>
          <t>RRL.AX</t>
        </is>
      </c>
      <c r="B374" t="n">
        <v>2025</v>
      </c>
      <c r="C374" t="inlineStr">
        <is>
          <t>cnbc_adjusted</t>
        </is>
      </c>
      <c r="D374" t="inlineStr">
        <is>
          <t>2025-12-31</t>
        </is>
      </c>
      <c r="E374" t="n">
        <v>7.55</v>
      </c>
      <c r="F374" t="n">
        <v>7.55</v>
      </c>
      <c r="G374" t="inlineStr">
        <is>
          <t>match</t>
        </is>
      </c>
    </row>
    <row r="375">
      <c r="A375" t="inlineStr">
        <is>
          <t>RRL.AX</t>
        </is>
      </c>
      <c r="B375" t="n">
        <v>2026</v>
      </c>
      <c r="C375" t="inlineStr">
        <is>
          <t>cnbc_unadjusted</t>
        </is>
      </c>
      <c r="D375" t="inlineStr">
        <is>
          <t>2026-09-25</t>
        </is>
      </c>
      <c r="E375" t="n">
        <v>7.72</v>
      </c>
      <c r="F375" t="n">
        <v>7.72</v>
      </c>
      <c r="G375" t="inlineStr">
        <is>
          <t>match</t>
        </is>
      </c>
    </row>
    <row r="376">
      <c r="A376" t="inlineStr">
        <is>
          <t>RRL.AX</t>
        </is>
      </c>
      <c r="B376" t="n">
        <v>2026</v>
      </c>
      <c r="C376" t="inlineStr">
        <is>
          <t>cnbc_adjusted</t>
        </is>
      </c>
      <c r="D376" t="inlineStr">
        <is>
          <t>2026-09-25</t>
        </is>
      </c>
      <c r="E376" t="n">
        <v>7.72</v>
      </c>
      <c r="F376" t="n">
        <v>7.72</v>
      </c>
      <c r="G376" t="inlineStr">
        <is>
          <t>match</t>
        </is>
      </c>
    </row>
    <row r="377">
      <c r="A377" t="inlineStr">
        <is>
          <t>RSG.AX</t>
        </is>
      </c>
      <c r="B377" t="n">
        <v>2017</v>
      </c>
      <c r="C377" t="inlineStr">
        <is>
          <t>cnbc_unadjusted</t>
        </is>
      </c>
      <c r="D377" t="inlineStr">
        <is>
          <t>2017-12-29</t>
        </is>
      </c>
      <c r="E377" t="n">
        <v>1.14</v>
      </c>
      <c r="F377" t="n">
        <v>1.14</v>
      </c>
      <c r="G377" t="inlineStr">
        <is>
          <t>match</t>
        </is>
      </c>
    </row>
    <row r="378">
      <c r="A378" t="inlineStr">
        <is>
          <t>RSG.AX</t>
        </is>
      </c>
      <c r="B378" t="n">
        <v>2018</v>
      </c>
      <c r="C378" t="inlineStr">
        <is>
          <t>cnbc_unadjusted</t>
        </is>
      </c>
      <c r="D378" t="inlineStr">
        <is>
          <t>2018-12-31</t>
        </is>
      </c>
      <c r="E378" t="n">
        <v>1.155</v>
      </c>
      <c r="F378" t="n">
        <v>1.155</v>
      </c>
      <c r="G378" t="inlineStr">
        <is>
          <t>match</t>
        </is>
      </c>
    </row>
    <row r="379">
      <c r="A379" t="inlineStr">
        <is>
          <t>RSG.AX</t>
        </is>
      </c>
      <c r="B379" t="n">
        <v>2019</v>
      </c>
      <c r="C379" t="inlineStr">
        <is>
          <t>cnbc_unadjusted</t>
        </is>
      </c>
      <c r="D379" t="inlineStr">
        <is>
          <t>2019-12-31</t>
        </is>
      </c>
      <c r="E379" t="n">
        <v>1.26</v>
      </c>
      <c r="F379" t="n">
        <v>1.26</v>
      </c>
      <c r="G379" t="inlineStr">
        <is>
          <t>match</t>
        </is>
      </c>
    </row>
    <row r="380">
      <c r="A380" t="inlineStr">
        <is>
          <t>RSG.AX</t>
        </is>
      </c>
      <c r="B380" t="n">
        <v>2020</v>
      </c>
      <c r="C380" t="inlineStr">
        <is>
          <t>cnbc_unadjusted</t>
        </is>
      </c>
      <c r="D380" t="inlineStr">
        <is>
          <t>2020-12-31</t>
        </is>
      </c>
      <c r="E380" t="n">
        <v>0.795</v>
      </c>
      <c r="F380" t="n">
        <v>0.795</v>
      </c>
      <c r="G380" t="inlineStr">
        <is>
          <t>match</t>
        </is>
      </c>
    </row>
    <row r="381">
      <c r="A381" t="inlineStr">
        <is>
          <t>RSG.AX</t>
        </is>
      </c>
      <c r="B381" t="n">
        <v>2021</v>
      </c>
      <c r="C381" t="inlineStr">
        <is>
          <t>cnbc_unadjusted</t>
        </is>
      </c>
      <c r="D381" t="inlineStr">
        <is>
          <t>2021-12-31</t>
        </is>
      </c>
      <c r="E381" t="n">
        <v>0.39</v>
      </c>
      <c r="F381" t="n">
        <v>0.39</v>
      </c>
      <c r="G381" t="inlineStr">
        <is>
          <t>match</t>
        </is>
      </c>
    </row>
    <row r="382">
      <c r="A382" t="inlineStr">
        <is>
          <t>RSG.AX</t>
        </is>
      </c>
      <c r="B382" t="n">
        <v>2022</v>
      </c>
      <c r="C382" t="inlineStr">
        <is>
          <t>cnbc_unadjusted</t>
        </is>
      </c>
      <c r="D382" t="inlineStr">
        <is>
          <t>2022-12-30</t>
        </is>
      </c>
      <c r="E382" t="n">
        <v>0.2</v>
      </c>
      <c r="F382" t="n">
        <v>0.2</v>
      </c>
      <c r="G382" t="inlineStr">
        <is>
          <t>match</t>
        </is>
      </c>
    </row>
    <row r="383">
      <c r="A383" t="inlineStr">
        <is>
          <t>RSG.AX</t>
        </is>
      </c>
      <c r="B383" t="n">
        <v>2022</v>
      </c>
      <c r="C383" t="inlineStr">
        <is>
          <t>cnbc_adjusted</t>
        </is>
      </c>
      <c r="D383" t="inlineStr">
        <is>
          <t>2022-12-30</t>
        </is>
      </c>
      <c r="E383" t="n">
        <v>0.2</v>
      </c>
      <c r="F383" t="n">
        <v>0.2</v>
      </c>
      <c r="G383" t="inlineStr">
        <is>
          <t>match</t>
        </is>
      </c>
    </row>
    <row r="384">
      <c r="A384" t="inlineStr">
        <is>
          <t>RSG.AX</t>
        </is>
      </c>
      <c r="B384" t="n">
        <v>2023</v>
      </c>
      <c r="C384" t="inlineStr">
        <is>
          <t>cnbc_unadjusted</t>
        </is>
      </c>
      <c r="D384" t="inlineStr">
        <is>
          <t>2023-12-29</t>
        </is>
      </c>
      <c r="E384" t="n">
        <v>0.445</v>
      </c>
      <c r="F384" t="n">
        <v>0.445</v>
      </c>
      <c r="G384" t="inlineStr">
        <is>
          <t>match</t>
        </is>
      </c>
    </row>
    <row r="385">
      <c r="A385" t="inlineStr">
        <is>
          <t>RSG.AX</t>
        </is>
      </c>
      <c r="B385" t="n">
        <v>2023</v>
      </c>
      <c r="C385" t="inlineStr">
        <is>
          <t>cnbc_adjusted</t>
        </is>
      </c>
      <c r="D385" t="inlineStr">
        <is>
          <t>2023-12-29</t>
        </is>
      </c>
      <c r="E385" t="n">
        <v>0.445</v>
      </c>
      <c r="F385" t="n">
        <v>0.445</v>
      </c>
      <c r="G385" t="inlineStr">
        <is>
          <t>match</t>
        </is>
      </c>
    </row>
    <row r="386">
      <c r="A386" t="inlineStr">
        <is>
          <t>RSG.AX</t>
        </is>
      </c>
      <c r="B386" t="n">
        <v>2024</v>
      </c>
      <c r="C386" t="inlineStr">
        <is>
          <t>cnbc_unadjusted</t>
        </is>
      </c>
      <c r="D386" t="inlineStr">
        <is>
          <t>2024-12-31</t>
        </is>
      </c>
      <c r="E386" t="n">
        <v>0.395</v>
      </c>
      <c r="F386" t="n">
        <v>0.395</v>
      </c>
      <c r="G386" t="inlineStr">
        <is>
          <t>match</t>
        </is>
      </c>
    </row>
    <row r="387">
      <c r="A387" t="inlineStr">
        <is>
          <t>RSG.AX</t>
        </is>
      </c>
      <c r="B387" t="n">
        <v>2024</v>
      </c>
      <c r="C387" t="inlineStr">
        <is>
          <t>cnbc_adjusted</t>
        </is>
      </c>
      <c r="D387" t="inlineStr">
        <is>
          <t>2024-12-31</t>
        </is>
      </c>
      <c r="E387" t="n">
        <v>0.395</v>
      </c>
      <c r="F387" t="n">
        <v>0.395</v>
      </c>
      <c r="G387" t="inlineStr">
        <is>
          <t>match</t>
        </is>
      </c>
    </row>
    <row r="388">
      <c r="A388" t="inlineStr">
        <is>
          <t>RSG.AX</t>
        </is>
      </c>
      <c r="B388" t="n">
        <v>2025</v>
      </c>
      <c r="C388" t="inlineStr">
        <is>
          <t>cnbc_unadjusted</t>
        </is>
      </c>
      <c r="D388" t="inlineStr">
        <is>
          <t>2025-12-31</t>
        </is>
      </c>
      <c r="E388" t="n">
        <v>1.225</v>
      </c>
      <c r="F388" t="n">
        <v>1.225</v>
      </c>
      <c r="G388" t="inlineStr">
        <is>
          <t>match</t>
        </is>
      </c>
    </row>
    <row r="389">
      <c r="A389" t="inlineStr">
        <is>
          <t>RSG.AX</t>
        </is>
      </c>
      <c r="B389" t="n">
        <v>2025</v>
      </c>
      <c r="C389" t="inlineStr">
        <is>
          <t>cnbc_adjusted</t>
        </is>
      </c>
      <c r="D389" t="inlineStr">
        <is>
          <t>2025-12-31</t>
        </is>
      </c>
      <c r="E389" t="n">
        <v>1.225</v>
      </c>
      <c r="F389" t="n">
        <v>1.225</v>
      </c>
      <c r="G389" t="inlineStr">
        <is>
          <t>match</t>
        </is>
      </c>
    </row>
    <row r="390">
      <c r="A390" t="inlineStr">
        <is>
          <t>RSG.AX</t>
        </is>
      </c>
      <c r="B390" t="n">
        <v>2026</v>
      </c>
      <c r="C390" t="inlineStr">
        <is>
          <t>cnbc_unadjusted</t>
        </is>
      </c>
      <c r="D390" t="inlineStr">
        <is>
          <t>2026-09-25</t>
        </is>
      </c>
      <c r="E390" t="n">
        <v>1.22</v>
      </c>
      <c r="F390" t="n">
        <v>1.22</v>
      </c>
      <c r="G390" t="inlineStr">
        <is>
          <t>match</t>
        </is>
      </c>
    </row>
    <row r="391">
      <c r="A391" t="inlineStr">
        <is>
          <t>RSG.AX</t>
        </is>
      </c>
      <c r="B391" t="n">
        <v>2026</v>
      </c>
      <c r="C391" t="inlineStr">
        <is>
          <t>cnbc_adjusted</t>
        </is>
      </c>
      <c r="D391" t="inlineStr">
        <is>
          <t>2026-09-25</t>
        </is>
      </c>
      <c r="E391" t="n">
        <v>1.22</v>
      </c>
      <c r="F391" t="n">
        <v>1.22</v>
      </c>
      <c r="G391" t="inlineStr">
        <is>
          <t>match</t>
        </is>
      </c>
    </row>
    <row r="392">
      <c r="A392" t="inlineStr">
        <is>
          <t>SBM.AX</t>
        </is>
      </c>
      <c r="B392" t="n">
        <v>2017</v>
      </c>
      <c r="C392" t="inlineStr">
        <is>
          <t>cnbc_unadjusted</t>
        </is>
      </c>
      <c r="D392" t="inlineStr">
        <is>
          <t>2017-12-29</t>
        </is>
      </c>
      <c r="E392" t="n">
        <v>3.82</v>
      </c>
      <c r="F392" t="n">
        <v>3.82</v>
      </c>
      <c r="G392" t="inlineStr">
        <is>
          <t>match</t>
        </is>
      </c>
    </row>
    <row r="393">
      <c r="A393" t="inlineStr">
        <is>
          <t>SBM.AX</t>
        </is>
      </c>
      <c r="B393" t="n">
        <v>2018</v>
      </c>
      <c r="C393" t="inlineStr">
        <is>
          <t>cnbc_unadjusted</t>
        </is>
      </c>
      <c r="D393" t="inlineStr">
        <is>
          <t>2018-12-31</t>
        </is>
      </c>
      <c r="E393" t="n">
        <v>4.7</v>
      </c>
      <c r="F393" t="n">
        <v>4.7</v>
      </c>
      <c r="G393" t="inlineStr">
        <is>
          <t>match</t>
        </is>
      </c>
    </row>
    <row r="394">
      <c r="A394" t="inlineStr">
        <is>
          <t>SBM.AX</t>
        </is>
      </c>
      <c r="B394" t="n">
        <v>2019</v>
      </c>
      <c r="C394" t="inlineStr">
        <is>
          <t>cnbc_unadjusted</t>
        </is>
      </c>
      <c r="D394" t="inlineStr">
        <is>
          <t>2019-12-31</t>
        </is>
      </c>
      <c r="E394" t="n">
        <v>2.72</v>
      </c>
      <c r="F394" t="n">
        <v>2.72</v>
      </c>
      <c r="G394" t="inlineStr">
        <is>
          <t>match</t>
        </is>
      </c>
    </row>
    <row r="395">
      <c r="A395" t="inlineStr">
        <is>
          <t>SBM.AX</t>
        </is>
      </c>
      <c r="B395" t="n">
        <v>2019</v>
      </c>
      <c r="C395" t="inlineStr">
        <is>
          <t>cnbc_adjusted</t>
        </is>
      </c>
      <c r="D395" t="inlineStr">
        <is>
          <t>2019-12-31</t>
        </is>
      </c>
      <c r="E395" t="n">
        <v>2.72</v>
      </c>
      <c r="F395" t="n">
        <v>2.72</v>
      </c>
      <c r="G395" t="inlineStr">
        <is>
          <t>match</t>
        </is>
      </c>
    </row>
    <row r="396">
      <c r="A396" t="inlineStr">
        <is>
          <t>SBM.AX</t>
        </is>
      </c>
      <c r="B396" t="n">
        <v>2020</v>
      </c>
      <c r="C396" t="inlineStr">
        <is>
          <t>cnbc_unadjusted</t>
        </is>
      </c>
      <c r="D396" t="inlineStr">
        <is>
          <t>2020-12-31</t>
        </is>
      </c>
      <c r="E396" t="n">
        <v>2.36</v>
      </c>
      <c r="F396" t="n">
        <v>2.36</v>
      </c>
      <c r="G396" t="inlineStr">
        <is>
          <t>match</t>
        </is>
      </c>
    </row>
    <row r="397">
      <c r="A397" t="inlineStr">
        <is>
          <t>SBM.AX</t>
        </is>
      </c>
      <c r="B397" t="n">
        <v>2020</v>
      </c>
      <c r="C397" t="inlineStr">
        <is>
          <t>cnbc_adjusted</t>
        </is>
      </c>
      <c r="D397" t="inlineStr">
        <is>
          <t>2020-12-31</t>
        </is>
      </c>
      <c r="E397" t="n">
        <v>2.36</v>
      </c>
      <c r="F397" t="n">
        <v>2.36</v>
      </c>
      <c r="G397" t="inlineStr">
        <is>
          <t>match</t>
        </is>
      </c>
    </row>
    <row r="398">
      <c r="A398" t="inlineStr">
        <is>
          <t>SBM.AX</t>
        </is>
      </c>
      <c r="B398" t="n">
        <v>2021</v>
      </c>
      <c r="C398" t="inlineStr">
        <is>
          <t>cnbc_unadjusted</t>
        </is>
      </c>
      <c r="D398" t="inlineStr">
        <is>
          <t>2021-12-31</t>
        </is>
      </c>
      <c r="E398" t="n">
        <v>1.465</v>
      </c>
      <c r="F398" t="n">
        <v>1.465</v>
      </c>
      <c r="G398" t="inlineStr">
        <is>
          <t>match</t>
        </is>
      </c>
    </row>
    <row r="399">
      <c r="A399" t="inlineStr">
        <is>
          <t>SBM.AX</t>
        </is>
      </c>
      <c r="B399" t="n">
        <v>2021</v>
      </c>
      <c r="C399" t="inlineStr">
        <is>
          <t>cnbc_adjusted</t>
        </is>
      </c>
      <c r="D399" t="inlineStr">
        <is>
          <t>2021-12-31</t>
        </is>
      </c>
      <c r="E399" t="n">
        <v>1.465</v>
      </c>
      <c r="F399" t="n">
        <v>1.465</v>
      </c>
      <c r="G399" t="inlineStr">
        <is>
          <t>match</t>
        </is>
      </c>
    </row>
    <row r="400">
      <c r="A400" t="inlineStr">
        <is>
          <t>SBM.AX</t>
        </is>
      </c>
      <c r="B400" t="n">
        <v>2022</v>
      </c>
      <c r="C400" t="inlineStr">
        <is>
          <t>cnbc_unadjusted</t>
        </is>
      </c>
      <c r="D400" t="inlineStr">
        <is>
          <t>2022-12-30</t>
        </is>
      </c>
      <c r="E400" t="n">
        <v>0.775</v>
      </c>
      <c r="F400" t="n">
        <v>0.775</v>
      </c>
      <c r="G400" t="inlineStr">
        <is>
          <t>match</t>
        </is>
      </c>
    </row>
    <row r="401">
      <c r="A401" t="inlineStr">
        <is>
          <t>SBM.AX</t>
        </is>
      </c>
      <c r="B401" t="n">
        <v>2022</v>
      </c>
      <c r="C401" t="inlineStr">
        <is>
          <t>cnbc_adjusted</t>
        </is>
      </c>
      <c r="D401" t="inlineStr">
        <is>
          <t>2022-12-30</t>
        </is>
      </c>
      <c r="E401" t="n">
        <v>0.775</v>
      </c>
      <c r="F401" t="n">
        <v>0.775</v>
      </c>
      <c r="G401" t="inlineStr">
        <is>
          <t>match</t>
        </is>
      </c>
    </row>
    <row r="402">
      <c r="A402" t="inlineStr">
        <is>
          <t>SBM.AX</t>
        </is>
      </c>
      <c r="B402" t="n">
        <v>2023</v>
      </c>
      <c r="C402" t="inlineStr">
        <is>
          <t>cnbc_unadjusted</t>
        </is>
      </c>
      <c r="D402" t="inlineStr">
        <is>
          <t>2023-12-29</t>
        </is>
      </c>
      <c r="E402" t="n">
        <v>0.21</v>
      </c>
      <c r="F402" t="n">
        <v>0.21</v>
      </c>
      <c r="G402" t="inlineStr">
        <is>
          <t>match</t>
        </is>
      </c>
    </row>
    <row r="403">
      <c r="A403" t="inlineStr">
        <is>
          <t>SBM.AX</t>
        </is>
      </c>
      <c r="B403" t="n">
        <v>2023</v>
      </c>
      <c r="C403" t="inlineStr">
        <is>
          <t>cnbc_adjusted</t>
        </is>
      </c>
      <c r="D403" t="inlineStr">
        <is>
          <t>2023-12-29</t>
        </is>
      </c>
      <c r="E403" t="n">
        <v>0.21</v>
      </c>
      <c r="F403" t="n">
        <v>0.21</v>
      </c>
      <c r="G403" t="inlineStr">
        <is>
          <t>match</t>
        </is>
      </c>
    </row>
    <row r="404">
      <c r="A404" t="inlineStr">
        <is>
          <t>SBM.AX</t>
        </is>
      </c>
      <c r="B404" t="n">
        <v>2024</v>
      </c>
      <c r="C404" t="inlineStr">
        <is>
          <t>cnbc_unadjusted</t>
        </is>
      </c>
      <c r="D404" t="inlineStr">
        <is>
          <t>2024-12-31</t>
        </is>
      </c>
      <c r="E404" t="n">
        <v>0.225</v>
      </c>
      <c r="F404" t="n">
        <v>0.225</v>
      </c>
      <c r="G404" t="inlineStr">
        <is>
          <t>match</t>
        </is>
      </c>
    </row>
    <row r="405">
      <c r="A405" t="inlineStr">
        <is>
          <t>SBM.AX</t>
        </is>
      </c>
      <c r="B405" t="n">
        <v>2024</v>
      </c>
      <c r="C405" t="inlineStr">
        <is>
          <t>cnbc_adjusted</t>
        </is>
      </c>
      <c r="D405" t="inlineStr">
        <is>
          <t>2024-12-31</t>
        </is>
      </c>
      <c r="E405" t="n">
        <v>0.225</v>
      </c>
      <c r="F405" t="n">
        <v>0.225</v>
      </c>
      <c r="G405" t="inlineStr">
        <is>
          <t>match</t>
        </is>
      </c>
    </row>
    <row r="406">
      <c r="A406" t="inlineStr">
        <is>
          <t>SBM.AX</t>
        </is>
      </c>
      <c r="B406" t="n">
        <v>2025</v>
      </c>
      <c r="C406" t="inlineStr">
        <is>
          <t>cnbc_unadjusted</t>
        </is>
      </c>
      <c r="D406" t="inlineStr">
        <is>
          <t>2025-12-31</t>
        </is>
      </c>
      <c r="E406" t="n">
        <v>0.58</v>
      </c>
      <c r="F406" t="n">
        <v>0.58</v>
      </c>
      <c r="G406" t="inlineStr">
        <is>
          <t>match</t>
        </is>
      </c>
    </row>
    <row r="407">
      <c r="A407" t="inlineStr">
        <is>
          <t>SBM.AX</t>
        </is>
      </c>
      <c r="B407" t="n">
        <v>2025</v>
      </c>
      <c r="C407" t="inlineStr">
        <is>
          <t>cnbc_adjusted</t>
        </is>
      </c>
      <c r="D407" t="inlineStr">
        <is>
          <t>2025-12-31</t>
        </is>
      </c>
      <c r="E407" t="n">
        <v>0.58</v>
      </c>
      <c r="F407" t="n">
        <v>0.58</v>
      </c>
      <c r="G407" t="inlineStr">
        <is>
          <t>match</t>
        </is>
      </c>
    </row>
    <row r="408">
      <c r="A408" t="inlineStr">
        <is>
          <t>SBM.AX</t>
        </is>
      </c>
      <c r="B408" t="n">
        <v>2026</v>
      </c>
      <c r="C408" t="inlineStr">
        <is>
          <t>cnbc_unadjusted</t>
        </is>
      </c>
      <c r="D408" t="inlineStr">
        <is>
          <t>2026-09-25</t>
        </is>
      </c>
      <c r="E408" t="n">
        <v>0.82</v>
      </c>
      <c r="F408" t="n">
        <v>0.82</v>
      </c>
      <c r="G408" t="inlineStr">
        <is>
          <t>match</t>
        </is>
      </c>
    </row>
    <row r="409">
      <c r="A409" t="inlineStr">
        <is>
          <t>SBM.AX</t>
        </is>
      </c>
      <c r="B409" t="n">
        <v>2026</v>
      </c>
      <c r="C409" t="inlineStr">
        <is>
          <t>cnbc_adjusted</t>
        </is>
      </c>
      <c r="D409" t="inlineStr">
        <is>
          <t>2026-09-25</t>
        </is>
      </c>
      <c r="E409" t="n">
        <v>0.82</v>
      </c>
      <c r="F409" t="n">
        <v>0.82</v>
      </c>
      <c r="G409" t="inlineStr">
        <is>
          <t>match</t>
        </is>
      </c>
    </row>
    <row r="410">
      <c r="A410" t="inlineStr">
        <is>
          <t>SPA.V</t>
        </is>
      </c>
      <c r="B410" t="n">
        <v>2017</v>
      </c>
      <c r="C410" t="inlineStr">
        <is>
          <t>tmx</t>
        </is>
      </c>
      <c r="D410" t="inlineStr">
        <is>
          <t>2017-12-29</t>
        </is>
      </c>
      <c r="E410" t="n">
        <v>0.135</v>
      </c>
      <c r="F410" t="n">
        <v>0.14</v>
      </c>
      <c r="G410" t="inlineStr">
        <is>
          <t>match</t>
        </is>
      </c>
    </row>
    <row r="411">
      <c r="A411" t="inlineStr">
        <is>
          <t>SPA.V</t>
        </is>
      </c>
      <c r="B411" t="n">
        <v>2018</v>
      </c>
      <c r="C411" t="inlineStr">
        <is>
          <t>tmx</t>
        </is>
      </c>
      <c r="D411" t="inlineStr">
        <is>
          <t>2018-12-31</t>
        </is>
      </c>
      <c r="E411" t="n">
        <v>0.065</v>
      </c>
      <c r="F411" t="n">
        <v>0.07000000000000001</v>
      </c>
      <c r="G411" t="inlineStr">
        <is>
          <t>match</t>
        </is>
      </c>
    </row>
    <row r="412">
      <c r="A412" t="inlineStr">
        <is>
          <t>SPA.V</t>
        </is>
      </c>
      <c r="B412" t="n">
        <v>2019</v>
      </c>
      <c r="C412" t="inlineStr">
        <is>
          <t>tmx</t>
        </is>
      </c>
      <c r="D412" t="inlineStr">
        <is>
          <t>2019-12-31</t>
        </is>
      </c>
      <c r="E412" t="n">
        <v>0.09</v>
      </c>
      <c r="F412" t="n">
        <v>0.09</v>
      </c>
      <c r="G412" t="inlineStr">
        <is>
          <t>match</t>
        </is>
      </c>
    </row>
    <row r="413">
      <c r="A413" t="inlineStr">
        <is>
          <t>SPA.V</t>
        </is>
      </c>
      <c r="B413" t="n">
        <v>2020</v>
      </c>
      <c r="C413" t="inlineStr">
        <is>
          <t>tmx</t>
        </is>
      </c>
      <c r="D413" t="inlineStr">
        <is>
          <t>2020-12-31</t>
        </is>
      </c>
      <c r="E413" t="n">
        <v>0.38</v>
      </c>
      <c r="F413" t="n">
        <v>0.38</v>
      </c>
      <c r="G413" t="inlineStr">
        <is>
          <t>match</t>
        </is>
      </c>
    </row>
    <row r="414">
      <c r="A414" t="inlineStr">
        <is>
          <t>SPA.V</t>
        </is>
      </c>
      <c r="B414" t="n">
        <v>2021</v>
      </c>
      <c r="C414" t="inlineStr">
        <is>
          <t>tmx</t>
        </is>
      </c>
      <c r="D414" t="inlineStr">
        <is>
          <t>2021-12-31</t>
        </is>
      </c>
      <c r="E414" t="n">
        <v>0.215</v>
      </c>
      <c r="F414" t="n">
        <v>0.22</v>
      </c>
      <c r="G414" t="inlineStr">
        <is>
          <t>match</t>
        </is>
      </c>
    </row>
    <row r="415">
      <c r="A415" t="inlineStr">
        <is>
          <t>SPA.V</t>
        </is>
      </c>
      <c r="B415" t="n">
        <v>2022</v>
      </c>
      <c r="C415" t="inlineStr">
        <is>
          <t>tmx</t>
        </is>
      </c>
      <c r="D415" t="inlineStr">
        <is>
          <t>2022-12-30</t>
        </is>
      </c>
      <c r="E415" t="n">
        <v>0.16</v>
      </c>
      <c r="F415" t="n">
        <v>0.16</v>
      </c>
      <c r="G415" t="inlineStr">
        <is>
          <t>match</t>
        </is>
      </c>
    </row>
    <row r="416">
      <c r="A416" t="inlineStr">
        <is>
          <t>SPA.V</t>
        </is>
      </c>
      <c r="B416" t="n">
        <v>2023</v>
      </c>
      <c r="C416" t="inlineStr">
        <is>
          <t>tmx</t>
        </is>
      </c>
      <c r="D416" t="inlineStr">
        <is>
          <t>2023-12-29</t>
        </is>
      </c>
      <c r="E416" t="n">
        <v>0.18</v>
      </c>
      <c r="F416" t="n">
        <v>0.18</v>
      </c>
      <c r="G416" t="inlineStr">
        <is>
          <t>match</t>
        </is>
      </c>
    </row>
    <row r="417">
      <c r="A417" t="inlineStr">
        <is>
          <t>SPA.V</t>
        </is>
      </c>
      <c r="B417" t="n">
        <v>2024</v>
      </c>
      <c r="C417" t="inlineStr">
        <is>
          <t>tmx</t>
        </is>
      </c>
      <c r="D417" t="inlineStr">
        <is>
          <t>2024-12-31</t>
        </is>
      </c>
      <c r="E417" t="n">
        <v>0.1</v>
      </c>
      <c r="F417" t="n">
        <v>0.1</v>
      </c>
      <c r="G417" t="inlineStr">
        <is>
          <t>match</t>
        </is>
      </c>
    </row>
    <row r="418">
      <c r="A418" t="inlineStr">
        <is>
          <t>SPA.V</t>
        </is>
      </c>
      <c r="B418" t="n">
        <v>2025</v>
      </c>
      <c r="C418" t="inlineStr">
        <is>
          <t>tmx</t>
        </is>
      </c>
      <c r="D418" t="inlineStr">
        <is>
          <t>2025-12-31</t>
        </is>
      </c>
      <c r="E418" t="n">
        <v>0.24</v>
      </c>
      <c r="F418" t="n">
        <v>0.24</v>
      </c>
      <c r="G418" t="inlineStr">
        <is>
          <t>match</t>
        </is>
      </c>
    </row>
    <row r="419">
      <c r="A419" t="inlineStr">
        <is>
          <t>SPA.V</t>
        </is>
      </c>
      <c r="B419" t="n">
        <v>2026</v>
      </c>
      <c r="C419" t="inlineStr">
        <is>
          <t>tmx</t>
        </is>
      </c>
      <c r="D419" t="inlineStr">
        <is>
          <t>2026-09-25</t>
        </is>
      </c>
      <c r="E419" t="n">
        <v>0.345</v>
      </c>
      <c r="F419" t="n">
        <v>0.35</v>
      </c>
      <c r="G419" t="inlineStr">
        <is>
          <t>match</t>
        </is>
      </c>
    </row>
    <row r="420">
      <c r="A420" t="inlineStr">
        <is>
          <t>SSRM</t>
        </is>
      </c>
      <c r="B420" t="n">
        <v>2017</v>
      </c>
      <c r="C420" t="inlineStr">
        <is>
          <t>nasdaq</t>
        </is>
      </c>
      <c r="D420" t="inlineStr">
        <is>
          <t>2017-12-29</t>
        </is>
      </c>
      <c r="E420" t="n">
        <v>8.789999999999999</v>
      </c>
      <c r="F420" t="n">
        <v>8.789999999999999</v>
      </c>
      <c r="G420" t="inlineStr">
        <is>
          <t>match</t>
        </is>
      </c>
    </row>
    <row r="421">
      <c r="A421" t="inlineStr">
        <is>
          <t>SSRM</t>
        </is>
      </c>
      <c r="B421" t="n">
        <v>2018</v>
      </c>
      <c r="C421" t="inlineStr">
        <is>
          <t>nasdaq</t>
        </is>
      </c>
      <c r="D421" t="inlineStr">
        <is>
          <t>2018-12-31</t>
        </is>
      </c>
      <c r="E421" t="n">
        <v>12.09</v>
      </c>
      <c r="F421" t="n">
        <v>12.09</v>
      </c>
      <c r="G421" t="inlineStr">
        <is>
          <t>match</t>
        </is>
      </c>
    </row>
    <row r="422">
      <c r="A422" t="inlineStr">
        <is>
          <t>SSRM</t>
        </is>
      </c>
      <c r="B422" t="n">
        <v>2019</v>
      </c>
      <c r="C422" t="inlineStr">
        <is>
          <t>nasdaq</t>
        </is>
      </c>
      <c r="D422" t="inlineStr">
        <is>
          <t>2019-12-31</t>
        </is>
      </c>
      <c r="E422" t="n">
        <v>19.26</v>
      </c>
      <c r="F422" t="n">
        <v>19.26</v>
      </c>
      <c r="G422" t="inlineStr">
        <is>
          <t>match</t>
        </is>
      </c>
    </row>
    <row r="423">
      <c r="A423" t="inlineStr">
        <is>
          <t>SSRM</t>
        </is>
      </c>
      <c r="B423" t="n">
        <v>2020</v>
      </c>
      <c r="C423" t="inlineStr">
        <is>
          <t>nasdaq</t>
        </is>
      </c>
      <c r="D423" t="inlineStr">
        <is>
          <t>2020-12-31</t>
        </is>
      </c>
      <c r="E423" t="n">
        <v>20.11</v>
      </c>
      <c r="F423" t="n">
        <v>20.11</v>
      </c>
      <c r="G423" t="inlineStr">
        <is>
          <t>match</t>
        </is>
      </c>
    </row>
    <row r="424">
      <c r="A424" t="inlineStr">
        <is>
          <t>SSRM</t>
        </is>
      </c>
      <c r="B424" t="n">
        <v>2021</v>
      </c>
      <c r="C424" t="inlineStr">
        <is>
          <t>nasdaq</t>
        </is>
      </c>
      <c r="D424" t="inlineStr">
        <is>
          <t>2021-12-31</t>
        </is>
      </c>
      <c r="E424" t="n">
        <v>17.7</v>
      </c>
      <c r="F424" t="n">
        <v>17.7</v>
      </c>
      <c r="G424" t="inlineStr">
        <is>
          <t>match</t>
        </is>
      </c>
    </row>
    <row r="425">
      <c r="A425" t="inlineStr">
        <is>
          <t>SSRM</t>
        </is>
      </c>
      <c r="B425" t="n">
        <v>2022</v>
      </c>
      <c r="C425" t="inlineStr">
        <is>
          <t>nasdaq</t>
        </is>
      </c>
      <c r="D425" t="inlineStr">
        <is>
          <t>2022-12-30</t>
        </is>
      </c>
      <c r="E425" t="n">
        <v>15.67</v>
      </c>
      <c r="F425" t="n">
        <v>15.67</v>
      </c>
      <c r="G425" t="inlineStr">
        <is>
          <t>match</t>
        </is>
      </c>
    </row>
    <row r="426">
      <c r="A426" t="inlineStr">
        <is>
          <t>SSRM</t>
        </is>
      </c>
      <c r="B426" t="n">
        <v>2023</v>
      </c>
      <c r="C426" t="inlineStr">
        <is>
          <t>nasdaq</t>
        </is>
      </c>
      <c r="D426" t="inlineStr">
        <is>
          <t>2023-12-29</t>
        </is>
      </c>
      <c r="E426" t="n">
        <v>10.76</v>
      </c>
      <c r="F426" t="n">
        <v>10.76</v>
      </c>
      <c r="G426" t="inlineStr">
        <is>
          <t>match</t>
        </is>
      </c>
    </row>
    <row r="427">
      <c r="A427" t="inlineStr">
        <is>
          <t>SSRM</t>
        </is>
      </c>
      <c r="B427" t="n">
        <v>2024</v>
      </c>
      <c r="C427" t="inlineStr">
        <is>
          <t>nasdaq</t>
        </is>
      </c>
      <c r="D427" t="inlineStr">
        <is>
          <t>2024-12-31</t>
        </is>
      </c>
      <c r="E427" t="n">
        <v>6.96</v>
      </c>
      <c r="F427" t="n">
        <v>6.96</v>
      </c>
      <c r="G427" t="inlineStr">
        <is>
          <t>match</t>
        </is>
      </c>
    </row>
    <row r="428">
      <c r="A428" t="inlineStr">
        <is>
          <t>SSRM</t>
        </is>
      </c>
      <c r="B428" t="n">
        <v>2025</v>
      </c>
      <c r="C428" t="inlineStr">
        <is>
          <t>nasdaq</t>
        </is>
      </c>
      <c r="D428" t="inlineStr">
        <is>
          <t>2025-12-31</t>
        </is>
      </c>
      <c r="E428" t="n">
        <v>21.92</v>
      </c>
      <c r="F428" t="n">
        <v>21.92</v>
      </c>
      <c r="G428" t="inlineStr">
        <is>
          <t>match</t>
        </is>
      </c>
    </row>
    <row r="429">
      <c r="A429" t="inlineStr">
        <is>
          <t>SSRM</t>
        </is>
      </c>
      <c r="B429" t="n">
        <v>2026</v>
      </c>
      <c r="C429" t="inlineStr">
        <is>
          <t>nasdaq</t>
        </is>
      </c>
      <c r="D429" t="inlineStr">
        <is>
          <t>2026-09-25</t>
        </is>
      </c>
      <c r="E429" t="n">
        <v>35.68</v>
      </c>
      <c r="F429" t="n">
        <v>35.68</v>
      </c>
      <c r="G429" t="inlineStr">
        <is>
          <t>match</t>
        </is>
      </c>
    </row>
    <row r="430">
      <c r="A430" t="inlineStr">
        <is>
          <t>STLR.TO</t>
        </is>
      </c>
      <c r="B430" t="n">
        <v>2024</v>
      </c>
      <c r="C430" t="inlineStr">
        <is>
          <t>tmx</t>
        </is>
      </c>
      <c r="D430" t="inlineStr">
        <is>
          <t>2024-12-31</t>
        </is>
      </c>
      <c r="E430" t="n">
        <v>0.83</v>
      </c>
      <c r="F430" t="n">
        <v>0.83</v>
      </c>
      <c r="G430" t="inlineStr">
        <is>
          <t>match</t>
        </is>
      </c>
    </row>
    <row r="431">
      <c r="A431" t="inlineStr">
        <is>
          <t>STLR.TO</t>
        </is>
      </c>
      <c r="B431" t="n">
        <v>2025</v>
      </c>
      <c r="C431" t="inlineStr">
        <is>
          <t>tmx</t>
        </is>
      </c>
      <c r="D431" t="inlineStr">
        <is>
          <t>2025-12-31</t>
        </is>
      </c>
      <c r="E431" t="n">
        <v>1.63</v>
      </c>
      <c r="F431" t="n">
        <v>1.63</v>
      </c>
      <c r="G431" t="inlineStr">
        <is>
          <t>match</t>
        </is>
      </c>
    </row>
    <row r="432">
      <c r="A432" t="inlineStr">
        <is>
          <t>STLR.TO</t>
        </is>
      </c>
      <c r="B432" t="n">
        <v>2026</v>
      </c>
      <c r="C432" t="inlineStr">
        <is>
          <t>tmx</t>
        </is>
      </c>
      <c r="D432" t="inlineStr">
        <is>
          <t>2026-09-25</t>
        </is>
      </c>
      <c r="E432" t="n">
        <v>1.66</v>
      </c>
      <c r="F432" t="n">
        <v>1.66</v>
      </c>
      <c r="G432" t="inlineStr">
        <is>
          <t>match</t>
        </is>
      </c>
    </row>
    <row r="433">
      <c r="A433" t="inlineStr">
        <is>
          <t>TSK.TO</t>
        </is>
      </c>
      <c r="B433" t="n">
        <v>2020</v>
      </c>
      <c r="C433" t="inlineStr">
        <is>
          <t>tmx</t>
        </is>
      </c>
      <c r="D433" t="inlineStr">
        <is>
          <t>2020-12-31</t>
        </is>
      </c>
      <c r="E433" t="n">
        <v>0.335</v>
      </c>
      <c r="F433" t="n">
        <v>0.335</v>
      </c>
      <c r="G433" t="inlineStr">
        <is>
          <t>match</t>
        </is>
      </c>
    </row>
    <row r="434">
      <c r="A434" t="inlineStr">
        <is>
          <t>TSK.TO</t>
        </is>
      </c>
      <c r="B434" t="n">
        <v>2021</v>
      </c>
      <c r="C434" t="inlineStr">
        <is>
          <t>tmx</t>
        </is>
      </c>
      <c r="D434" t="inlineStr">
        <is>
          <t>2021-12-31</t>
        </is>
      </c>
      <c r="E434" t="n">
        <v>0.31</v>
      </c>
      <c r="F434" t="n">
        <v>0.31</v>
      </c>
      <c r="G434" t="inlineStr">
        <is>
          <t>match</t>
        </is>
      </c>
    </row>
    <row r="435">
      <c r="A435" t="inlineStr">
        <is>
          <t>TSK.TO</t>
        </is>
      </c>
      <c r="B435" t="n">
        <v>2022</v>
      </c>
      <c r="C435" t="inlineStr">
        <is>
          <t>tmx</t>
        </is>
      </c>
      <c r="D435" t="inlineStr">
        <is>
          <t>2022-12-30</t>
        </is>
      </c>
      <c r="E435" t="n">
        <v>0.14</v>
      </c>
      <c r="F435" t="n">
        <v>0.14</v>
      </c>
      <c r="G435" t="inlineStr">
        <is>
          <t>match</t>
        </is>
      </c>
    </row>
    <row r="436">
      <c r="A436" t="inlineStr">
        <is>
          <t>TSK.TO</t>
        </is>
      </c>
      <c r="B436" t="n">
        <v>2023</v>
      </c>
      <c r="C436" t="inlineStr">
        <is>
          <t>tmx</t>
        </is>
      </c>
      <c r="D436" t="inlineStr">
        <is>
          <t>2023-12-29</t>
        </is>
      </c>
      <c r="E436" t="n">
        <v>0.33</v>
      </c>
      <c r="F436" t="n">
        <v>0.33</v>
      </c>
      <c r="G436" t="inlineStr">
        <is>
          <t>match</t>
        </is>
      </c>
    </row>
    <row r="437">
      <c r="A437" t="inlineStr">
        <is>
          <t>TSK.TO</t>
        </is>
      </c>
      <c r="B437" t="n">
        <v>2024</v>
      </c>
      <c r="C437" t="inlineStr">
        <is>
          <t>tmx</t>
        </is>
      </c>
      <c r="D437" t="inlineStr">
        <is>
          <t>2024-12-31</t>
        </is>
      </c>
      <c r="E437" t="n">
        <v>0.315</v>
      </c>
      <c r="F437" t="n">
        <v>0.315</v>
      </c>
      <c r="G437" t="inlineStr">
        <is>
          <t>match</t>
        </is>
      </c>
    </row>
    <row r="438">
      <c r="A438" t="inlineStr">
        <is>
          <t>TSK.TO</t>
        </is>
      </c>
      <c r="B438" t="n">
        <v>2025</v>
      </c>
      <c r="C438" t="inlineStr">
        <is>
          <t>tmx</t>
        </is>
      </c>
      <c r="D438" t="inlineStr">
        <is>
          <t>2025-12-31</t>
        </is>
      </c>
      <c r="E438" t="n">
        <v>1.44</v>
      </c>
      <c r="F438" t="n">
        <v>1.44</v>
      </c>
      <c r="G438" t="inlineStr">
        <is>
          <t>match</t>
        </is>
      </c>
    </row>
    <row r="439">
      <c r="A439" t="inlineStr">
        <is>
          <t>TSK.TO</t>
        </is>
      </c>
      <c r="B439" t="n">
        <v>2026</v>
      </c>
      <c r="C439" t="inlineStr">
        <is>
          <t>tmx</t>
        </is>
      </c>
      <c r="D439" t="inlineStr">
        <is>
          <t>2026-09-25</t>
        </is>
      </c>
      <c r="E439" t="n">
        <v>1.21</v>
      </c>
      <c r="F439" t="n">
        <v>1.21</v>
      </c>
      <c r="G439" t="inlineStr">
        <is>
          <t>match</t>
        </is>
      </c>
    </row>
    <row r="440">
      <c r="A440" t="inlineStr">
        <is>
          <t>VAU.AX</t>
        </is>
      </c>
      <c r="B440" t="n">
        <v>2017</v>
      </c>
      <c r="C440" t="inlineStr">
        <is>
          <t>cnbc_unadjusted</t>
        </is>
      </c>
      <c r="D440" t="inlineStr">
        <is>
          <t>2017-12-29</t>
        </is>
      </c>
      <c r="E440" t="n">
        <v>0.058</v>
      </c>
      <c r="F440" t="n">
        <v>0.058</v>
      </c>
      <c r="G440" t="inlineStr">
        <is>
          <t>match</t>
        </is>
      </c>
    </row>
    <row r="441">
      <c r="A441" t="inlineStr">
        <is>
          <t>VAU.AX</t>
        </is>
      </c>
      <c r="B441" t="n">
        <v>2018</v>
      </c>
      <c r="C441" t="inlineStr">
        <is>
          <t>cnbc_unadjusted</t>
        </is>
      </c>
      <c r="D441" t="inlineStr">
        <is>
          <t>2018-12-31</t>
        </is>
      </c>
      <c r="E441" t="n">
        <v>0.089</v>
      </c>
      <c r="F441" t="n">
        <v>0.089</v>
      </c>
      <c r="G441" t="inlineStr">
        <is>
          <t>match</t>
        </is>
      </c>
    </row>
    <row r="442">
      <c r="A442" t="inlineStr">
        <is>
          <t>VAU.AX</t>
        </is>
      </c>
      <c r="B442" t="n">
        <v>2019</v>
      </c>
      <c r="C442" t="inlineStr">
        <is>
          <t>cnbc_unadjusted</t>
        </is>
      </c>
      <c r="D442" t="inlineStr">
        <is>
          <t>2019-12-31</t>
        </is>
      </c>
      <c r="E442" t="n">
        <v>0.33</v>
      </c>
      <c r="F442" t="n">
        <v>0.33</v>
      </c>
      <c r="G442" t="inlineStr">
        <is>
          <t>match</t>
        </is>
      </c>
    </row>
    <row r="443">
      <c r="A443" t="inlineStr">
        <is>
          <t>VAU.AX</t>
        </is>
      </c>
      <c r="B443" t="n">
        <v>2020</v>
      </c>
      <c r="C443" t="inlineStr">
        <is>
          <t>cnbc_unadjusted</t>
        </is>
      </c>
      <c r="D443" t="inlineStr">
        <is>
          <t>2020-12-31</t>
        </is>
      </c>
      <c r="E443" t="n">
        <v>0.26</v>
      </c>
      <c r="F443" t="n">
        <v>0.26</v>
      </c>
      <c r="G443" t="inlineStr">
        <is>
          <t>match</t>
        </is>
      </c>
    </row>
    <row r="444">
      <c r="A444" t="inlineStr">
        <is>
          <t>VAU.AX</t>
        </is>
      </c>
      <c r="B444" t="n">
        <v>2021</v>
      </c>
      <c r="C444" t="inlineStr">
        <is>
          <t>cnbc_unadjusted</t>
        </is>
      </c>
      <c r="D444" t="inlineStr">
        <is>
          <t>2021-12-31</t>
        </is>
      </c>
      <c r="E444" t="n">
        <v>0.29</v>
      </c>
      <c r="F444" t="n">
        <v>0.29</v>
      </c>
      <c r="G444" t="inlineStr">
        <is>
          <t>match</t>
        </is>
      </c>
    </row>
    <row r="445">
      <c r="A445" t="inlineStr">
        <is>
          <t>VAU.AX</t>
        </is>
      </c>
      <c r="B445" t="n">
        <v>2022</v>
      </c>
      <c r="C445" t="inlineStr">
        <is>
          <t>cnbc_unadjusted</t>
        </is>
      </c>
      <c r="D445" t="inlineStr">
        <is>
          <t>2022-12-30</t>
        </is>
      </c>
      <c r="E445" t="n">
        <v>0.205</v>
      </c>
      <c r="F445" t="n">
        <v>0.205</v>
      </c>
      <c r="G445" t="inlineStr">
        <is>
          <t>match</t>
        </is>
      </c>
    </row>
    <row r="446">
      <c r="A446" t="inlineStr">
        <is>
          <t>VAU.AX</t>
        </is>
      </c>
      <c r="B446" t="n">
        <v>2023</v>
      </c>
      <c r="C446" t="inlineStr">
        <is>
          <t>cnbc_unadjusted</t>
        </is>
      </c>
      <c r="D446" t="inlineStr">
        <is>
          <t>2023-12-29</t>
        </is>
      </c>
      <c r="E446" t="n">
        <v>0.31</v>
      </c>
      <c r="F446" t="n">
        <v>0.31</v>
      </c>
      <c r="G446" t="inlineStr">
        <is>
          <t>match</t>
        </is>
      </c>
    </row>
    <row r="447">
      <c r="A447" t="inlineStr">
        <is>
          <t>VAU.AX</t>
        </is>
      </c>
      <c r="B447" t="n">
        <v>2024</v>
      </c>
      <c r="C447" t="inlineStr">
        <is>
          <t>cnbc_unadjusted</t>
        </is>
      </c>
      <c r="D447" t="inlineStr">
        <is>
          <t>2024-12-31</t>
        </is>
      </c>
      <c r="E447" t="n">
        <v>0.33</v>
      </c>
      <c r="F447" t="n">
        <v>0.33</v>
      </c>
      <c r="G447" t="inlineStr">
        <is>
          <t>match</t>
        </is>
      </c>
    </row>
    <row r="448">
      <c r="A448" t="inlineStr">
        <is>
          <t>VAU.AX</t>
        </is>
      </c>
      <c r="B448" t="n">
        <v>2025</v>
      </c>
      <c r="C448" t="inlineStr">
        <is>
          <t>cnbc_unadjusted</t>
        </is>
      </c>
      <c r="D448" t="inlineStr">
        <is>
          <t>2025-12-31</t>
        </is>
      </c>
      <c r="E448" t="n">
        <v>5.46</v>
      </c>
      <c r="F448" t="n">
        <v>5.46</v>
      </c>
      <c r="G448" t="inlineStr">
        <is>
          <t>match</t>
        </is>
      </c>
    </row>
    <row r="449">
      <c r="A449" t="inlineStr">
        <is>
          <t>VAU.AX</t>
        </is>
      </c>
      <c r="B449" t="n">
        <v>2025</v>
      </c>
      <c r="C449" t="inlineStr">
        <is>
          <t>cnbc_adjusted</t>
        </is>
      </c>
      <c r="D449" t="inlineStr">
        <is>
          <t>2025-12-31</t>
        </is>
      </c>
      <c r="E449" t="n">
        <v>5.46</v>
      </c>
      <c r="F449" t="n">
        <v>5.46</v>
      </c>
      <c r="G449" t="inlineStr">
        <is>
          <t>match</t>
        </is>
      </c>
    </row>
    <row r="450">
      <c r="A450" t="inlineStr">
        <is>
          <t>VAU.AX</t>
        </is>
      </c>
      <c r="B450" t="n">
        <v>2026</v>
      </c>
      <c r="C450" t="inlineStr">
        <is>
          <t>cnbc_unadjusted</t>
        </is>
      </c>
      <c r="D450" t="inlineStr">
        <is>
          <t>2026-09-25</t>
        </is>
      </c>
      <c r="E450" t="n">
        <v>6.35</v>
      </c>
      <c r="F450" t="n">
        <v>6.35</v>
      </c>
      <c r="G450" t="inlineStr">
        <is>
          <t>match</t>
        </is>
      </c>
    </row>
    <row r="451">
      <c r="A451" t="inlineStr">
        <is>
          <t>VAU.AX</t>
        </is>
      </c>
      <c r="B451" t="n">
        <v>2026</v>
      </c>
      <c r="C451" t="inlineStr">
        <is>
          <t>cnbc_adjusted</t>
        </is>
      </c>
      <c r="D451" t="inlineStr">
        <is>
          <t>2026-09-25</t>
        </is>
      </c>
      <c r="E451" t="n">
        <v>6.35</v>
      </c>
      <c r="F451" t="n">
        <v>6.35</v>
      </c>
      <c r="G451" t="inlineStr">
        <is>
          <t>match</t>
        </is>
      </c>
    </row>
    <row r="452">
      <c r="A452" t="inlineStr">
        <is>
          <t>WAF.AX</t>
        </is>
      </c>
      <c r="B452" t="n">
        <v>2017</v>
      </c>
      <c r="C452" t="inlineStr">
        <is>
          <t>cnbc_unadjusted</t>
        </is>
      </c>
      <c r="D452" t="inlineStr">
        <is>
          <t>2017-12-29</t>
        </is>
      </c>
      <c r="E452" t="n">
        <v>0.41</v>
      </c>
      <c r="F452" t="n">
        <v>0.41</v>
      </c>
      <c r="G452" t="inlineStr">
        <is>
          <t>match</t>
        </is>
      </c>
    </row>
    <row r="453">
      <c r="A453" t="inlineStr">
        <is>
          <t>WAF.AX</t>
        </is>
      </c>
      <c r="B453" t="n">
        <v>2017</v>
      </c>
      <c r="C453" t="inlineStr">
        <is>
          <t>cnbc_adjusted</t>
        </is>
      </c>
      <c r="D453" t="inlineStr">
        <is>
          <t>2017-12-29</t>
        </is>
      </c>
      <c r="E453" t="n">
        <v>0.41</v>
      </c>
      <c r="F453" t="n">
        <v>0.41</v>
      </c>
      <c r="G453" t="inlineStr">
        <is>
          <t>match</t>
        </is>
      </c>
    </row>
    <row r="454">
      <c r="A454" t="inlineStr">
        <is>
          <t>WAF.AX</t>
        </is>
      </c>
      <c r="B454" t="n">
        <v>2018</v>
      </c>
      <c r="C454" t="inlineStr">
        <is>
          <t>cnbc_unadjusted</t>
        </is>
      </c>
      <c r="D454" t="inlineStr">
        <is>
          <t>2018-12-31</t>
        </is>
      </c>
      <c r="E454" t="n">
        <v>0.25</v>
      </c>
      <c r="F454" t="n">
        <v>0.25</v>
      </c>
      <c r="G454" t="inlineStr">
        <is>
          <t>match</t>
        </is>
      </c>
    </row>
    <row r="455">
      <c r="A455" t="inlineStr">
        <is>
          <t>WAF.AX</t>
        </is>
      </c>
      <c r="B455" t="n">
        <v>2018</v>
      </c>
      <c r="C455" t="inlineStr">
        <is>
          <t>cnbc_adjusted</t>
        </is>
      </c>
      <c r="D455" t="inlineStr">
        <is>
          <t>2018-12-31</t>
        </is>
      </c>
      <c r="E455" t="n">
        <v>0.25</v>
      </c>
      <c r="F455" t="n">
        <v>0.25</v>
      </c>
      <c r="G455" t="inlineStr">
        <is>
          <t>match</t>
        </is>
      </c>
    </row>
    <row r="456">
      <c r="A456" t="inlineStr">
        <is>
          <t>WAF.AX</t>
        </is>
      </c>
      <c r="B456" t="n">
        <v>2019</v>
      </c>
      <c r="C456" t="inlineStr">
        <is>
          <t>cnbc_unadjusted</t>
        </is>
      </c>
      <c r="D456" t="inlineStr">
        <is>
          <t>2019-12-31</t>
        </is>
      </c>
      <c r="E456" t="n">
        <v>0.43</v>
      </c>
      <c r="F456" t="n">
        <v>0.43</v>
      </c>
      <c r="G456" t="inlineStr">
        <is>
          <t>match</t>
        </is>
      </c>
    </row>
    <row r="457">
      <c r="A457" t="inlineStr">
        <is>
          <t>WAF.AX</t>
        </is>
      </c>
      <c r="B457" t="n">
        <v>2019</v>
      </c>
      <c r="C457" t="inlineStr">
        <is>
          <t>cnbc_adjusted</t>
        </is>
      </c>
      <c r="D457" t="inlineStr">
        <is>
          <t>2019-12-31</t>
        </is>
      </c>
      <c r="E457" t="n">
        <v>0.43</v>
      </c>
      <c r="F457" t="n">
        <v>0.43</v>
      </c>
      <c r="G457" t="inlineStr">
        <is>
          <t>match</t>
        </is>
      </c>
    </row>
    <row r="458">
      <c r="A458" t="inlineStr">
        <is>
          <t>WAF.AX</t>
        </is>
      </c>
      <c r="B458" t="n">
        <v>2020</v>
      </c>
      <c r="C458" t="inlineStr">
        <is>
          <t>cnbc_unadjusted</t>
        </is>
      </c>
      <c r="D458" t="inlineStr">
        <is>
          <t>2020-12-31</t>
        </is>
      </c>
      <c r="E458" t="n">
        <v>1.045</v>
      </c>
      <c r="F458" t="n">
        <v>1.045</v>
      </c>
      <c r="G458" t="inlineStr">
        <is>
          <t>match</t>
        </is>
      </c>
    </row>
    <row r="459">
      <c r="A459" t="inlineStr">
        <is>
          <t>WAF.AX</t>
        </is>
      </c>
      <c r="B459" t="n">
        <v>2020</v>
      </c>
      <c r="C459" t="inlineStr">
        <is>
          <t>cnbc_adjusted</t>
        </is>
      </c>
      <c r="D459" t="inlineStr">
        <is>
          <t>2020-12-31</t>
        </is>
      </c>
      <c r="E459" t="n">
        <v>1.045</v>
      </c>
      <c r="F459" t="n">
        <v>1.045</v>
      </c>
      <c r="G459" t="inlineStr">
        <is>
          <t>match</t>
        </is>
      </c>
    </row>
    <row r="460">
      <c r="A460" t="inlineStr">
        <is>
          <t>WAF.AX</t>
        </is>
      </c>
      <c r="B460" t="n">
        <v>2021</v>
      </c>
      <c r="C460" t="inlineStr">
        <is>
          <t>cnbc_unadjusted</t>
        </is>
      </c>
      <c r="D460" t="inlineStr">
        <is>
          <t>2021-12-31</t>
        </is>
      </c>
      <c r="E460" t="n">
        <v>1.32</v>
      </c>
      <c r="F460" t="n">
        <v>1.32</v>
      </c>
      <c r="G460" t="inlineStr">
        <is>
          <t>match</t>
        </is>
      </c>
    </row>
    <row r="461">
      <c r="A461" t="inlineStr">
        <is>
          <t>WAF.AX</t>
        </is>
      </c>
      <c r="B461" t="n">
        <v>2021</v>
      </c>
      <c r="C461" t="inlineStr">
        <is>
          <t>cnbc_adjusted</t>
        </is>
      </c>
      <c r="D461" t="inlineStr">
        <is>
          <t>2021-12-31</t>
        </is>
      </c>
      <c r="E461" t="n">
        <v>1.32</v>
      </c>
      <c r="F461" t="n">
        <v>1.32</v>
      </c>
      <c r="G461" t="inlineStr">
        <is>
          <t>match</t>
        </is>
      </c>
    </row>
    <row r="462">
      <c r="A462" t="inlineStr">
        <is>
          <t>WAF.AX</t>
        </is>
      </c>
      <c r="B462" t="n">
        <v>2022</v>
      </c>
      <c r="C462" t="inlineStr">
        <is>
          <t>cnbc_unadjusted</t>
        </is>
      </c>
      <c r="D462" t="inlineStr">
        <is>
          <t>2022-12-30</t>
        </is>
      </c>
      <c r="E462" t="n">
        <v>1.175</v>
      </c>
      <c r="F462" t="n">
        <v>1.175</v>
      </c>
      <c r="G462" t="inlineStr">
        <is>
          <t>match</t>
        </is>
      </c>
    </row>
    <row r="463">
      <c r="A463" t="inlineStr">
        <is>
          <t>WAF.AX</t>
        </is>
      </c>
      <c r="B463" t="n">
        <v>2022</v>
      </c>
      <c r="C463" t="inlineStr">
        <is>
          <t>cnbc_adjusted</t>
        </is>
      </c>
      <c r="D463" t="inlineStr">
        <is>
          <t>2022-12-30</t>
        </is>
      </c>
      <c r="E463" t="n">
        <v>1.175</v>
      </c>
      <c r="F463" t="n">
        <v>1.175</v>
      </c>
      <c r="G463" t="inlineStr">
        <is>
          <t>match</t>
        </is>
      </c>
    </row>
    <row r="464">
      <c r="A464" t="inlineStr">
        <is>
          <t>WAF.AX</t>
        </is>
      </c>
      <c r="B464" t="n">
        <v>2023</v>
      </c>
      <c r="C464" t="inlineStr">
        <is>
          <t>cnbc_unadjusted</t>
        </is>
      </c>
      <c r="D464" t="inlineStr">
        <is>
          <t>2023-12-29</t>
        </is>
      </c>
      <c r="E464" t="n">
        <v>0.945</v>
      </c>
      <c r="F464" t="n">
        <v>0.945</v>
      </c>
      <c r="G464" t="inlineStr">
        <is>
          <t>match</t>
        </is>
      </c>
    </row>
    <row r="465">
      <c r="A465" t="inlineStr">
        <is>
          <t>WAF.AX</t>
        </is>
      </c>
      <c r="B465" t="n">
        <v>2023</v>
      </c>
      <c r="C465" t="inlineStr">
        <is>
          <t>cnbc_adjusted</t>
        </is>
      </c>
      <c r="D465" t="inlineStr">
        <is>
          <t>2023-12-29</t>
        </is>
      </c>
      <c r="E465" t="n">
        <v>0.945</v>
      </c>
      <c r="F465" t="n">
        <v>0.945</v>
      </c>
      <c r="G465" t="inlineStr">
        <is>
          <t>match</t>
        </is>
      </c>
    </row>
    <row r="466">
      <c r="A466" t="inlineStr">
        <is>
          <t>WAF.AX</t>
        </is>
      </c>
      <c r="B466" t="n">
        <v>2024</v>
      </c>
      <c r="C466" t="inlineStr">
        <is>
          <t>cnbc_unadjusted</t>
        </is>
      </c>
      <c r="D466" t="inlineStr">
        <is>
          <t>2024-12-31</t>
        </is>
      </c>
      <c r="E466" t="n">
        <v>1.435</v>
      </c>
      <c r="F466" t="n">
        <v>1.435</v>
      </c>
      <c r="G466" t="inlineStr">
        <is>
          <t>match</t>
        </is>
      </c>
    </row>
    <row r="467">
      <c r="A467" t="inlineStr">
        <is>
          <t>WAF.AX</t>
        </is>
      </c>
      <c r="B467" t="n">
        <v>2024</v>
      </c>
      <c r="C467" t="inlineStr">
        <is>
          <t>cnbc_adjusted</t>
        </is>
      </c>
      <c r="D467" t="inlineStr">
        <is>
          <t>2024-12-31</t>
        </is>
      </c>
      <c r="E467" t="n">
        <v>1.435</v>
      </c>
      <c r="F467" t="n">
        <v>1.435</v>
      </c>
      <c r="G467" t="inlineStr">
        <is>
          <t>match</t>
        </is>
      </c>
    </row>
    <row r="468">
      <c r="A468" t="inlineStr">
        <is>
          <t>WAF.AX</t>
        </is>
      </c>
      <c r="B468" t="n">
        <v>2025</v>
      </c>
      <c r="C468" t="inlineStr">
        <is>
          <t>cnbc_unadjusted</t>
        </is>
      </c>
      <c r="D468" t="inlineStr">
        <is>
          <t>2025-12-31</t>
        </is>
      </c>
      <c r="E468" t="n">
        <v>3</v>
      </c>
      <c r="F468" t="n">
        <v>3</v>
      </c>
      <c r="G468" t="inlineStr">
        <is>
          <t>match</t>
        </is>
      </c>
    </row>
    <row r="469">
      <c r="A469" t="inlineStr">
        <is>
          <t>WAF.AX</t>
        </is>
      </c>
      <c r="B469" t="n">
        <v>2025</v>
      </c>
      <c r="C469" t="inlineStr">
        <is>
          <t>cnbc_adjusted</t>
        </is>
      </c>
      <c r="D469" t="inlineStr">
        <is>
          <t>2025-12-31</t>
        </is>
      </c>
      <c r="E469" t="n">
        <v>3</v>
      </c>
      <c r="F469" t="n">
        <v>3</v>
      </c>
      <c r="G469" t="inlineStr">
        <is>
          <t>match</t>
        </is>
      </c>
    </row>
    <row r="470">
      <c r="A470" t="inlineStr">
        <is>
          <t>WAF.AX</t>
        </is>
      </c>
      <c r="B470" t="n">
        <v>2026</v>
      </c>
      <c r="C470" t="inlineStr">
        <is>
          <t>cnbc_unadjusted</t>
        </is>
      </c>
      <c r="D470" t="inlineStr">
        <is>
          <t>2026-09-25</t>
        </is>
      </c>
      <c r="E470" t="n">
        <v>3.52</v>
      </c>
      <c r="F470" t="n">
        <v>3.52</v>
      </c>
      <c r="G470" t="inlineStr">
        <is>
          <t>match</t>
        </is>
      </c>
    </row>
    <row r="471">
      <c r="A471" t="inlineStr">
        <is>
          <t>WAF.AX</t>
        </is>
      </c>
      <c r="B471" t="n">
        <v>2026</v>
      </c>
      <c r="C471" t="inlineStr">
        <is>
          <t>cnbc_adjusted</t>
        </is>
      </c>
      <c r="D471" t="inlineStr">
        <is>
          <t>2026-09-25</t>
        </is>
      </c>
      <c r="E471" t="n">
        <v>3.52</v>
      </c>
      <c r="F471" t="n">
        <v>3.52</v>
      </c>
      <c r="G471" t="inlineStr">
        <is>
          <t>match</t>
        </is>
      </c>
    </row>
    <row r="472">
      <c r="A472" t="inlineStr">
        <is>
          <t>WDO.TO</t>
        </is>
      </c>
      <c r="B472" t="n">
        <v>2017</v>
      </c>
      <c r="C472" t="inlineStr">
        <is>
          <t>tmx</t>
        </is>
      </c>
      <c r="D472" t="inlineStr">
        <is>
          <t>2017-12-29</t>
        </is>
      </c>
      <c r="E472" t="n">
        <v>2.11</v>
      </c>
      <c r="F472" t="n">
        <v>2.11</v>
      </c>
      <c r="G472" t="inlineStr">
        <is>
          <t>match</t>
        </is>
      </c>
    </row>
    <row r="473">
      <c r="A473" t="inlineStr">
        <is>
          <t>WDO.TO</t>
        </is>
      </c>
      <c r="B473" t="n">
        <v>2018</v>
      </c>
      <c r="C473" t="inlineStr">
        <is>
          <t>tmx</t>
        </is>
      </c>
      <c r="D473" t="inlineStr">
        <is>
          <t>2018-12-31</t>
        </is>
      </c>
      <c r="E473" t="n">
        <v>4.43</v>
      </c>
      <c r="F473" t="n">
        <v>4.43</v>
      </c>
      <c r="G473" t="inlineStr">
        <is>
          <t>match</t>
        </is>
      </c>
    </row>
    <row r="474">
      <c r="A474" t="inlineStr">
        <is>
          <t>WDO.TO</t>
        </is>
      </c>
      <c r="B474" t="n">
        <v>2019</v>
      </c>
      <c r="C474" t="inlineStr">
        <is>
          <t>tmx</t>
        </is>
      </c>
      <c r="D474" t="inlineStr">
        <is>
          <t>2019-12-31</t>
        </is>
      </c>
      <c r="E474" t="n">
        <v>10.17</v>
      </c>
      <c r="F474" t="n">
        <v>10.17</v>
      </c>
      <c r="G474" t="inlineStr">
        <is>
          <t>match</t>
        </is>
      </c>
    </row>
    <row r="475">
      <c r="A475" t="inlineStr">
        <is>
          <t>WDO.TO</t>
        </is>
      </c>
      <c r="B475" t="n">
        <v>2020</v>
      </c>
      <c r="C475" t="inlineStr">
        <is>
          <t>tmx</t>
        </is>
      </c>
      <c r="D475" t="inlineStr">
        <is>
          <t>2020-12-31</t>
        </is>
      </c>
      <c r="E475" t="n">
        <v>10.62</v>
      </c>
      <c r="F475" t="n">
        <v>10.62</v>
      </c>
      <c r="G475" t="inlineStr">
        <is>
          <t>match</t>
        </is>
      </c>
    </row>
    <row r="476">
      <c r="A476" t="inlineStr">
        <is>
          <t>WDO.TO</t>
        </is>
      </c>
      <c r="B476" t="n">
        <v>2021</v>
      </c>
      <c r="C476" t="inlineStr">
        <is>
          <t>tmx</t>
        </is>
      </c>
      <c r="D476" t="inlineStr">
        <is>
          <t>2021-12-31</t>
        </is>
      </c>
      <c r="E476" t="n">
        <v>11.51</v>
      </c>
      <c r="F476" t="n">
        <v>11.51</v>
      </c>
      <c r="G476" t="inlineStr">
        <is>
          <t>match</t>
        </is>
      </c>
    </row>
    <row r="477">
      <c r="A477" t="inlineStr">
        <is>
          <t>WDO.TO</t>
        </is>
      </c>
      <c r="B477" t="n">
        <v>2022</v>
      </c>
      <c r="C477" t="inlineStr">
        <is>
          <t>tmx</t>
        </is>
      </c>
      <c r="D477" t="inlineStr">
        <is>
          <t>2022-12-30</t>
        </is>
      </c>
      <c r="E477" t="n">
        <v>7.48</v>
      </c>
      <c r="F477" t="n">
        <v>7.48</v>
      </c>
      <c r="G477" t="inlineStr">
        <is>
          <t>match</t>
        </is>
      </c>
    </row>
    <row r="478">
      <c r="A478" t="inlineStr">
        <is>
          <t>WDO.TO</t>
        </is>
      </c>
      <c r="B478" t="n">
        <v>2023</v>
      </c>
      <c r="C478" t="inlineStr">
        <is>
          <t>tmx</t>
        </is>
      </c>
      <c r="D478" t="inlineStr">
        <is>
          <t>2023-12-29</t>
        </is>
      </c>
      <c r="E478" t="n">
        <v>7.71</v>
      </c>
      <c r="F478" t="n">
        <v>7.71</v>
      </c>
      <c r="G478" t="inlineStr">
        <is>
          <t>match</t>
        </is>
      </c>
    </row>
    <row r="479">
      <c r="A479" t="inlineStr">
        <is>
          <t>WDO.TO</t>
        </is>
      </c>
      <c r="B479" t="n">
        <v>2024</v>
      </c>
      <c r="C479" t="inlineStr">
        <is>
          <t>tmx</t>
        </is>
      </c>
      <c r="D479" t="inlineStr">
        <is>
          <t>2024-12-31</t>
        </is>
      </c>
      <c r="E479" t="n">
        <v>12.91</v>
      </c>
      <c r="F479" t="n">
        <v>12.91</v>
      </c>
      <c r="G479" t="inlineStr">
        <is>
          <t>match</t>
        </is>
      </c>
    </row>
    <row r="480">
      <c r="A480" t="inlineStr">
        <is>
          <t>WDO.TO</t>
        </is>
      </c>
      <c r="B480" t="n">
        <v>2025</v>
      </c>
      <c r="C480" t="inlineStr">
        <is>
          <t>tmx</t>
        </is>
      </c>
      <c r="D480" t="inlineStr">
        <is>
          <t>2025-12-31</t>
        </is>
      </c>
      <c r="E480" t="n">
        <v>22.74</v>
      </c>
      <c r="F480" t="n">
        <v>22.74</v>
      </c>
      <c r="G480" t="inlineStr">
        <is>
          <t>match</t>
        </is>
      </c>
    </row>
    <row r="481">
      <c r="A481" t="inlineStr">
        <is>
          <t>WDO.TO</t>
        </is>
      </c>
      <c r="B481" t="n">
        <v>2026</v>
      </c>
      <c r="C481" t="inlineStr">
        <is>
          <t>tmx</t>
        </is>
      </c>
      <c r="D481" t="inlineStr">
        <is>
          <t>2026-09-25</t>
        </is>
      </c>
      <c r="E481" t="n">
        <v>36.61</v>
      </c>
      <c r="F481" t="n">
        <v>36.61</v>
      </c>
      <c r="G481" t="inlineStr">
        <is>
          <t>match</t>
        </is>
      </c>
    </row>
    <row r="482">
      <c r="A482" t="inlineStr">
        <is>
          <t>WGX.AX</t>
        </is>
      </c>
      <c r="B482" t="n">
        <v>2017</v>
      </c>
      <c r="C482" t="inlineStr">
        <is>
          <t>cnbc_unadjusted</t>
        </is>
      </c>
      <c r="D482" t="inlineStr">
        <is>
          <t>2017-12-29</t>
        </is>
      </c>
      <c r="E482" t="n">
        <v>1.77</v>
      </c>
      <c r="F482" t="n">
        <v>1.77</v>
      </c>
      <c r="G482" t="inlineStr">
        <is>
          <t>match</t>
        </is>
      </c>
    </row>
    <row r="483">
      <c r="A483" t="inlineStr">
        <is>
          <t>WGX.AX</t>
        </is>
      </c>
      <c r="B483" t="n">
        <v>2017</v>
      </c>
      <c r="C483" t="inlineStr">
        <is>
          <t>cnbc_adjusted</t>
        </is>
      </c>
      <c r="D483" t="inlineStr">
        <is>
          <t>2017-12-29</t>
        </is>
      </c>
      <c r="E483" t="n">
        <v>1.77</v>
      </c>
      <c r="F483" t="n">
        <v>1.77</v>
      </c>
      <c r="G483" t="inlineStr">
        <is>
          <t>match</t>
        </is>
      </c>
    </row>
    <row r="484">
      <c r="A484" t="inlineStr">
        <is>
          <t>WGX.AX</t>
        </is>
      </c>
      <c r="B484" t="n">
        <v>2018</v>
      </c>
      <c r="C484" t="inlineStr">
        <is>
          <t>cnbc_unadjusted</t>
        </is>
      </c>
      <c r="D484" t="inlineStr">
        <is>
          <t>2018-12-31</t>
        </is>
      </c>
      <c r="E484" t="n">
        <v>0.88</v>
      </c>
      <c r="F484" t="n">
        <v>0.88</v>
      </c>
      <c r="G484" t="inlineStr">
        <is>
          <t>match</t>
        </is>
      </c>
    </row>
    <row r="485">
      <c r="A485" t="inlineStr">
        <is>
          <t>WGX.AX</t>
        </is>
      </c>
      <c r="B485" t="n">
        <v>2018</v>
      </c>
      <c r="C485" t="inlineStr">
        <is>
          <t>cnbc_adjusted</t>
        </is>
      </c>
      <c r="D485" t="inlineStr">
        <is>
          <t>2018-12-31</t>
        </is>
      </c>
      <c r="E485" t="n">
        <v>0.88</v>
      </c>
      <c r="F485" t="n">
        <v>0.88</v>
      </c>
      <c r="G485" t="inlineStr">
        <is>
          <t>match</t>
        </is>
      </c>
    </row>
    <row r="486">
      <c r="A486" t="inlineStr">
        <is>
          <t>WGX.AX</t>
        </is>
      </c>
      <c r="B486" t="n">
        <v>2019</v>
      </c>
      <c r="C486" t="inlineStr">
        <is>
          <t>cnbc_unadjusted</t>
        </is>
      </c>
      <c r="D486" t="inlineStr">
        <is>
          <t>2019-12-31</t>
        </is>
      </c>
      <c r="E486" t="n">
        <v>2.29</v>
      </c>
      <c r="F486" t="n">
        <v>2.29</v>
      </c>
      <c r="G486" t="inlineStr">
        <is>
          <t>match</t>
        </is>
      </c>
    </row>
    <row r="487">
      <c r="A487" t="inlineStr">
        <is>
          <t>WGX.AX</t>
        </is>
      </c>
      <c r="B487" t="n">
        <v>2019</v>
      </c>
      <c r="C487" t="inlineStr">
        <is>
          <t>cnbc_adjusted</t>
        </is>
      </c>
      <c r="D487" t="inlineStr">
        <is>
          <t>2019-12-31</t>
        </is>
      </c>
      <c r="E487" t="n">
        <v>2.29</v>
      </c>
      <c r="F487" t="n">
        <v>2.29</v>
      </c>
      <c r="G487" t="inlineStr">
        <is>
          <t>match</t>
        </is>
      </c>
    </row>
    <row r="488">
      <c r="A488" t="inlineStr">
        <is>
          <t>WGX.AX</t>
        </is>
      </c>
      <c r="B488" t="n">
        <v>2020</v>
      </c>
      <c r="C488" t="inlineStr">
        <is>
          <t>cnbc_unadjusted</t>
        </is>
      </c>
      <c r="D488" t="inlineStr">
        <is>
          <t>2020-12-31</t>
        </is>
      </c>
      <c r="E488" t="n">
        <v>2.64</v>
      </c>
      <c r="F488" t="n">
        <v>2.64</v>
      </c>
      <c r="G488" t="inlineStr">
        <is>
          <t>match</t>
        </is>
      </c>
    </row>
    <row r="489">
      <c r="A489" t="inlineStr">
        <is>
          <t>WGX.AX</t>
        </is>
      </c>
      <c r="B489" t="n">
        <v>2020</v>
      </c>
      <c r="C489" t="inlineStr">
        <is>
          <t>cnbc_adjusted</t>
        </is>
      </c>
      <c r="D489" t="inlineStr">
        <is>
          <t>2020-12-31</t>
        </is>
      </c>
      <c r="E489" t="n">
        <v>2.64</v>
      </c>
      <c r="F489" t="n">
        <v>2.64</v>
      </c>
      <c r="G489" t="inlineStr">
        <is>
          <t>match</t>
        </is>
      </c>
    </row>
    <row r="490">
      <c r="A490" t="inlineStr">
        <is>
          <t>WGX.AX</t>
        </is>
      </c>
      <c r="B490" t="n">
        <v>2021</v>
      </c>
      <c r="C490" t="inlineStr">
        <is>
          <t>cnbc_unadjusted</t>
        </is>
      </c>
      <c r="D490" t="inlineStr">
        <is>
          <t>2021-12-31</t>
        </is>
      </c>
      <c r="E490" t="n">
        <v>2.04</v>
      </c>
      <c r="F490" t="n">
        <v>2.04</v>
      </c>
      <c r="G490" t="inlineStr">
        <is>
          <t>match</t>
        </is>
      </c>
    </row>
    <row r="491">
      <c r="A491" t="inlineStr">
        <is>
          <t>WGX.AX</t>
        </is>
      </c>
      <c r="B491" t="n">
        <v>2021</v>
      </c>
      <c r="C491" t="inlineStr">
        <is>
          <t>cnbc_adjusted</t>
        </is>
      </c>
      <c r="D491" t="inlineStr">
        <is>
          <t>2021-12-31</t>
        </is>
      </c>
      <c r="E491" t="n">
        <v>2.04</v>
      </c>
      <c r="F491" t="n">
        <v>2.04</v>
      </c>
      <c r="G491" t="inlineStr">
        <is>
          <t>match</t>
        </is>
      </c>
    </row>
    <row r="492">
      <c r="A492" t="inlineStr">
        <is>
          <t>WGX.AX</t>
        </is>
      </c>
      <c r="B492" t="n">
        <v>2022</v>
      </c>
      <c r="C492" t="inlineStr">
        <is>
          <t>cnbc_unadjusted</t>
        </is>
      </c>
      <c r="D492" t="inlineStr">
        <is>
          <t>2022-12-30</t>
        </is>
      </c>
      <c r="E492" t="n">
        <v>0.875</v>
      </c>
      <c r="F492" t="n">
        <v>0.875</v>
      </c>
      <c r="G492" t="inlineStr">
        <is>
          <t>match</t>
        </is>
      </c>
    </row>
    <row r="493">
      <c r="A493" t="inlineStr">
        <is>
          <t>WGX.AX</t>
        </is>
      </c>
      <c r="B493" t="n">
        <v>2022</v>
      </c>
      <c r="C493" t="inlineStr">
        <is>
          <t>cnbc_adjusted</t>
        </is>
      </c>
      <c r="D493" t="inlineStr">
        <is>
          <t>2022-12-30</t>
        </is>
      </c>
      <c r="E493" t="n">
        <v>0.875</v>
      </c>
      <c r="F493" t="n">
        <v>0.875</v>
      </c>
      <c r="G493" t="inlineStr">
        <is>
          <t>match</t>
        </is>
      </c>
    </row>
    <row r="494">
      <c r="A494" t="inlineStr">
        <is>
          <t>WGX.AX</t>
        </is>
      </c>
      <c r="B494" t="n">
        <v>2023</v>
      </c>
      <c r="C494" t="inlineStr">
        <is>
          <t>cnbc_unadjusted</t>
        </is>
      </c>
      <c r="D494" t="inlineStr">
        <is>
          <t>2023-12-29</t>
        </is>
      </c>
      <c r="E494" t="n">
        <v>2.18</v>
      </c>
      <c r="F494" t="n">
        <v>2.18</v>
      </c>
      <c r="G494" t="inlineStr">
        <is>
          <t>match</t>
        </is>
      </c>
    </row>
    <row r="495">
      <c r="A495" t="inlineStr">
        <is>
          <t>WGX.AX</t>
        </is>
      </c>
      <c r="B495" t="n">
        <v>2023</v>
      </c>
      <c r="C495" t="inlineStr">
        <is>
          <t>cnbc_adjusted</t>
        </is>
      </c>
      <c r="D495" t="inlineStr">
        <is>
          <t>2023-12-29</t>
        </is>
      </c>
      <c r="E495" t="n">
        <v>2.18</v>
      </c>
      <c r="F495" t="n">
        <v>2.18</v>
      </c>
      <c r="G495" t="inlineStr">
        <is>
          <t>match</t>
        </is>
      </c>
    </row>
    <row r="496">
      <c r="A496" t="inlineStr">
        <is>
          <t>WGX.AX</t>
        </is>
      </c>
      <c r="B496" t="n">
        <v>2024</v>
      </c>
      <c r="C496" t="inlineStr">
        <is>
          <t>cnbc_unadjusted</t>
        </is>
      </c>
      <c r="D496" t="inlineStr">
        <is>
          <t>2024-12-31</t>
        </is>
      </c>
      <c r="E496" t="n">
        <v>2.83</v>
      </c>
      <c r="F496" t="n">
        <v>2.83</v>
      </c>
      <c r="G496" t="inlineStr">
        <is>
          <t>match</t>
        </is>
      </c>
    </row>
    <row r="497">
      <c r="A497" t="inlineStr">
        <is>
          <t>WGX.AX</t>
        </is>
      </c>
      <c r="B497" t="n">
        <v>2024</v>
      </c>
      <c r="C497" t="inlineStr">
        <is>
          <t>cnbc_adjusted</t>
        </is>
      </c>
      <c r="D497" t="inlineStr">
        <is>
          <t>2024-12-31</t>
        </is>
      </c>
      <c r="E497" t="n">
        <v>2.83</v>
      </c>
      <c r="F497" t="n">
        <v>2.83</v>
      </c>
      <c r="G497" t="inlineStr">
        <is>
          <t>match</t>
        </is>
      </c>
    </row>
    <row r="498">
      <c r="A498" t="inlineStr">
        <is>
          <t>WGX.AX</t>
        </is>
      </c>
      <c r="B498" t="n">
        <v>2025</v>
      </c>
      <c r="C498" t="inlineStr">
        <is>
          <t>cnbc_unadjusted</t>
        </is>
      </c>
      <c r="D498" t="inlineStr">
        <is>
          <t>2025-12-31</t>
        </is>
      </c>
      <c r="E498" t="n">
        <v>6.44</v>
      </c>
      <c r="F498" t="n">
        <v>6.44</v>
      </c>
      <c r="G498" t="inlineStr">
        <is>
          <t>match</t>
        </is>
      </c>
    </row>
    <row r="499">
      <c r="A499" t="inlineStr">
        <is>
          <t>WGX.AX</t>
        </is>
      </c>
      <c r="B499" t="n">
        <v>2025</v>
      </c>
      <c r="C499" t="inlineStr">
        <is>
          <t>cnbc_adjusted</t>
        </is>
      </c>
      <c r="D499" t="inlineStr">
        <is>
          <t>2025-12-31</t>
        </is>
      </c>
      <c r="E499" t="n">
        <v>6.44</v>
      </c>
      <c r="F499" t="n">
        <v>6.44</v>
      </c>
      <c r="G499" t="inlineStr">
        <is>
          <t>match</t>
        </is>
      </c>
    </row>
    <row r="500">
      <c r="A500" t="inlineStr">
        <is>
          <t>WGX.AX</t>
        </is>
      </c>
      <c r="B500" t="n">
        <v>2026</v>
      </c>
      <c r="C500" t="inlineStr">
        <is>
          <t>cnbc_unadjusted</t>
        </is>
      </c>
      <c r="D500" t="inlineStr">
        <is>
          <t>2026-09-25</t>
        </is>
      </c>
      <c r="E500" t="n">
        <v>5.46</v>
      </c>
      <c r="F500" t="n">
        <v>5.46</v>
      </c>
      <c r="G500" t="inlineStr">
        <is>
          <t>match</t>
        </is>
      </c>
    </row>
    <row r="501">
      <c r="A501" t="inlineStr">
        <is>
          <t>WGX.AX</t>
        </is>
      </c>
      <c r="B501" t="n">
        <v>2026</v>
      </c>
      <c r="C501" t="inlineStr">
        <is>
          <t>cnbc_adjusted</t>
        </is>
      </c>
      <c r="D501" t="inlineStr">
        <is>
          <t>2026-09-25</t>
        </is>
      </c>
      <c r="E501" t="n">
        <v>5.46</v>
      </c>
      <c r="F501" t="n">
        <v>5.46</v>
      </c>
      <c r="G501" t="inlineStr">
        <is>
          <t>match</t>
        </is>
      </c>
    </row>
    <row r="502">
      <c r="A502" t="inlineStr">
        <is>
          <t>AAUC.TO</t>
        </is>
      </c>
      <c r="B502" t="n">
        <v>2023</v>
      </c>
      <c r="C502" t="inlineStr">
        <is>
          <t>tmx</t>
        </is>
      </c>
      <c r="D502" t="inlineStr">
        <is>
          <t>2023-12-29</t>
        </is>
      </c>
      <c r="E502" t="n">
        <v>10.53</v>
      </c>
      <c r="F502" t="n">
        <v>3.51</v>
      </c>
      <c r="G502" t="inlineStr">
        <is>
          <t>match (source restated for a later split/consolidation)</t>
        </is>
      </c>
    </row>
    <row r="503">
      <c r="A503" t="inlineStr">
        <is>
          <t>AAUC.TO</t>
        </is>
      </c>
      <c r="B503" t="n">
        <v>2024</v>
      </c>
      <c r="C503" t="inlineStr">
        <is>
          <t>tmx</t>
        </is>
      </c>
      <c r="D503" t="inlineStr">
        <is>
          <t>2024-12-31</t>
        </is>
      </c>
      <c r="E503" t="n">
        <v>10.23</v>
      </c>
      <c r="F503" t="n">
        <v>3.41</v>
      </c>
      <c r="G503" t="inlineStr">
        <is>
          <t>match (source restated for a later split/consolidation)</t>
        </is>
      </c>
    </row>
    <row r="504">
      <c r="A504" t="inlineStr">
        <is>
          <t>EQX.TO</t>
        </is>
      </c>
      <c r="B504" t="n">
        <v>2017</v>
      </c>
      <c r="C504" t="inlineStr">
        <is>
          <t>tmx</t>
        </is>
      </c>
      <c r="D504" t="inlineStr">
        <is>
          <t>2017-12-29</t>
        </is>
      </c>
      <c r="E504" t="n">
        <v>5.6</v>
      </c>
      <c r="F504" t="n">
        <v>1.12</v>
      </c>
      <c r="G504" t="inlineStr">
        <is>
          <t>match (source restated for a later split/consolidation)</t>
        </is>
      </c>
    </row>
    <row r="505">
      <c r="A505" t="inlineStr">
        <is>
          <t>EQX.TO</t>
        </is>
      </c>
      <c r="B505" t="n">
        <v>2018</v>
      </c>
      <c r="C505" t="inlineStr">
        <is>
          <t>tmx</t>
        </is>
      </c>
      <c r="D505" t="inlineStr">
        <is>
          <t>2018-12-31</t>
        </is>
      </c>
      <c r="E505" t="n">
        <v>5.1</v>
      </c>
      <c r="F505" t="n">
        <v>1.02</v>
      </c>
      <c r="G505" t="inlineStr">
        <is>
          <t>match (source restated for a later split/consolidation)</t>
        </is>
      </c>
    </row>
    <row r="506">
      <c r="A506" t="inlineStr">
        <is>
          <t>GMD.AX</t>
        </is>
      </c>
      <c r="B506" t="n">
        <v>2017</v>
      </c>
      <c r="C506" t="inlineStr">
        <is>
          <t>cnbc_adjusted</t>
        </is>
      </c>
      <c r="D506" t="inlineStr">
        <is>
          <t>2017-12-29</t>
        </is>
      </c>
      <c r="E506" t="n">
        <v>0.3074</v>
      </c>
      <c r="F506" t="n">
        <v>0.033</v>
      </c>
      <c r="G506" t="inlineStr">
        <is>
          <t>match (source restated for a later split/consolidation)</t>
        </is>
      </c>
    </row>
    <row r="507">
      <c r="A507" t="inlineStr">
        <is>
          <t>GMD.AX</t>
        </is>
      </c>
      <c r="B507" t="n">
        <v>2018</v>
      </c>
      <c r="C507" t="inlineStr">
        <is>
          <t>cnbc_adjusted</t>
        </is>
      </c>
      <c r="D507" t="inlineStr">
        <is>
          <t>2018-12-31</t>
        </is>
      </c>
      <c r="E507" t="n">
        <v>0.3074</v>
      </c>
      <c r="F507" t="n">
        <v>0.033</v>
      </c>
      <c r="G507" t="inlineStr">
        <is>
          <t>match (source restated for a later split/consolidation)</t>
        </is>
      </c>
    </row>
    <row r="508">
      <c r="A508" t="inlineStr">
        <is>
          <t>GMD.AX</t>
        </is>
      </c>
      <c r="B508" t="n">
        <v>2019</v>
      </c>
      <c r="C508" t="inlineStr">
        <is>
          <t>cnbc_adjusted</t>
        </is>
      </c>
      <c r="D508" t="inlineStr">
        <is>
          <t>2019-12-31</t>
        </is>
      </c>
      <c r="E508" t="n">
        <v>0.304</v>
      </c>
      <c r="F508" t="n">
        <v>0.032</v>
      </c>
      <c r="G508" t="inlineStr">
        <is>
          <t>match (source restated for a later split/consolidation)</t>
        </is>
      </c>
    </row>
    <row r="509">
      <c r="A509" t="inlineStr">
        <is>
          <t>GMD.AX</t>
        </is>
      </c>
      <c r="B509" t="n">
        <v>2020</v>
      </c>
      <c r="C509" t="inlineStr">
        <is>
          <t>cnbc_adjusted</t>
        </is>
      </c>
      <c r="D509" t="inlineStr">
        <is>
          <t>2020-12-31</t>
        </is>
      </c>
      <c r="E509" t="n">
        <v>0.726</v>
      </c>
      <c r="F509" t="n">
        <v>0.074</v>
      </c>
      <c r="G509" t="inlineStr">
        <is>
          <t>match (source restated for a later split/consolidation)</t>
        </is>
      </c>
    </row>
    <row r="510">
      <c r="A510" t="inlineStr">
        <is>
          <t>GMD.AX</t>
        </is>
      </c>
      <c r="B510" t="n">
        <v>2021</v>
      </c>
      <c r="C510" t="inlineStr">
        <is>
          <t>cnbc_adjusted</t>
        </is>
      </c>
      <c r="D510" t="inlineStr">
        <is>
          <t>2021-12-31</t>
        </is>
      </c>
      <c r="E510" t="n">
        <v>1.65</v>
      </c>
      <c r="F510" t="n">
        <v>0.165</v>
      </c>
      <c r="G510" t="inlineStr">
        <is>
          <t>match (source restated for a later split/consolidation)</t>
        </is>
      </c>
    </row>
    <row r="511">
      <c r="A511" t="inlineStr">
        <is>
          <t>LYC.AX</t>
        </is>
      </c>
      <c r="B511" t="n">
        <v>2017</v>
      </c>
      <c r="C511" t="inlineStr">
        <is>
          <t>cnbc_adjusted</t>
        </is>
      </c>
      <c r="D511" t="inlineStr">
        <is>
          <t>2017-12-29</t>
        </is>
      </c>
      <c r="E511" t="n">
        <v>2.1501</v>
      </c>
      <c r="F511" t="n">
        <v>2.18</v>
      </c>
      <c r="G511" t="inlineStr">
        <is>
          <t>match (source restated for a later split/consolidation)</t>
        </is>
      </c>
    </row>
    <row r="512">
      <c r="A512" t="inlineStr">
        <is>
          <t>LYC.AX</t>
        </is>
      </c>
      <c r="B512" t="n">
        <v>2018</v>
      </c>
      <c r="C512" t="inlineStr">
        <is>
          <t>cnbc_adjusted</t>
        </is>
      </c>
      <c r="D512" t="inlineStr">
        <is>
          <t>2018-12-31</t>
        </is>
      </c>
      <c r="E512" t="n">
        <v>1.5633</v>
      </c>
      <c r="F512" t="n">
        <v>1.585</v>
      </c>
      <c r="G512" t="inlineStr">
        <is>
          <t>match (source restated for a later split/consolidation)</t>
        </is>
      </c>
    </row>
    <row r="513">
      <c r="A513" t="inlineStr">
        <is>
          <t>LYC.AX</t>
        </is>
      </c>
      <c r="B513" t="n">
        <v>2019</v>
      </c>
      <c r="C513" t="inlineStr">
        <is>
          <t>cnbc_adjusted</t>
        </is>
      </c>
      <c r="D513" t="inlineStr">
        <is>
          <t>2019-12-31</t>
        </is>
      </c>
      <c r="E513" t="n">
        <v>2.2981</v>
      </c>
      <c r="F513" t="n">
        <v>2.33</v>
      </c>
      <c r="G513" t="inlineStr">
        <is>
          <t>match (source restated for a later split/consolidation)</t>
        </is>
      </c>
    </row>
    <row r="514">
      <c r="A514" t="inlineStr">
        <is>
          <t>MUX</t>
        </is>
      </c>
      <c r="B514" t="n">
        <v>2017</v>
      </c>
      <c r="C514" t="inlineStr">
        <is>
          <t>nasdaq</t>
        </is>
      </c>
      <c r="D514" t="inlineStr">
        <is>
          <t>2017-12-29</t>
        </is>
      </c>
      <c r="E514" t="n">
        <v>22.8</v>
      </c>
      <c r="F514" t="n">
        <v>2.28</v>
      </c>
      <c r="G514" t="inlineStr">
        <is>
          <t>match (source restated for a later split/consolidation)</t>
        </is>
      </c>
    </row>
    <row r="515">
      <c r="A515" t="inlineStr">
        <is>
          <t>MUX</t>
        </is>
      </c>
      <c r="B515" t="n">
        <v>2018</v>
      </c>
      <c r="C515" t="inlineStr">
        <is>
          <t>nasdaq</t>
        </is>
      </c>
      <c r="D515" t="inlineStr">
        <is>
          <t>2018-12-31</t>
        </is>
      </c>
      <c r="E515" t="n">
        <v>18.2</v>
      </c>
      <c r="F515" t="n">
        <v>1.82</v>
      </c>
      <c r="G515" t="inlineStr">
        <is>
          <t>match (source restated for a later split/consolidation)</t>
        </is>
      </c>
    </row>
    <row r="516">
      <c r="A516" t="inlineStr">
        <is>
          <t>MUX</t>
        </is>
      </c>
      <c r="B516" t="n">
        <v>2019</v>
      </c>
      <c r="C516" t="inlineStr">
        <is>
          <t>nasdaq</t>
        </is>
      </c>
      <c r="D516" t="inlineStr">
        <is>
          <t>2019-12-31</t>
        </is>
      </c>
      <c r="E516" t="n">
        <v>12.7</v>
      </c>
      <c r="F516" t="n">
        <v>1.27</v>
      </c>
      <c r="G516" t="inlineStr">
        <is>
          <t>match (source restated for a later split/consolidation)</t>
        </is>
      </c>
    </row>
    <row r="517">
      <c r="A517" t="inlineStr">
        <is>
          <t>MUX</t>
        </is>
      </c>
      <c r="B517" t="n">
        <v>2020</v>
      </c>
      <c r="C517" t="inlineStr">
        <is>
          <t>nasdaq</t>
        </is>
      </c>
      <c r="D517" t="inlineStr">
        <is>
          <t>2020-12-31</t>
        </is>
      </c>
      <c r="E517" t="n">
        <v>9.85</v>
      </c>
      <c r="F517" t="n">
        <v>0.985</v>
      </c>
      <c r="G517" t="inlineStr">
        <is>
          <t>match (source restated for a later split/consolidation)</t>
        </is>
      </c>
    </row>
    <row r="518">
      <c r="A518" t="inlineStr">
        <is>
          <t>OBM.AX</t>
        </is>
      </c>
      <c r="B518" t="n">
        <v>2019</v>
      </c>
      <c r="C518" t="inlineStr">
        <is>
          <t>cnbc_adjusted</t>
        </is>
      </c>
      <c r="D518" t="inlineStr">
        <is>
          <t>2019-12-31</t>
        </is>
      </c>
      <c r="E518" t="n">
        <v>0.1681</v>
      </c>
      <c r="F518" t="n">
        <v>0.185</v>
      </c>
      <c r="G518" t="inlineStr">
        <is>
          <t>match (source restated for a later split/consolidation)</t>
        </is>
      </c>
    </row>
    <row r="519">
      <c r="A519" t="inlineStr">
        <is>
          <t>OBM.AX</t>
        </is>
      </c>
      <c r="B519" t="n">
        <v>2020</v>
      </c>
      <c r="C519" t="inlineStr">
        <is>
          <t>cnbc_adjusted</t>
        </is>
      </c>
      <c r="D519" t="inlineStr">
        <is>
          <t>2020-12-31</t>
        </is>
      </c>
      <c r="E519" t="n">
        <v>0.2798</v>
      </c>
      <c r="F519" t="n">
        <v>0.305</v>
      </c>
      <c r="G519" t="inlineStr">
        <is>
          <t>match (source restated for a later split/consolidation)</t>
        </is>
      </c>
    </row>
    <row r="520">
      <c r="A520" t="inlineStr">
        <is>
          <t>OBM.AX</t>
        </is>
      </c>
      <c r="B520" t="n">
        <v>2021</v>
      </c>
      <c r="C520" t="inlineStr">
        <is>
          <t>cnbc_adjusted</t>
        </is>
      </c>
      <c r="D520" t="inlineStr">
        <is>
          <t>2021-12-31</t>
        </is>
      </c>
      <c r="E520" t="n">
        <v>0.0606</v>
      </c>
      <c r="F520" t="n">
        <v>0.066</v>
      </c>
      <c r="G520" t="inlineStr">
        <is>
          <t>match (source restated for a later split/consolidation)</t>
        </is>
      </c>
    </row>
    <row r="521">
      <c r="A521" t="inlineStr">
        <is>
          <t>OGC.TO</t>
        </is>
      </c>
      <c r="B521" t="n">
        <v>2017</v>
      </c>
      <c r="C521" t="inlineStr">
        <is>
          <t>tmx</t>
        </is>
      </c>
      <c r="D521" t="inlineStr">
        <is>
          <t>2017-12-29</t>
        </is>
      </c>
      <c r="E521" t="n">
        <v>9.69</v>
      </c>
      <c r="F521" t="n">
        <v>3.23</v>
      </c>
      <c r="G521" t="inlineStr">
        <is>
          <t>match (source restated for a later split/consolidation)</t>
        </is>
      </c>
    </row>
    <row r="522">
      <c r="A522" t="inlineStr">
        <is>
          <t>OGC.TO</t>
        </is>
      </c>
      <c r="B522" t="n">
        <v>2018</v>
      </c>
      <c r="C522" t="inlineStr">
        <is>
          <t>tmx</t>
        </is>
      </c>
      <c r="D522" t="inlineStr">
        <is>
          <t>2018-12-31</t>
        </is>
      </c>
      <c r="E522" t="n">
        <v>14.94</v>
      </c>
      <c r="F522" t="n">
        <v>4.98</v>
      </c>
      <c r="G522" t="inlineStr">
        <is>
          <t>match (source restated for a later split/consolidation)</t>
        </is>
      </c>
    </row>
    <row r="523">
      <c r="A523" t="inlineStr">
        <is>
          <t>OGC.TO</t>
        </is>
      </c>
      <c r="B523" t="n">
        <v>2019</v>
      </c>
      <c r="C523" t="inlineStr">
        <is>
          <t>tmx</t>
        </is>
      </c>
      <c r="D523" t="inlineStr">
        <is>
          <t>2019-12-31</t>
        </is>
      </c>
      <c r="E523" t="n">
        <v>7.65</v>
      </c>
      <c r="F523" t="n">
        <v>2.55</v>
      </c>
      <c r="G523" t="inlineStr">
        <is>
          <t>match (source restated for a later split/consolidation)</t>
        </is>
      </c>
    </row>
    <row r="524">
      <c r="A524" t="inlineStr">
        <is>
          <t>OGC.TO</t>
        </is>
      </c>
      <c r="B524" t="n">
        <v>2020</v>
      </c>
      <c r="C524" t="inlineStr">
        <is>
          <t>tmx</t>
        </is>
      </c>
      <c r="D524" t="inlineStr">
        <is>
          <t>2020-12-31</t>
        </is>
      </c>
      <c r="E524" t="n">
        <v>7.38</v>
      </c>
      <c r="F524" t="n">
        <v>2.46</v>
      </c>
      <c r="G524" t="inlineStr">
        <is>
          <t>match (source restated for a later split/consolidation)</t>
        </is>
      </c>
    </row>
    <row r="525">
      <c r="A525" t="inlineStr">
        <is>
          <t>OGC.TO</t>
        </is>
      </c>
      <c r="B525" t="n">
        <v>2021</v>
      </c>
      <c r="C525" t="inlineStr">
        <is>
          <t>tmx</t>
        </is>
      </c>
      <c r="D525" t="inlineStr">
        <is>
          <t>2021-12-31</t>
        </is>
      </c>
      <c r="E525" t="n">
        <v>6.6</v>
      </c>
      <c r="F525" t="n">
        <v>2.2</v>
      </c>
      <c r="G525" t="inlineStr">
        <is>
          <t>match (source restated for a later split/consolidation)</t>
        </is>
      </c>
    </row>
    <row r="526">
      <c r="A526" t="inlineStr">
        <is>
          <t>OGC.TO</t>
        </is>
      </c>
      <c r="B526" t="n">
        <v>2022</v>
      </c>
      <c r="C526" t="inlineStr">
        <is>
          <t>tmx</t>
        </is>
      </c>
      <c r="D526" t="inlineStr">
        <is>
          <t>2022-12-30</t>
        </is>
      </c>
      <c r="E526" t="n">
        <v>7.74</v>
      </c>
      <c r="F526" t="n">
        <v>2.58</v>
      </c>
      <c r="G526" t="inlineStr">
        <is>
          <t>match (source restated for a later split/consolidation)</t>
        </is>
      </c>
    </row>
    <row r="527">
      <c r="A527" t="inlineStr">
        <is>
          <t>OGC.TO</t>
        </is>
      </c>
      <c r="B527" t="n">
        <v>2023</v>
      </c>
      <c r="C527" t="inlineStr">
        <is>
          <t>tmx</t>
        </is>
      </c>
      <c r="D527" t="inlineStr">
        <is>
          <t>2023-12-29</t>
        </is>
      </c>
      <c r="E527" t="n">
        <v>7.62</v>
      </c>
      <c r="F527" t="n">
        <v>2.54</v>
      </c>
      <c r="G527" t="inlineStr">
        <is>
          <t>match (source restated for a later split/consolidation)</t>
        </is>
      </c>
    </row>
    <row r="528">
      <c r="A528" t="inlineStr">
        <is>
          <t>OGC.TO</t>
        </is>
      </c>
      <c r="B528" t="n">
        <v>2024</v>
      </c>
      <c r="C528" t="inlineStr">
        <is>
          <t>tmx</t>
        </is>
      </c>
      <c r="D528" t="inlineStr">
        <is>
          <t>2024-12-31</t>
        </is>
      </c>
      <c r="E528" t="n">
        <v>11.94</v>
      </c>
      <c r="F528" t="n">
        <v>3.98</v>
      </c>
      <c r="G528" t="inlineStr">
        <is>
          <t>match (source restated for a later split/consolidation)</t>
        </is>
      </c>
    </row>
    <row r="529">
      <c r="A529" t="inlineStr">
        <is>
          <t>OGG.V</t>
        </is>
      </c>
      <c r="B529" t="n">
        <v>2020</v>
      </c>
      <c r="C529" t="inlineStr">
        <is>
          <t>tmx</t>
        </is>
      </c>
      <c r="D529" t="inlineStr">
        <is>
          <t>2020-12-31</t>
        </is>
      </c>
      <c r="E529" t="n">
        <v>22.77</v>
      </c>
      <c r="F529" t="n">
        <v>7.59</v>
      </c>
      <c r="G529" t="inlineStr">
        <is>
          <t>match (source restated for a later split/consolidation)</t>
        </is>
      </c>
    </row>
    <row r="530">
      <c r="A530" t="inlineStr">
        <is>
          <t>OGG.V</t>
        </is>
      </c>
      <c r="B530" t="n">
        <v>2021</v>
      </c>
      <c r="C530" t="inlineStr">
        <is>
          <t>tmx</t>
        </is>
      </c>
      <c r="D530" t="inlineStr">
        <is>
          <t>2021-12-31</t>
        </is>
      </c>
      <c r="E530" t="n">
        <v>12.18</v>
      </c>
      <c r="F530" t="n">
        <v>4.06</v>
      </c>
      <c r="G530" t="inlineStr">
        <is>
          <t>match (source restated for a later split/consolidation)</t>
        </is>
      </c>
    </row>
    <row r="531">
      <c r="A531" t="inlineStr">
        <is>
          <t>PNR.AX</t>
        </is>
      </c>
      <c r="B531" t="n">
        <v>2017</v>
      </c>
      <c r="C531" t="inlineStr">
        <is>
          <t>cnbc_adjusted</t>
        </is>
      </c>
      <c r="D531" t="inlineStr">
        <is>
          <t>2017-12-29</t>
        </is>
      </c>
      <c r="E531" t="n">
        <v>3.655</v>
      </c>
      <c r="F531" t="n">
        <v>0.215</v>
      </c>
      <c r="G531" t="inlineStr">
        <is>
          <t>match (source restated for a later split/consolidation)</t>
        </is>
      </c>
    </row>
    <row r="532">
      <c r="A532" t="inlineStr">
        <is>
          <t>PNR.AX</t>
        </is>
      </c>
      <c r="B532" t="n">
        <v>2018</v>
      </c>
      <c r="C532" t="inlineStr">
        <is>
          <t>cnbc_adjusted</t>
        </is>
      </c>
      <c r="D532" t="inlineStr">
        <is>
          <t>2018-12-31</t>
        </is>
      </c>
      <c r="E532" t="n">
        <v>3.4</v>
      </c>
      <c r="F532" t="n">
        <v>0.2</v>
      </c>
      <c r="G532" t="inlineStr">
        <is>
          <t>match (source restated for a later split/consolidation)</t>
        </is>
      </c>
    </row>
    <row r="533">
      <c r="A533" t="inlineStr">
        <is>
          <t>PNR.AX</t>
        </is>
      </c>
      <c r="B533" t="n">
        <v>2019</v>
      </c>
      <c r="C533" t="inlineStr">
        <is>
          <t>cnbc_adjusted</t>
        </is>
      </c>
      <c r="D533" t="inlineStr">
        <is>
          <t>2019-12-31</t>
        </is>
      </c>
      <c r="E533" t="n">
        <v>2.635</v>
      </c>
      <c r="F533" t="n">
        <v>0.155</v>
      </c>
      <c r="G533" t="inlineStr">
        <is>
          <t>match (source restated for a later split/consolidation)</t>
        </is>
      </c>
    </row>
    <row r="534">
      <c r="A534" t="inlineStr">
        <is>
          <t>PNR.AX</t>
        </is>
      </c>
      <c r="B534" t="n">
        <v>2020</v>
      </c>
      <c r="C534" t="inlineStr">
        <is>
          <t>cnbc_adjusted</t>
        </is>
      </c>
      <c r="D534" t="inlineStr">
        <is>
          <t>2020-12-31</t>
        </is>
      </c>
      <c r="E534" t="n">
        <v>3.74</v>
      </c>
      <c r="F534" t="n">
        <v>0.22</v>
      </c>
      <c r="G534" t="inlineStr">
        <is>
          <t>match (source restated for a later split/consolidation)</t>
        </is>
      </c>
    </row>
    <row r="535">
      <c r="A535" t="inlineStr">
        <is>
          <t>PNR.AX</t>
        </is>
      </c>
      <c r="B535" t="n">
        <v>2021</v>
      </c>
      <c r="C535" t="inlineStr">
        <is>
          <t>cnbc_adjusted</t>
        </is>
      </c>
      <c r="D535" t="inlineStr">
        <is>
          <t>2021-12-31</t>
        </is>
      </c>
      <c r="E535" t="n">
        <v>5.695</v>
      </c>
      <c r="F535" t="n">
        <v>0.335</v>
      </c>
      <c r="G535" t="inlineStr">
        <is>
          <t>match (source restated for a later split/consolidation)</t>
        </is>
      </c>
    </row>
    <row r="536">
      <c r="A536" t="inlineStr">
        <is>
          <t>PNR.AX</t>
        </is>
      </c>
      <c r="B536" t="n">
        <v>2022</v>
      </c>
      <c r="C536" t="inlineStr">
        <is>
          <t>cnbc_adjusted</t>
        </is>
      </c>
      <c r="D536" t="inlineStr">
        <is>
          <t>2022-12-30</t>
        </is>
      </c>
      <c r="E536" t="n">
        <v>1.632</v>
      </c>
      <c r="F536" t="n">
        <v>0.096</v>
      </c>
      <c r="G536" t="inlineStr">
        <is>
          <t>match (source restated for a later split/consolidation)</t>
        </is>
      </c>
    </row>
    <row r="537">
      <c r="A537" t="inlineStr">
        <is>
          <t>PNR.AX</t>
        </is>
      </c>
      <c r="B537" t="n">
        <v>2023</v>
      </c>
      <c r="C537" t="inlineStr">
        <is>
          <t>cnbc_adjusted</t>
        </is>
      </c>
      <c r="D537" t="inlineStr">
        <is>
          <t>2023-12-29</t>
        </is>
      </c>
      <c r="E537" t="n">
        <v>0.969</v>
      </c>
      <c r="F537" t="n">
        <v>0.057</v>
      </c>
      <c r="G537" t="inlineStr">
        <is>
          <t>match (source restated for a later split/consolidation)</t>
        </is>
      </c>
    </row>
    <row r="538">
      <c r="A538" t="inlineStr">
        <is>
          <t>PNR.AX</t>
        </is>
      </c>
      <c r="B538" t="n">
        <v>2024</v>
      </c>
      <c r="C538" t="inlineStr">
        <is>
          <t>cnbc_adjusted</t>
        </is>
      </c>
      <c r="D538" t="inlineStr">
        <is>
          <t>2024-12-31</t>
        </is>
      </c>
      <c r="E538" t="n">
        <v>1.53</v>
      </c>
      <c r="F538" t="n">
        <v>0.09</v>
      </c>
      <c r="G538" t="inlineStr">
        <is>
          <t>match (source restated for a later split/consolidation)</t>
        </is>
      </c>
    </row>
    <row r="539">
      <c r="A539" t="inlineStr">
        <is>
          <t>RRL.AX</t>
        </is>
      </c>
      <c r="B539" t="n">
        <v>2017</v>
      </c>
      <c r="C539" t="inlineStr">
        <is>
          <t>cnbc_adjusted</t>
        </is>
      </c>
      <c r="D539" t="inlineStr">
        <is>
          <t>2017-12-29</t>
        </is>
      </c>
      <c r="E539" t="n">
        <v>4.1439</v>
      </c>
      <c r="F539" t="n">
        <v>4.3</v>
      </c>
      <c r="G539" t="inlineStr">
        <is>
          <t>match (source restated for a later split/consolidation)</t>
        </is>
      </c>
    </row>
    <row r="540">
      <c r="A540" t="inlineStr">
        <is>
          <t>RRL.AX</t>
        </is>
      </c>
      <c r="B540" t="n">
        <v>2018</v>
      </c>
      <c r="C540" t="inlineStr">
        <is>
          <t>cnbc_adjusted</t>
        </is>
      </c>
      <c r="D540" t="inlineStr">
        <is>
          <t>2018-12-31</t>
        </is>
      </c>
      <c r="E540" t="n">
        <v>4.6547</v>
      </c>
      <c r="F540" t="n">
        <v>4.83</v>
      </c>
      <c r="G540" t="inlineStr">
        <is>
          <t>match (source restated for a later split/consolidation)</t>
        </is>
      </c>
    </row>
    <row r="541">
      <c r="A541" t="inlineStr">
        <is>
          <t>RRL.AX</t>
        </is>
      </c>
      <c r="B541" t="n">
        <v>2019</v>
      </c>
      <c r="C541" t="inlineStr">
        <is>
          <t>cnbc_adjusted</t>
        </is>
      </c>
      <c r="D541" t="inlineStr">
        <is>
          <t>2019-12-31</t>
        </is>
      </c>
      <c r="E541" t="n">
        <v>4.1825</v>
      </c>
      <c r="F541" t="n">
        <v>4.34</v>
      </c>
      <c r="G541" t="inlineStr">
        <is>
          <t>match (source restated for a later split/consolidation)</t>
        </is>
      </c>
    </row>
    <row r="542">
      <c r="A542" t="inlineStr">
        <is>
          <t>RRL.AX</t>
        </is>
      </c>
      <c r="B542" t="n">
        <v>2020</v>
      </c>
      <c r="C542" t="inlineStr">
        <is>
          <t>cnbc_adjusted</t>
        </is>
      </c>
      <c r="D542" t="inlineStr">
        <is>
          <t>2020-12-31</t>
        </is>
      </c>
      <c r="E542" t="n">
        <v>3.6042</v>
      </c>
      <c r="F542" t="n">
        <v>3.74</v>
      </c>
      <c r="G542" t="inlineStr">
        <is>
          <t>match (source restated for a later split/consolidation)</t>
        </is>
      </c>
    </row>
    <row r="543">
      <c r="A543" t="inlineStr">
        <is>
          <t>RSG.AX</t>
        </is>
      </c>
      <c r="B543" t="n">
        <v>2017</v>
      </c>
      <c r="C543" t="inlineStr">
        <is>
          <t>cnbc_adjusted</t>
        </is>
      </c>
      <c r="D543" t="inlineStr">
        <is>
          <t>2017-12-29</t>
        </is>
      </c>
      <c r="E543" t="n">
        <v>1.0214</v>
      </c>
      <c r="F543" t="n">
        <v>1.14</v>
      </c>
      <c r="G543" t="inlineStr">
        <is>
          <t>match (source restated for a later split/consolidation)</t>
        </is>
      </c>
    </row>
    <row r="544">
      <c r="A544" t="inlineStr">
        <is>
          <t>RSG.AX</t>
        </is>
      </c>
      <c r="B544" t="n">
        <v>2018</v>
      </c>
      <c r="C544" t="inlineStr">
        <is>
          <t>cnbc_adjusted</t>
        </is>
      </c>
      <c r="D544" t="inlineStr">
        <is>
          <t>2018-12-31</t>
        </is>
      </c>
      <c r="E544" t="n">
        <v>1.0349</v>
      </c>
      <c r="F544" t="n">
        <v>1.155</v>
      </c>
      <c r="G544" t="inlineStr">
        <is>
          <t>match (source restated for a later split/consolidation)</t>
        </is>
      </c>
    </row>
    <row r="545">
      <c r="A545" t="inlineStr">
        <is>
          <t>RSG.AX</t>
        </is>
      </c>
      <c r="B545" t="n">
        <v>2019</v>
      </c>
      <c r="C545" t="inlineStr">
        <is>
          <t>cnbc_adjusted</t>
        </is>
      </c>
      <c r="D545" t="inlineStr">
        <is>
          <t>2019-12-31</t>
        </is>
      </c>
      <c r="E545" t="n">
        <v>1.129</v>
      </c>
      <c r="F545" t="n">
        <v>1.26</v>
      </c>
      <c r="G545" t="inlineStr">
        <is>
          <t>match (source restated for a later split/consolidation)</t>
        </is>
      </c>
    </row>
    <row r="546">
      <c r="A546" t="inlineStr">
        <is>
          <t>RSG.AX</t>
        </is>
      </c>
      <c r="B546" t="n">
        <v>2020</v>
      </c>
      <c r="C546" t="inlineStr">
        <is>
          <t>cnbc_adjusted</t>
        </is>
      </c>
      <c r="D546" t="inlineStr">
        <is>
          <t>2020-12-31</t>
        </is>
      </c>
      <c r="E546" t="n">
        <v>0.7123</v>
      </c>
      <c r="F546" t="n">
        <v>0.795</v>
      </c>
      <c r="G546" t="inlineStr">
        <is>
          <t>match (source restated for a later split/consolidation)</t>
        </is>
      </c>
    </row>
    <row r="547">
      <c r="A547" t="inlineStr">
        <is>
          <t>RSG.AX</t>
        </is>
      </c>
      <c r="B547" t="n">
        <v>2021</v>
      </c>
      <c r="C547" t="inlineStr">
        <is>
          <t>cnbc_adjusted</t>
        </is>
      </c>
      <c r="D547" t="inlineStr">
        <is>
          <t>2021-12-31</t>
        </is>
      </c>
      <c r="E547" t="n">
        <v>0.3494</v>
      </c>
      <c r="F547" t="n">
        <v>0.39</v>
      </c>
      <c r="G547" t="inlineStr">
        <is>
          <t>match (source restated for a later split/consolidation)</t>
        </is>
      </c>
    </row>
    <row r="548">
      <c r="A548" t="inlineStr">
        <is>
          <t>STLR.TO</t>
        </is>
      </c>
      <c r="B548" t="n">
        <v>2021</v>
      </c>
      <c r="C548" t="inlineStr">
        <is>
          <t>tmx</t>
        </is>
      </c>
      <c r="D548" t="inlineStr">
        <is>
          <t>2021-12-31</t>
        </is>
      </c>
      <c r="E548" t="n">
        <v>4.1</v>
      </c>
      <c r="F548" t="n">
        <v>2.05</v>
      </c>
      <c r="G548" t="inlineStr">
        <is>
          <t>match (source restated for a later split/consolidation)</t>
        </is>
      </c>
    </row>
    <row r="549">
      <c r="A549" t="inlineStr">
        <is>
          <t>STLR.TO</t>
        </is>
      </c>
      <c r="B549" t="n">
        <v>2022</v>
      </c>
      <c r="C549" t="inlineStr">
        <is>
          <t>tmx</t>
        </is>
      </c>
      <c r="D549" t="inlineStr">
        <is>
          <t>2022-12-30</t>
        </is>
      </c>
      <c r="E549" t="n">
        <v>2.96</v>
      </c>
      <c r="F549" t="n">
        <v>1.48</v>
      </c>
      <c r="G549" t="inlineStr">
        <is>
          <t>match (source restated for a later split/consolidation)</t>
        </is>
      </c>
    </row>
    <row r="550">
      <c r="A550" t="inlineStr">
        <is>
          <t>STLR.TO</t>
        </is>
      </c>
      <c r="B550" t="n">
        <v>2023</v>
      </c>
      <c r="C550" t="inlineStr">
        <is>
          <t>tmx</t>
        </is>
      </c>
      <c r="D550" t="inlineStr">
        <is>
          <t>2023-12-29</t>
        </is>
      </c>
      <c r="E550" t="n">
        <v>1.5</v>
      </c>
      <c r="F550" t="n">
        <v>0.75</v>
      </c>
      <c r="G550" t="inlineStr">
        <is>
          <t>match (source restated for a later split/consolidation)</t>
        </is>
      </c>
    </row>
    <row r="551">
      <c r="A551" t="inlineStr">
        <is>
          <t>VAU.AX</t>
        </is>
      </c>
      <c r="B551" t="n">
        <v>2017</v>
      </c>
      <c r="C551" t="inlineStr">
        <is>
          <t>cnbc_adjusted</t>
        </is>
      </c>
      <c r="D551" t="inlineStr">
        <is>
          <t>2017-12-29</t>
        </is>
      </c>
      <c r="E551" t="n">
        <v>0.3675</v>
      </c>
      <c r="F551" t="n">
        <v>0.058</v>
      </c>
      <c r="G551" t="inlineStr">
        <is>
          <t>match (source restated for a later split/consolidation)</t>
        </is>
      </c>
    </row>
    <row r="552">
      <c r="A552" t="inlineStr">
        <is>
          <t>VAU.AX</t>
        </is>
      </c>
      <c r="B552" t="n">
        <v>2018</v>
      </c>
      <c r="C552" t="inlineStr">
        <is>
          <t>cnbc_adjusted</t>
        </is>
      </c>
      <c r="D552" t="inlineStr">
        <is>
          <t>2018-12-31</t>
        </is>
      </c>
      <c r="E552" t="n">
        <v>0.5639</v>
      </c>
      <c r="F552" t="n">
        <v>0.089</v>
      </c>
      <c r="G552" t="inlineStr">
        <is>
          <t>match (source restated for a later split/consolidation)</t>
        </is>
      </c>
    </row>
    <row r="553">
      <c r="A553" t="inlineStr">
        <is>
          <t>VAU.AX</t>
        </is>
      </c>
      <c r="B553" t="n">
        <v>2019</v>
      </c>
      <c r="C553" t="inlineStr">
        <is>
          <t>cnbc_adjusted</t>
        </is>
      </c>
      <c r="D553" t="inlineStr">
        <is>
          <t>2019-12-31</t>
        </is>
      </c>
      <c r="E553" t="n">
        <v>2.0907</v>
      </c>
      <c r="F553" t="n">
        <v>0.33</v>
      </c>
      <c r="G553" t="inlineStr">
        <is>
          <t>match (source restated for a later split/consolidation)</t>
        </is>
      </c>
    </row>
    <row r="554">
      <c r="A554" t="inlineStr">
        <is>
          <t>VAU.AX</t>
        </is>
      </c>
      <c r="B554" t="n">
        <v>2020</v>
      </c>
      <c r="C554" t="inlineStr">
        <is>
          <t>cnbc_adjusted</t>
        </is>
      </c>
      <c r="D554" t="inlineStr">
        <is>
          <t>2020-12-31</t>
        </is>
      </c>
      <c r="E554" t="n">
        <v>1.6472</v>
      </c>
      <c r="F554" t="n">
        <v>0.26</v>
      </c>
      <c r="G554" t="inlineStr">
        <is>
          <t>match (source restated for a later split/consolidation)</t>
        </is>
      </c>
    </row>
    <row r="555">
      <c r="A555" t="inlineStr">
        <is>
          <t>VAU.AX</t>
        </is>
      </c>
      <c r="B555" t="n">
        <v>2021</v>
      </c>
      <c r="C555" t="inlineStr">
        <is>
          <t>cnbc_adjusted</t>
        </is>
      </c>
      <c r="D555" t="inlineStr">
        <is>
          <t>2021-12-31</t>
        </is>
      </c>
      <c r="E555" t="n">
        <v>1.885</v>
      </c>
      <c r="F555" t="n">
        <v>0.29</v>
      </c>
      <c r="G555" t="inlineStr">
        <is>
          <t>match (source restated for a later split/consolidation)</t>
        </is>
      </c>
    </row>
    <row r="556">
      <c r="A556" t="inlineStr">
        <is>
          <t>VAU.AX</t>
        </is>
      </c>
      <c r="B556" t="n">
        <v>2022</v>
      </c>
      <c r="C556" t="inlineStr">
        <is>
          <t>cnbc_adjusted</t>
        </is>
      </c>
      <c r="D556" t="inlineStr">
        <is>
          <t>2022-12-30</t>
        </is>
      </c>
      <c r="E556" t="n">
        <v>1.3325</v>
      </c>
      <c r="F556" t="n">
        <v>0.205</v>
      </c>
      <c r="G556" t="inlineStr">
        <is>
          <t>match (source restated for a later split/consolidation)</t>
        </is>
      </c>
    </row>
    <row r="557">
      <c r="A557" t="inlineStr">
        <is>
          <t>VAU.AX</t>
        </is>
      </c>
      <c r="B557" t="n">
        <v>2023</v>
      </c>
      <c r="C557" t="inlineStr">
        <is>
          <t>cnbc_adjusted</t>
        </is>
      </c>
      <c r="D557" t="inlineStr">
        <is>
          <t>2023-12-29</t>
        </is>
      </c>
      <c r="E557" t="n">
        <v>2.015</v>
      </c>
      <c r="F557" t="n">
        <v>0.31</v>
      </c>
      <c r="G557" t="inlineStr">
        <is>
          <t>match (source restated for a later split/consolidation)</t>
        </is>
      </c>
    </row>
    <row r="558">
      <c r="A558" t="inlineStr">
        <is>
          <t>VAU.AX</t>
        </is>
      </c>
      <c r="B558" t="n">
        <v>2024</v>
      </c>
      <c r="C558" t="inlineStr">
        <is>
          <t>cnbc_adjusted</t>
        </is>
      </c>
      <c r="D558" t="inlineStr">
        <is>
          <t>2024-12-31</t>
        </is>
      </c>
      <c r="E558" t="n">
        <v>2.145</v>
      </c>
      <c r="F558" t="n">
        <v>0.33</v>
      </c>
      <c r="G558" t="inlineStr">
        <is>
          <t>match (source restated for a later split/consolidation)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2026-09-27T22:10:10Z</dcterms:created>
  <dcterms:modified xmlns:dcterms="http://purl.org/dc/terms/" xmlns:xsi="http://www.w3.org/2001/XMLSchema-instance" xsi:type="dcterms:W3CDTF">2026-09-27T22:10:11Z</dcterms:modified>
</cp:coreProperties>
</file>