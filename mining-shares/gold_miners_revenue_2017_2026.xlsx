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ies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Revenue USD" sheetId="3" state="visible" r:id="rId3"/>
    <sheet xmlns:r="http://schemas.openxmlformats.org/officeDocument/2006/relationships" name="FX rate used" sheetId="4" state="visible" r:id="rId4"/>
    <sheet xmlns:r="http://schemas.openxmlformats.org/officeDocument/2006/relationships" name="Verific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000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color rgb="00008000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3" fillId="0" borderId="0" pivotButton="0" quotePrefix="0" xfId="0"/>
    <xf numFmtId="164" fontId="2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Claude</author>
  </authors>
  <commentList>
    <comment ref="J2" authorId="0" shapeId="0">
      <text>
        <t>Fiscal year ended 2022-12-31. Source: StockAnalysis.</t>
      </text>
    </comment>
    <comment ref="K2" authorId="0" shapeId="0">
      <text>
        <t>Fiscal year ended 2023-12-31. Source: StockAnalysis.</t>
      </text>
    </comment>
    <comment ref="L2" authorId="0" shapeId="0">
      <text>
        <t>Fiscal year ended 2024-12-31. Source: StockAnalysis.</t>
      </text>
    </comment>
    <comment ref="M2" authorId="0" shapeId="0">
      <text>
        <t>Fiscal year ended 2025-12-31. Source: StockAnalysis.</t>
      </text>
    </comment>
    <comment ref="I3" authorId="0" shapeId="0">
      <text>
        <t>Fiscal year ended 2021-12-31. Source: StockAnalysis.</t>
      </text>
    </comment>
    <comment ref="J3" authorId="0" shapeId="0">
      <text>
        <t>Fiscal year ended 2022-12-31. Source: StockAnalysis.</t>
      </text>
    </comment>
    <comment ref="K3" authorId="0" shapeId="0">
      <text>
        <t>Fiscal year ended 2023-12-31. Source: StockAnalysis.</t>
      </text>
    </comment>
    <comment ref="L3" authorId="0" shapeId="0">
      <text>
        <t>Fiscal year ended 2024-12-31. Source: StockAnalysis.</t>
      </text>
    </comment>
    <comment ref="M3" authorId="0" shapeId="0">
      <text>
        <t>Fiscal year ended 2025-12-31. Source: StockAnalysis.</t>
      </text>
    </comment>
    <comment ref="I4" authorId="0" shapeId="0">
      <text>
        <t>Fiscal year ended 2021-12-31. Source: StockAnalysis.</t>
      </text>
    </comment>
    <comment ref="J4" authorId="0" shapeId="0">
      <text>
        <t>Fiscal year ended 2022-12-31. Source: StockAnalysis.</t>
      </text>
    </comment>
    <comment ref="K4" authorId="0" shapeId="0">
      <text>
        <t>Fiscal year ended 2023-12-31. Source: StockAnalysis.</t>
      </text>
    </comment>
    <comment ref="L4" authorId="0" shapeId="0">
      <text>
        <t>Fiscal year ended 2024-12-31. Source: StockAnalysis.</t>
      </text>
    </comment>
    <comment ref="M4" authorId="0" shapeId="0">
      <text>
        <t>Fiscal year ended 2025-12-31. Source: StockAnalysis.</t>
      </text>
    </comment>
    <comment ref="I5" authorId="0" shapeId="0">
      <text>
        <t>Fiscal year ended 2021-12-31. Source: StockAnalysis.</t>
      </text>
    </comment>
    <comment ref="J5" authorId="0" shapeId="0">
      <text>
        <t>Fiscal year ended 2022-12-31. Source: StockAnalysis.</t>
      </text>
    </comment>
    <comment ref="K5" authorId="0" shapeId="0">
      <text>
        <t>Fiscal year ended 2023-12-31. Source: StockAnalysis.</t>
      </text>
    </comment>
    <comment ref="L5" authorId="0" shapeId="0">
      <text>
        <t>Fiscal year ended 2024-12-31. Source: StockAnalysis.</t>
      </text>
    </comment>
    <comment ref="M5" authorId="0" shapeId="0">
      <text>
        <t>Fiscal year ended 2025-12-31. Source: StockAnalysis.</t>
      </text>
    </comment>
    <comment ref="J6" authorId="0" shapeId="0">
      <text>
        <t>Fiscal year ended 2022-06-30. Source: StockAnalysis.</t>
      </text>
    </comment>
    <comment ref="K6" authorId="0" shapeId="0">
      <text>
        <t>Fiscal year ended 2023-06-30. Source: StockAnalysis.</t>
      </text>
    </comment>
    <comment ref="L6" authorId="0" shapeId="0">
      <text>
        <t>Fiscal year ended 2024-06-30. Source: StockAnalysis.</t>
      </text>
    </comment>
    <comment ref="M6" authorId="0" shapeId="0">
      <text>
        <t>Fiscal year ended 2025-06-30. Source: StockAnalysis.</t>
      </text>
    </comment>
    <comment ref="N6" authorId="0" shapeId="0">
      <text>
        <t>Fiscal year ended 2026-06-30. Source: StockAnalysis.</t>
      </text>
    </comment>
    <comment ref="I7" authorId="0" shapeId="0">
      <text>
        <t>Fiscal year ended 2021-12-31. Source: Yahoo Finance.</t>
      </text>
    </comment>
    <comment ref="J7" authorId="0" shapeId="0">
      <text>
        <t>Fiscal year ended 2022-12-31. Source: Yahoo Finance.</t>
      </text>
    </comment>
    <comment ref="K7" authorId="0" shapeId="0">
      <text>
        <t>Fiscal year ended 2023-12-31. Source: Yahoo Finance.</t>
      </text>
    </comment>
    <comment ref="L7" authorId="0" shapeId="0">
      <text>
        <t>Fiscal year ended 2024-12-31. Source: Yahoo Finance.</t>
      </text>
    </comment>
    <comment ref="A8" authorId="0" shapeId="0">
      <text>
        <t>No revenue data found (delisted, or no free source).</t>
      </text>
    </comment>
    <comment ref="I9" authorId="0" shapeId="0">
      <text>
        <t>Fiscal year ended 2022-01-31. Source: Yahoo Finance.</t>
      </text>
    </comment>
    <comment ref="J9" authorId="0" shapeId="0">
      <text>
        <t>Fiscal year ended 2023-01-31. Source: StockAnalysis.</t>
      </text>
    </comment>
    <comment ref="K9" authorId="0" shapeId="0">
      <text>
        <t>Fiscal year ended 2024-01-31. Source: StockAnalysis.</t>
      </text>
    </comment>
    <comment ref="L9" authorId="0" shapeId="0">
      <text>
        <t>Fiscal year ended 2025-01-31. Source: StockAnalysis.</t>
      </text>
    </comment>
    <comment ref="M9" authorId="0" shapeId="0">
      <text>
        <t>Fiscal year ended 2025-12-31. Source: StockAnalysis.</t>
      </text>
    </comment>
    <comment ref="I10" authorId="0" shapeId="0">
      <text>
        <t>Fiscal year ended 2021-12-31. Source: StockAnalysis.</t>
      </text>
    </comment>
    <comment ref="J10" authorId="0" shapeId="0">
      <text>
        <t>Fiscal year ended 2022-12-31. Source: StockAnalysis.</t>
      </text>
    </comment>
    <comment ref="K10" authorId="0" shapeId="0">
      <text>
        <t>Fiscal year ended 2023-12-31. Source: StockAnalysis.</t>
      </text>
    </comment>
    <comment ref="L10" authorId="0" shapeId="0">
      <text>
        <t>Fiscal year ended 2024-12-31. Source: StockAnalysis.</t>
      </text>
    </comment>
    <comment ref="M10" authorId="0" shapeId="0">
      <text>
        <t>Fiscal year ended 2025-12-31. Source: StockAnalysis.</t>
      </text>
    </comment>
    <comment ref="I11" authorId="0" shapeId="0">
      <text>
        <t>Fiscal year ended 2021-12-31. Source: StockAnalysis.</t>
      </text>
    </comment>
    <comment ref="J11" authorId="0" shapeId="0">
      <text>
        <t>Fiscal year ended 2022-12-31. Source: StockAnalysis.</t>
      </text>
    </comment>
    <comment ref="K11" authorId="0" shapeId="0">
      <text>
        <t>Fiscal year ended 2023-12-31. Source: StockAnalysis.</t>
      </text>
    </comment>
    <comment ref="L11" authorId="0" shapeId="0">
      <text>
        <t>Fiscal year ended 2024-12-31. Source: Yahoo Finance.</t>
      </text>
    </comment>
    <comment ref="M11" authorId="0" shapeId="0">
      <text>
        <t>Fiscal year ended 2025-12-31. Source: Yahoo Finance.</t>
      </text>
    </comment>
    <comment ref="L12" authorId="0" shapeId="0">
      <text>
        <t>Fiscal year ended 2024-06-30. Source: StockAnalysis.</t>
      </text>
    </comment>
    <comment ref="M12" authorId="0" shapeId="0">
      <text>
        <t>Fiscal year ended 2025-06-30. Source: StockAnalysis. Yahoo shows 505.8 (-21.9%): likely a restatement, check the annual report.</t>
      </text>
    </comment>
    <comment ref="N12" authorId="0" shapeId="0">
      <text>
        <t>Fiscal year ended 2026-06-30. Source: StockAnalysis.</t>
      </text>
    </comment>
    <comment ref="I13" authorId="0" shapeId="0">
      <text>
        <t>Fiscal year ended 2021-12-31. Source: StockAnalysis.</t>
      </text>
    </comment>
    <comment ref="J13" authorId="0" shapeId="0">
      <text>
        <t>Fiscal year ended 2022-12-31. Source: StockAnalysis.</t>
      </text>
    </comment>
    <comment ref="K13" authorId="0" shapeId="0">
      <text>
        <t>Fiscal year ended 2023-12-31. Source: StockAnalysis.</t>
      </text>
    </comment>
    <comment ref="L13" authorId="0" shapeId="0">
      <text>
        <t>Fiscal year ended 2024-12-31. Source: StockAnalysis.</t>
      </text>
    </comment>
    <comment ref="M13" authorId="0" shapeId="0">
      <text>
        <t>Fiscal year ended 2025-12-31. Source: StockAnalysis.</t>
      </text>
    </comment>
    <comment ref="I14" authorId="0" shapeId="0">
      <text>
        <t>Fiscal year ended 2021-12-31. Source: StockAnalysis.</t>
      </text>
    </comment>
    <comment ref="J14" authorId="0" shapeId="0">
      <text>
        <t>Fiscal year ended 2022-12-31. Source: StockAnalysis.</t>
      </text>
    </comment>
    <comment ref="K14" authorId="0" shapeId="0">
      <text>
        <t>Fiscal year ended 2023-12-31. Source: StockAnalysis.</t>
      </text>
    </comment>
    <comment ref="L14" authorId="0" shapeId="0">
      <text>
        <t>Fiscal year ended 2024-12-31. Source: StockAnalysis.</t>
      </text>
    </comment>
    <comment ref="M14" authorId="0" shapeId="0">
      <text>
        <t>Fiscal year ended 2025-12-31. Source: StockAnalysis.</t>
      </text>
    </comment>
    <comment ref="I15" authorId="0" shapeId="0">
      <text>
        <t>Fiscal year ended 2021-12-31. Source: StockAnalysis.</t>
      </text>
    </comment>
    <comment ref="J15" authorId="0" shapeId="0">
      <text>
        <t>Fiscal year ended 2022-12-31. Source: StockAnalysis.</t>
      </text>
    </comment>
    <comment ref="K15" authorId="0" shapeId="0">
      <text>
        <t>Fiscal year ended 2023-12-31. Source: StockAnalysis.</t>
      </text>
    </comment>
    <comment ref="L15" authorId="0" shapeId="0">
      <text>
        <t>Fiscal year ended 2024-12-31. Source: StockAnalysis.</t>
      </text>
    </comment>
    <comment ref="M15" authorId="0" shapeId="0">
      <text>
        <t>Fiscal year ended 2025-12-31. Source: StockAnalysis.</t>
      </text>
    </comment>
    <comment ref="H16" authorId="0" shapeId="0">
      <text>
        <t>Fiscal year ended 2020-12-31. Source: StockAnalysis.</t>
      </text>
    </comment>
    <comment ref="I16" authorId="0" shapeId="0">
      <text>
        <t>Fiscal year ended 2021-12-31. Source: StockAnalysis.</t>
      </text>
    </comment>
    <comment ref="J16" authorId="0" shapeId="0">
      <text>
        <t>Fiscal year ended 2022-12-31. Source: StockAnalysis.</t>
      </text>
    </comment>
    <comment ref="K16" authorId="0" shapeId="0">
      <text>
        <t>Fiscal year ended 2023-12-31. Source: StockAnalysis.</t>
      </text>
    </comment>
    <comment ref="L16" authorId="0" shapeId="0">
      <text>
        <t>Fiscal year ended 2024-12-31. Source: StockAnalysis.</t>
      </text>
    </comment>
    <comment ref="J17" authorId="0" shapeId="0">
      <text>
        <t>Fiscal year ended 2022-06-30. Source: StockAnalysis.</t>
      </text>
    </comment>
    <comment ref="K17" authorId="0" shapeId="0">
      <text>
        <t>Fiscal year ended 2023-06-30. Source: StockAnalysis.</t>
      </text>
    </comment>
    <comment ref="L17" authorId="0" shapeId="0">
      <text>
        <t>Fiscal year ended 2024-06-30. Source: StockAnalysis. Yahoo shows 317.0 (-23.7%): likely a restatement, check the annual report.</t>
      </text>
    </comment>
    <comment ref="M17" authorId="0" shapeId="0">
      <text>
        <t>Fiscal year ended 2025-06-30. Source: StockAnalysis.</t>
      </text>
    </comment>
    <comment ref="N17" authorId="0" shapeId="0">
      <text>
        <t>Fiscal year ended 2026-06-30. Source: StockAnalysis.</t>
      </text>
    </comment>
    <comment ref="I18" authorId="0" shapeId="0">
      <text>
        <t>Fiscal year ended 2021-12-31. Source: StockAnalysis.</t>
      </text>
    </comment>
    <comment ref="J18" authorId="0" shapeId="0">
      <text>
        <t>Fiscal year ended 2022-12-31. Source: StockAnalysis.</t>
      </text>
    </comment>
    <comment ref="K18" authorId="0" shapeId="0">
      <text>
        <t>Fiscal year ended 2023-12-31. Source: StockAnalysis.</t>
      </text>
    </comment>
    <comment ref="L18" authorId="0" shapeId="0">
      <text>
        <t>Fiscal year ended 2024-12-31. Source: StockAnalysis.</t>
      </text>
    </comment>
    <comment ref="M18" authorId="0" shapeId="0">
      <text>
        <t>Fiscal year ended 2025-12-31. Source: StockAnalysis.</t>
      </text>
    </comment>
    <comment ref="I19" authorId="0" shapeId="0">
      <text>
        <t>Fiscal year ended 2021-12-31. Source: StockAnalysis.</t>
      </text>
    </comment>
    <comment ref="J19" authorId="0" shapeId="0">
      <text>
        <t>Fiscal year ended 2022-12-31. Source: StockAnalysis.</t>
      </text>
    </comment>
    <comment ref="K19" authorId="0" shapeId="0">
      <text>
        <t>Fiscal year ended 2023-12-31. Source: StockAnalysis.</t>
      </text>
    </comment>
    <comment ref="L19" authorId="0" shapeId="0">
      <text>
        <t>Fiscal year ended 2024-12-31. Source: StockAnalysis.</t>
      </text>
    </comment>
    <comment ref="M19" authorId="0" shapeId="0">
      <text>
        <t>Fiscal year ended 2025-12-31. Source: StockAnalysis.</t>
      </text>
    </comment>
    <comment ref="I20" authorId="0" shapeId="0">
      <text>
        <t>Fiscal year ended 2021-12-31. Source: StockAnalysis.</t>
      </text>
    </comment>
    <comment ref="J20" authorId="0" shapeId="0">
      <text>
        <t>Fiscal year ended 2022-12-31. Source: StockAnalysis.</t>
      </text>
    </comment>
    <comment ref="K20" authorId="0" shapeId="0">
      <text>
        <t>Fiscal year ended 2023-12-31. Source: StockAnalysis.</t>
      </text>
    </comment>
    <comment ref="L20" authorId="0" shapeId="0">
      <text>
        <t>Fiscal year ended 2024-12-31. Source: StockAnalysis.</t>
      </text>
    </comment>
    <comment ref="M20" authorId="0" shapeId="0">
      <text>
        <t>Fiscal year ended 2025-12-31. Source: StockAnalysis.</t>
      </text>
    </comment>
    <comment ref="I21" authorId="0" shapeId="0">
      <text>
        <t>Fiscal year ended 2021-12-31. Source: StockAnalysis.</t>
      </text>
    </comment>
    <comment ref="J21" authorId="0" shapeId="0">
      <text>
        <t>Fiscal year ended 2022-12-31. Source: StockAnalysis.</t>
      </text>
    </comment>
    <comment ref="K21" authorId="0" shapeId="0">
      <text>
        <t>Fiscal year ended 2023-12-31. Source: StockAnalysis.</t>
      </text>
    </comment>
    <comment ref="L21" authorId="0" shapeId="0">
      <text>
        <t>Fiscal year ended 2024-12-31. Source: StockAnalysis.</t>
      </text>
    </comment>
    <comment ref="M21" authorId="0" shapeId="0">
      <text>
        <t>Fiscal year ended 2025-12-31. Source: StockAnalysis.</t>
      </text>
    </comment>
    <comment ref="K22" authorId="0" shapeId="0">
      <text>
        <t>Fiscal year ended 2023-06-30. Source: StockAnalysis.</t>
      </text>
    </comment>
    <comment ref="L22" authorId="0" shapeId="0">
      <text>
        <t>Fiscal year ended 2024-06-30. Source: StockAnalysis.</t>
      </text>
    </comment>
    <comment ref="M22" authorId="0" shapeId="0">
      <text>
        <t>Fiscal year ended 2025-06-30. Source: StockAnalysis.</t>
      </text>
    </comment>
    <comment ref="N22" authorId="0" shapeId="0">
      <text>
        <t>Fiscal year ended 2026-06-30. Source: StockAnalysis.</t>
      </text>
    </comment>
    <comment ref="H23" authorId="0" shapeId="0">
      <text>
        <t>Fiscal year ended 2020-12-31. Source: StockAnalysis.</t>
      </text>
    </comment>
    <comment ref="I23" authorId="0" shapeId="0">
      <text>
        <t>Fiscal year ended 2021-12-31. Source: StockAnalysis.</t>
      </text>
    </comment>
    <comment ref="J23" authorId="0" shapeId="0">
      <text>
        <t>Fiscal year ended 2022-12-31. Source: StockAnalysis.</t>
      </text>
    </comment>
    <comment ref="K23" authorId="0" shapeId="0">
      <text>
        <t>Fiscal year ended 2023-12-31. Source: StockAnalysis.</t>
      </text>
    </comment>
    <comment ref="L23" authorId="0" shapeId="0">
      <text>
        <t>Fiscal year ended 2024-12-31. Source: StockAnalysis.</t>
      </text>
    </comment>
    <comment ref="J24" authorId="0" shapeId="0">
      <text>
        <t>Fiscal year ended 2022-06-30. Source: StockAnalysis.</t>
      </text>
    </comment>
    <comment ref="K24" authorId="0" shapeId="0">
      <text>
        <t>Fiscal year ended 2023-06-30. Source: StockAnalysis.</t>
      </text>
    </comment>
    <comment ref="L24" authorId="0" shapeId="0">
      <text>
        <t>Fiscal year ended 2024-06-30. Source: StockAnalysis.</t>
      </text>
    </comment>
    <comment ref="M24" authorId="0" shapeId="0">
      <text>
        <t>Fiscal year ended 2025-06-30. Source: StockAnalysis.</t>
      </text>
    </comment>
    <comment ref="N24" authorId="0" shapeId="0">
      <text>
        <t>Fiscal year ended 2026-06-30. Source: StockAnalysis.</t>
      </text>
    </comment>
    <comment ref="A25" authorId="0" shapeId="0">
      <text>
        <t>No revenue data found (delisted, or no free source).</t>
      </text>
    </comment>
    <comment ref="J26" authorId="0" shapeId="0">
      <text>
        <t>Fiscal year ended 2022-12-31. Source: StockAnalysis.</t>
      </text>
    </comment>
    <comment ref="K26" authorId="0" shapeId="0">
      <text>
        <t>Fiscal year ended 2023-12-31. Source: StockAnalysis.</t>
      </text>
    </comment>
    <comment ref="L26" authorId="0" shapeId="0">
      <text>
        <t>Fiscal year ended 2024-12-31. Source: StockAnalysis.</t>
      </text>
    </comment>
    <comment ref="M26" authorId="0" shapeId="0">
      <text>
        <t>Fiscal year ended 2025-12-31. Source: StockAnalysis.</t>
      </text>
    </comment>
    <comment ref="I27" authorId="0" shapeId="0">
      <text>
        <t>Fiscal year ended 2021-12-31. Source: StockAnalysis.</t>
      </text>
    </comment>
    <comment ref="J27" authorId="0" shapeId="0">
      <text>
        <t>Fiscal year ended 2022-12-31. Source: StockAnalysis.</t>
      </text>
    </comment>
    <comment ref="K27" authorId="0" shapeId="0">
      <text>
        <t>Fiscal year ended 2023-12-31. Source: StockAnalysis.</t>
      </text>
    </comment>
    <comment ref="L27" authorId="0" shapeId="0">
      <text>
        <t>Fiscal year ended 2024-12-31. Source: StockAnalysis.</t>
      </text>
    </comment>
    <comment ref="M27" authorId="0" shapeId="0">
      <text>
        <t>Fiscal year ended 2025-12-31. Source: StockAnalysis.</t>
      </text>
    </comment>
    <comment ref="I28" authorId="0" shapeId="0">
      <text>
        <t>Fiscal year ended 2021-12-31. Source: StockAnalysis.</t>
      </text>
    </comment>
    <comment ref="J28" authorId="0" shapeId="0">
      <text>
        <t>Fiscal year ended 2022-12-31. Source: StockAnalysis.</t>
      </text>
    </comment>
    <comment ref="K28" authorId="0" shapeId="0">
      <text>
        <t>Fiscal year ended 2023-12-31. Source: StockAnalysis.</t>
      </text>
    </comment>
    <comment ref="L28" authorId="0" shapeId="0">
      <text>
        <t>Fiscal year ended 2024-12-31. Source: StockAnalysis.</t>
      </text>
    </comment>
    <comment ref="M28" authorId="0" shapeId="0">
      <text>
        <t>Fiscal year ended 2025-12-31. Source: StockAnalysis.</t>
      </text>
    </comment>
    <comment ref="I29" authorId="0" shapeId="0">
      <text>
        <t>Fiscal year ended 2021-12-31. Source: StockAnalysis.</t>
      </text>
    </comment>
    <comment ref="J29" authorId="0" shapeId="0">
      <text>
        <t>Fiscal year ended 2022-12-31. Source: StockAnalysis.</t>
      </text>
    </comment>
    <comment ref="K29" authorId="0" shapeId="0">
      <text>
        <t>Fiscal year ended 2023-12-31. Source: StockAnalysis.</t>
      </text>
    </comment>
    <comment ref="L29" authorId="0" shapeId="0">
      <text>
        <t>Fiscal year ended 2024-12-31. Source: StockAnalysis.</t>
      </text>
    </comment>
    <comment ref="M29" authorId="0" shapeId="0">
      <text>
        <t>Fiscal year ended 2025-12-31. Source: StockAnalysis.</t>
      </text>
    </comment>
    <comment ref="J30" authorId="0" shapeId="0">
      <text>
        <t>Fiscal year ended 2022-06-30. Source: StockAnalysis.</t>
      </text>
    </comment>
    <comment ref="K30" authorId="0" shapeId="0">
      <text>
        <t>Fiscal year ended 2023-06-30. Source: StockAnalysis. Yahoo shows 787.1 (-6.1%): likely a restatement, check the annual report.</t>
      </text>
    </comment>
    <comment ref="L30" authorId="0" shapeId="0">
      <text>
        <t>Fiscal year ended 2024-06-30. Source: StockAnalysis.</t>
      </text>
    </comment>
    <comment ref="M30" authorId="0" shapeId="0">
      <text>
        <t>Fiscal year ended 2025-06-30. Source: StockAnalysis.</t>
      </text>
    </comment>
    <comment ref="N30" authorId="0" shapeId="0">
      <text>
        <t>Fiscal year ended 2026-06-30. Source: StockAnalysis.</t>
      </text>
    </comment>
    <comment ref="I31" authorId="0" shapeId="0">
      <text>
        <t>Fiscal year ended 2021-12-31. Source: StockAnalysis.</t>
      </text>
    </comment>
    <comment ref="J31" authorId="0" shapeId="0">
      <text>
        <t>Fiscal year ended 2022-12-31. Source: StockAnalysis.</t>
      </text>
    </comment>
    <comment ref="K31" authorId="0" shapeId="0">
      <text>
        <t>Fiscal year ended 2023-12-31. Source: StockAnalysis.</t>
      </text>
    </comment>
    <comment ref="L31" authorId="0" shapeId="0">
      <text>
        <t>Fiscal year ended 2024-12-31. Source: StockAnalysis.</t>
      </text>
    </comment>
    <comment ref="M31" authorId="0" shapeId="0">
      <text>
        <t>Fiscal year ended 2025-12-31. Source: StockAnalysis.</t>
      </text>
    </comment>
    <comment ref="I32" authorId="0" shapeId="0">
      <text>
        <t>Fiscal year ended 2021-12-31. Source: StockAnalysis.</t>
      </text>
    </comment>
    <comment ref="J32" authorId="0" shapeId="0">
      <text>
        <t>Fiscal year ended 2022-12-31. Source: StockAnalysis.</t>
      </text>
    </comment>
    <comment ref="K32" authorId="0" shapeId="0">
      <text>
        <t>Fiscal year ended 2023-12-31. Source: StockAnalysis.</t>
      </text>
    </comment>
    <comment ref="L32" authorId="0" shapeId="0">
      <text>
        <t>Fiscal year ended 2024-12-31. Source: StockAnalysis.</t>
      </text>
    </comment>
    <comment ref="M32" authorId="0" shapeId="0">
      <text>
        <t>Fiscal year ended 2025-12-31. Source: StockAnalysis.</t>
      </text>
    </comment>
    <comment ref="J33" authorId="0" shapeId="0">
      <text>
        <t>Fiscal year ended 2022-12-31. Source: Yahoo Finance.</t>
      </text>
    </comment>
    <comment ref="K33" authorId="0" shapeId="0">
      <text>
        <t>Fiscal year ended 2023-12-31. Source: Yahoo Finance.</t>
      </text>
    </comment>
    <comment ref="L33" authorId="0" shapeId="0">
      <text>
        <t>Fiscal year ended 2024-12-31. Source: Yahoo Finance.</t>
      </text>
    </comment>
    <comment ref="M33" authorId="0" shapeId="0">
      <text>
        <t>Fiscal year ended 2025-12-31. Source: StockAnalysis.</t>
      </text>
    </comment>
    <comment ref="J34" authorId="0" shapeId="0">
      <text>
        <t>Fiscal year ended 2022-06-30. Source: StockAnalysis.</t>
      </text>
    </comment>
    <comment ref="K34" authorId="0" shapeId="0">
      <text>
        <t>Fiscal year ended 2023-06-30. Source: StockAnalysis.</t>
      </text>
    </comment>
    <comment ref="L34" authorId="0" shapeId="0">
      <text>
        <t>Fiscal year ended 2024-06-30. Source: StockAnalysis.</t>
      </text>
    </comment>
    <comment ref="M34" authorId="0" shapeId="0">
      <text>
        <t>Fiscal year ended 2025-06-30. Source: StockAnalysis.</t>
      </text>
    </comment>
    <comment ref="N34" authorId="0" shapeId="0">
      <text>
        <t>Fiscal year ended 2026-06-30. Source: StockAnalysis.</t>
      </text>
    </comment>
    <comment ref="I35" authorId="0" shapeId="0">
      <text>
        <t>Fiscal year ended 2021-12-31. Source: StockAnalysis.</t>
      </text>
    </comment>
    <comment ref="J35" authorId="0" shapeId="0">
      <text>
        <t>Fiscal year ended 2022-12-31. Source: StockAnalysis.</t>
      </text>
    </comment>
    <comment ref="K35" authorId="0" shapeId="0">
      <text>
        <t>Fiscal year ended 2023-12-31. Source: StockAnalysis.</t>
      </text>
    </comment>
    <comment ref="L35" authorId="0" shapeId="0">
      <text>
        <t>Fiscal year ended 2024-12-31. Source: StockAnalysis.</t>
      </text>
    </comment>
    <comment ref="M35" authorId="0" shapeId="0">
      <text>
        <t>Fiscal year ended 2025-12-31. Source: StockAnalysis.</t>
      </text>
    </comment>
    <comment ref="I36" authorId="0" shapeId="0">
      <text>
        <t>Fiscal year ended 2021-12-31. Source: StockAnalysis.</t>
      </text>
    </comment>
    <comment ref="J36" authorId="0" shapeId="0">
      <text>
        <t>Fiscal year ended 2022-12-31. Source: StockAnalysis.</t>
      </text>
    </comment>
    <comment ref="K36" authorId="0" shapeId="0">
      <text>
        <t>Fiscal year ended 2023-12-31. Source: StockAnalysis.</t>
      </text>
    </comment>
    <comment ref="L36" authorId="0" shapeId="0">
      <text>
        <t>Fiscal year ended 2024-12-31. Source: StockAnalysis.</t>
      </text>
    </comment>
    <comment ref="M36" authorId="0" shapeId="0">
      <text>
        <t>Fiscal year ended 2025-12-31. Source: StockAnalysis.</t>
      </text>
    </comment>
    <comment ref="I37" authorId="0" shapeId="0">
      <text>
        <t>Fiscal year ended 2021-12-31. Source: StockAnalysis.</t>
      </text>
    </comment>
    <comment ref="J37" authorId="0" shapeId="0">
      <text>
        <t>Fiscal year ended 2022-12-31. Source: StockAnalysis.</t>
      </text>
    </comment>
    <comment ref="K37" authorId="0" shapeId="0">
      <text>
        <t>Fiscal year ended 2023-12-31. Source: StockAnalysis.</t>
      </text>
    </comment>
    <comment ref="L37" authorId="0" shapeId="0">
      <text>
        <t>Fiscal year ended 2024-12-31. Source: StockAnalysis.</t>
      </text>
    </comment>
    <comment ref="M37" authorId="0" shapeId="0">
      <text>
        <t>Fiscal year ended 2025-12-31. Source: StockAnalysis.</t>
      </text>
    </comment>
    <comment ref="A38" authorId="0" shapeId="0">
      <text>
        <t>No revenue data found (delisted, or no free source).</t>
      </text>
    </comment>
    <comment ref="I39" authorId="0" shapeId="0">
      <text>
        <t>Fiscal year ended 2021-06-30. Source: StockAnalysis.</t>
      </text>
    </comment>
    <comment ref="J39" authorId="0" shapeId="0">
      <text>
        <t>Fiscal year ended 2022-06-30. Source: StockAnalysis.</t>
      </text>
    </comment>
    <comment ref="K39" authorId="0" shapeId="0">
      <text>
        <t>Fiscal year ended 2023-06-30. Source: StockAnalysis.</t>
      </text>
    </comment>
    <comment ref="L39" authorId="0" shapeId="0">
      <text>
        <t>Fiscal year ended 2024-06-30. Source: StockAnalysis.</t>
      </text>
    </comment>
    <comment ref="M39" authorId="0" shapeId="0">
      <text>
        <t>Fiscal year ended 2025-06-30. Source: StockAnalysis.</t>
      </text>
    </comment>
    <comment ref="I40" authorId="0" shapeId="0">
      <text>
        <t>Fiscal year ended 2021-12-31. Source: StockAnalysis.</t>
      </text>
    </comment>
    <comment ref="J40" authorId="0" shapeId="0">
      <text>
        <t>Fiscal year ended 2022-12-31. Source: StockAnalysis.</t>
      </text>
    </comment>
    <comment ref="K40" authorId="0" shapeId="0">
      <text>
        <t>Fiscal year ended 2023-12-31. Source: StockAnalysis.</t>
      </text>
    </comment>
    <comment ref="L40" authorId="0" shapeId="0">
      <text>
        <t>Fiscal year ended 2024-12-31. Source: StockAnalysis.</t>
      </text>
    </comment>
    <comment ref="M40" authorId="0" shapeId="0">
      <text>
        <t>Fiscal year ended 2025-12-31. Source: StockAnalysis.</t>
      </text>
    </comment>
    <comment ref="J41" authorId="0" shapeId="0">
      <text>
        <t>Fiscal year ended 2022-06-30. Source: StockAnalysis.</t>
      </text>
    </comment>
    <comment ref="K41" authorId="0" shapeId="0">
      <text>
        <t>Fiscal year ended 2023-06-30. Source: StockAnalysis.</t>
      </text>
    </comment>
    <comment ref="L41" authorId="0" shapeId="0">
      <text>
        <t>Fiscal year ended 2024-06-30. Source: StockAnalysis.</t>
      </text>
    </comment>
    <comment ref="M41" authorId="0" shapeId="0">
      <text>
        <t>Fiscal year ended 2025-06-30. Source: StockAnalysis.</t>
      </text>
    </comment>
    <comment ref="N41" authorId="0" shapeId="0">
      <text>
        <t>Fiscal year ended 2026-06-30. Source: StockAnalysis.</t>
      </text>
    </comment>
    <comment ref="J42" authorId="0" shapeId="0">
      <text>
        <t>Fiscal year ended 2022-06-30. Source: StockAnalysis.</t>
      </text>
    </comment>
    <comment ref="K42" authorId="0" shapeId="0">
      <text>
        <t>Fiscal year ended 2023-06-30. Source: StockAnalysis.</t>
      </text>
    </comment>
    <comment ref="L42" authorId="0" shapeId="0">
      <text>
        <t>Fiscal year ended 2024-06-30. Source: StockAnalysis.</t>
      </text>
    </comment>
    <comment ref="M42" authorId="0" shapeId="0">
      <text>
        <t>Fiscal year ended 2025-06-30. Source: StockAnalysis.</t>
      </text>
    </comment>
    <comment ref="N42" authorId="0" shapeId="0">
      <text>
        <t>Fiscal year ended 2026-06-30. Source: StockAnalysis.</t>
      </text>
    </comment>
    <comment ref="I43" authorId="0" shapeId="0">
      <text>
        <t>Fiscal year ended 2021-12-31. Source: StockAnalysis.</t>
      </text>
    </comment>
    <comment ref="J43" authorId="0" shapeId="0">
      <text>
        <t>Fiscal year ended 2022-12-31. Source: StockAnalysis.</t>
      </text>
    </comment>
    <comment ref="K43" authorId="0" shapeId="0">
      <text>
        <t>Fiscal year ended 2023-12-31. Source: StockAnalysis.</t>
      </text>
    </comment>
    <comment ref="L43" authorId="0" shapeId="0">
      <text>
        <t>Fiscal year ended 2024-12-31. Source: StockAnalysis.</t>
      </text>
    </comment>
    <comment ref="M43" authorId="0" shapeId="0">
      <text>
        <t>Fiscal year ended 2025-12-31. Source: StockAnalysis.</t>
      </text>
    </comment>
    <comment ref="J44" authorId="0" shapeId="0">
      <text>
        <t>Fiscal year ended 2022-06-30. Source: StockAnalysis. Yahoo shows 680.3 (-70.4%): likely a restatement, check the annual report.</t>
      </text>
    </comment>
    <comment ref="K44" authorId="0" shapeId="0">
      <text>
        <t>Fiscal year ended 2023-06-30. Source: StockAnalysis.</t>
      </text>
    </comment>
    <comment ref="L44" authorId="0" shapeId="0">
      <text>
        <t>Fiscal year ended 2024-06-30. Source: StockAnalysis. Yahoo shows 223.6 (-11.6%): likely a restatement, check the annual report.</t>
      </text>
    </comment>
    <comment ref="M44" authorId="0" shapeId="0">
      <text>
        <t>Fiscal year ended 2025-06-30. Source: StockAnalysis.</t>
      </text>
    </comment>
    <comment ref="N44" authorId="0" shapeId="0">
      <text>
        <t>Fiscal year ended 2026-06-30. Source: StockAnalysis.</t>
      </text>
    </comment>
    <comment ref="J45" authorId="0" shapeId="0">
      <text>
        <t>Fiscal year ended 2022-12-31. Source: Yahoo Finance.</t>
      </text>
    </comment>
    <comment ref="K45" authorId="0" shapeId="0">
      <text>
        <t>Fiscal year ended 2023-12-31. Source: Yahoo Finance.</t>
      </text>
    </comment>
    <comment ref="L45" authorId="0" shapeId="0">
      <text>
        <t>Fiscal year ended 2024-12-31. Source: Yahoo Finance.</t>
      </text>
    </comment>
    <comment ref="M45" authorId="0" shapeId="0">
      <text>
        <t>Fiscal year ended 2025-12-31. Source: Yahoo Finance.</t>
      </text>
    </comment>
    <comment ref="I46" authorId="0" shapeId="0">
      <text>
        <t>Fiscal year ended 2021-12-31. Source: StockAnalysis.</t>
      </text>
    </comment>
    <comment ref="J46" authorId="0" shapeId="0">
      <text>
        <t>Fiscal year ended 2022-12-31. Source: StockAnalysis.</t>
      </text>
    </comment>
    <comment ref="K46" authorId="0" shapeId="0">
      <text>
        <t>Fiscal year ended 2023-12-31. Source: StockAnalysis.</t>
      </text>
    </comment>
    <comment ref="L46" authorId="0" shapeId="0">
      <text>
        <t>Fiscal year ended 2024-12-31. Source: StockAnalysis.</t>
      </text>
    </comment>
    <comment ref="M46" authorId="0" shapeId="0">
      <text>
        <t>Fiscal year ended 2025-12-31. Source: StockAnalysis.</t>
      </text>
    </comment>
    <comment ref="J47" authorId="0" shapeId="0">
      <text>
        <t>Fiscal year ended 2022-12-31. Source: Yahoo Finance.</t>
      </text>
    </comment>
    <comment ref="K47" authorId="0" shapeId="0">
      <text>
        <t>Fiscal year ended 2023-12-31. Source: Yahoo Finance.</t>
      </text>
    </comment>
    <comment ref="L47" authorId="0" shapeId="0">
      <text>
        <t>Fiscal year ended 2024-12-31. Source: Yahoo Finance.</t>
      </text>
    </comment>
    <comment ref="M47" authorId="0" shapeId="0">
      <text>
        <t>Fiscal year ended 2025-12-31. Source: Yahoo Finance.</t>
      </text>
    </comment>
    <comment ref="J48" authorId="0" shapeId="0">
      <text>
        <t>Fiscal year ended 2022-12-31. Source: Yahoo Finance.</t>
      </text>
    </comment>
    <comment ref="K48" authorId="0" shapeId="0">
      <text>
        <t>Fiscal year ended 2023-12-31. Source: Yahoo Finance.</t>
      </text>
    </comment>
    <comment ref="L48" authorId="0" shapeId="0">
      <text>
        <t>Fiscal year ended 2024-12-31. Source: Yahoo Finance.</t>
      </text>
    </comment>
    <comment ref="M48" authorId="0" shapeId="0">
      <text>
        <t>Fiscal year ended 2025-12-31. Source: Yahoo Finance.</t>
      </text>
    </comment>
    <comment ref="J49" authorId="0" shapeId="0">
      <text>
        <t>Fiscal year ended 2022-06-30. Source: StockAnalysis.</t>
      </text>
    </comment>
    <comment ref="K49" authorId="0" shapeId="0">
      <text>
        <t>Fiscal year ended 2023-06-30. Source: StockAnalysis.</t>
      </text>
    </comment>
    <comment ref="L49" authorId="0" shapeId="0">
      <text>
        <t>Fiscal year ended 2024-06-30. Source: StockAnalysis.</t>
      </text>
    </comment>
    <comment ref="M49" authorId="0" shapeId="0">
      <text>
        <t>Fiscal year ended 2025-06-30. Source: StockAnalysis.</t>
      </text>
    </comment>
    <comment ref="N49" authorId="0" shapeId="0">
      <text>
        <t>Fiscal year ended 2026-06-30. Source: StockAnalysis.</t>
      </text>
    </comment>
    <comment ref="I50" authorId="0" shapeId="0">
      <text>
        <t>Fiscal year ended 2021-12-31. Source: StockAnalysis.</t>
      </text>
    </comment>
    <comment ref="J50" authorId="0" shapeId="0">
      <text>
        <t>Fiscal year ended 2022-12-31. Source: StockAnalysis.</t>
      </text>
    </comment>
    <comment ref="K50" authorId="0" shapeId="0">
      <text>
        <t>Fiscal year ended 2023-12-31. Source: StockAnalysis.</t>
      </text>
    </comment>
    <comment ref="L50" authorId="0" shapeId="0">
      <text>
        <t>Fiscal year ended 2024-12-31. Source: StockAnalysis.</t>
      </text>
    </comment>
    <comment ref="M50" authorId="0" shapeId="0">
      <text>
        <t>Fiscal year ended 2025-12-31. Source: StockAnalysis.</t>
      </text>
    </comment>
    <comment ref="I51" authorId="0" shapeId="0">
      <text>
        <t>Fiscal year ended 2021-12-31. Source: StockAnalysis.</t>
      </text>
    </comment>
    <comment ref="J51" authorId="0" shapeId="0">
      <text>
        <t>Fiscal year ended 2022-12-31. Source: StockAnalysis.</t>
      </text>
    </comment>
    <comment ref="K51" authorId="0" shapeId="0">
      <text>
        <t>Fiscal year ended 2023-12-31. Source: StockAnalysis.</t>
      </text>
    </comment>
    <comment ref="L51" authorId="0" shapeId="0">
      <text>
        <t>Fiscal year ended 2024-12-31. Source: StockAnalysis.</t>
      </text>
    </comment>
    <comment ref="M51" authorId="0" shapeId="0">
      <text>
        <t>Fiscal year ended 2025-12-31. Source: StockAnalysis.</t>
      </text>
    </comment>
    <comment ref="J52" authorId="0" shapeId="0">
      <text>
        <t>Fiscal year ended 2022-06-30. Source: StockAnalysis.</t>
      </text>
    </comment>
    <comment ref="K52" authorId="0" shapeId="0">
      <text>
        <t>Fiscal year ended 2023-06-30. Source: StockAnalysis.</t>
      </text>
    </comment>
    <comment ref="L52" authorId="0" shapeId="0">
      <text>
        <t>Fiscal year ended 2024-06-30. Source: StockAnalysis.</t>
      </text>
    </comment>
    <comment ref="M52" authorId="0" shapeId="0">
      <text>
        <t>Fiscal year ended 2025-06-30. Source: StockAnalysis.</t>
      </text>
    </comment>
    <comment ref="N52" authorId="0" shapeId="0">
      <text>
        <t>Fiscal year ended 2026-06-30. Source: StockAnalysis.</t>
      </text>
    </comment>
    <comment ref="A53" authorId="0" shapeId="0">
      <text>
        <t>No revenue data found (delisted, or no free source).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13" customWidth="1" min="3" max="3"/>
    <col width="14" customWidth="1" min="4" max="4"/>
    <col width="9" customWidth="1" min="5" max="5"/>
    <col width="30" customWidth="1" min="6" max="6"/>
    <col width="60" customWidth="1" min="7" max="7"/>
  </cols>
  <sheetData>
    <row r="1">
      <c r="A1" s="1" t="inlineStr">
        <is>
          <t>entity</t>
        </is>
      </c>
      <c r="B1" s="1" t="inlineStr">
        <is>
          <t>listed_parent</t>
        </is>
      </c>
      <c r="C1" s="1" t="inlineStr">
        <is>
          <t>ticker</t>
        </is>
      </c>
      <c r="D1" s="1" t="inlineStr">
        <is>
          <t>exchange</t>
        </is>
      </c>
      <c r="E1" s="1" t="inlineStr">
        <is>
          <t>currency</t>
        </is>
      </c>
      <c r="F1" s="1" t="inlineStr">
        <is>
          <t>cross_check</t>
        </is>
      </c>
      <c r="G1" s="1" t="inlineStr">
        <is>
          <t>note</t>
        </is>
      </c>
    </row>
    <row r="2">
      <c r="A2" t="inlineStr">
        <is>
          <t>1911 Gold Corp</t>
        </is>
      </c>
      <c r="B2" t="inlineStr">
        <is>
          <t>1911 Gold Corp</t>
        </is>
      </c>
      <c r="C2" t="inlineStr">
        <is>
          <t>AUMB.V</t>
        </is>
      </c>
      <c r="D2" t="inlineStr">
        <is>
          <t>TSXV</t>
        </is>
      </c>
      <c r="E2" t="inlineStr">
        <is>
          <t>CAD</t>
        </is>
      </c>
      <c r="F2" t="inlineStr">
        <is>
          <t>AUMBF</t>
        </is>
      </c>
      <c r="G2" t="inlineStr"/>
    </row>
    <row r="3">
      <c r="A3" t="inlineStr">
        <is>
          <t>Alamos Gold Inc.</t>
        </is>
      </c>
      <c r="B3" t="inlineStr">
        <is>
          <t>Alamos Gold Inc</t>
        </is>
      </c>
      <c r="C3" t="inlineStr">
        <is>
          <t>AGI.TO</t>
        </is>
      </c>
      <c r="D3" t="inlineStr">
        <is>
          <t>TSX</t>
        </is>
      </c>
      <c r="E3" t="inlineStr">
        <is>
          <t>CAD</t>
        </is>
      </c>
      <c r="F3" t="inlineStr">
        <is>
          <t>AGI</t>
        </is>
      </c>
      <c r="G3" t="inlineStr"/>
    </row>
    <row r="4">
      <c r="A4" t="inlineStr">
        <is>
          <t>Allied Gold South Africa</t>
        </is>
      </c>
      <c r="B4" t="inlineStr">
        <is>
          <t>Allied Gold Corp</t>
        </is>
      </c>
      <c r="C4" t="inlineStr">
        <is>
          <t>AAUC.TO</t>
        </is>
      </c>
      <c r="D4" t="inlineStr">
        <is>
          <t>TSX</t>
        </is>
      </c>
      <c r="E4" t="inlineStr">
        <is>
          <t>CAD</t>
        </is>
      </c>
      <c r="F4" t="inlineStr"/>
      <c r="G4" t="inlineStr">
        <is>
          <t>Mapped to parent Allied Gold Corp (listed TSX 11 Sep 2023); specific SA entity unconfirmed</t>
        </is>
      </c>
    </row>
    <row r="5">
      <c r="A5" t="inlineStr">
        <is>
          <t>AngloGold Ashanti Limited</t>
        </is>
      </c>
      <c r="B5" t="inlineStr">
        <is>
          <t>AngloGold Ashanti plc</t>
        </is>
      </c>
      <c r="C5" t="inlineStr">
        <is>
          <t>AU</t>
        </is>
      </c>
      <c r="D5" t="inlineStr">
        <is>
          <t>NYSE</t>
        </is>
      </c>
      <c r="E5" t="inlineStr">
        <is>
          <t>USD</t>
        </is>
      </c>
      <c r="F5" t="inlineStr">
        <is>
          <t>ANG.JO</t>
        </is>
      </c>
      <c r="G5" t="inlineStr"/>
    </row>
    <row r="6">
      <c r="A6" t="inlineStr">
        <is>
          <t>Argonaut Gold Corporate Account</t>
        </is>
      </c>
      <c r="B6" t="inlineStr">
        <is>
          <t>Argonaut Gold Inc</t>
        </is>
      </c>
      <c r="C6" t="inlineStr">
        <is>
          <t>AR.TO</t>
        </is>
      </c>
      <c r="D6" t="inlineStr">
        <is>
          <t>TSX</t>
        </is>
      </c>
      <c r="E6" t="inlineStr">
        <is>
          <t>CAD</t>
        </is>
      </c>
      <c r="F6" t="inlineStr">
        <is>
          <t>ARNGF</t>
        </is>
      </c>
      <c r="G6" t="inlineStr">
        <is>
          <t>Argonaut Gold was taken over by Alamos Gold on 12 Jul 2024</t>
        </is>
      </c>
    </row>
    <row r="7">
      <c r="A7" t="inlineStr">
        <is>
          <t>Atlantic Mining NS Inc.</t>
        </is>
      </c>
      <c r="B7" t="inlineStr">
        <is>
          <t>St Barbara Ltd</t>
        </is>
      </c>
      <c r="C7" t="inlineStr">
        <is>
          <t>SBM.AX</t>
        </is>
      </c>
      <c r="D7" t="inlineStr">
        <is>
          <t>ASX</t>
        </is>
      </c>
      <c r="E7" t="inlineStr">
        <is>
          <t>AUD</t>
        </is>
      </c>
      <c r="F7" t="inlineStr"/>
      <c r="G7" t="inlineStr">
        <is>
          <t>Nova Scotia operations; St Barbara bought Atlantic Gold on 19 Jul 2019</t>
        </is>
      </c>
    </row>
    <row r="8">
      <c r="A8" t="inlineStr">
        <is>
          <t>B2Gold Corporation</t>
        </is>
      </c>
      <c r="B8" t="inlineStr">
        <is>
          <t>B2Gold Corp</t>
        </is>
      </c>
      <c r="C8" t="inlineStr">
        <is>
          <t>BTO.TO</t>
        </is>
      </c>
      <c r="D8" t="inlineStr">
        <is>
          <t>TSX</t>
        </is>
      </c>
      <c r="E8" t="inlineStr">
        <is>
          <t>CAD</t>
        </is>
      </c>
      <c r="F8" t="inlineStr">
        <is>
          <t>BTG</t>
        </is>
      </c>
      <c r="G8" t="inlineStr"/>
    </row>
    <row r="9">
      <c r="A9" t="inlineStr">
        <is>
          <t>Barkerville Gold Mines</t>
        </is>
      </c>
      <c r="B9" t="inlineStr">
        <is>
          <t>Osisko Gold Group Inc (formerly Osisko Development)</t>
        </is>
      </c>
      <c r="C9" t="inlineStr">
        <is>
          <t>OGG.V</t>
        </is>
      </c>
      <c r="D9" t="inlineStr">
        <is>
          <t>TSXV</t>
        </is>
      </c>
      <c r="E9" t="inlineStr">
        <is>
          <t>CAD</t>
        </is>
      </c>
      <c r="F9" t="inlineStr">
        <is>
          <t>OGG;OGG.TO;OR.TO</t>
        </is>
      </c>
      <c r="G9" t="inlineStr">
        <is>
          <t>Barkerville (BGM.V) until Osisko Gold Royalties bought it on 21 Nov 2019; moved into Osisko Development (listed late 2020), renamed Osisko Gold (OGG) Jul 2026</t>
        </is>
      </c>
    </row>
    <row r="10">
      <c r="A10" t="inlineStr">
        <is>
          <t>Bralorne Gold Mines (Talisker Resources)</t>
        </is>
      </c>
      <c r="B10" t="inlineStr">
        <is>
          <t>Talisker Resources Ltd</t>
        </is>
      </c>
      <c r="C10" t="inlineStr">
        <is>
          <t>TSK.TO</t>
        </is>
      </c>
      <c r="D10" t="inlineStr">
        <is>
          <t>TSX</t>
        </is>
      </c>
      <c r="E10" t="inlineStr">
        <is>
          <t>CAD</t>
        </is>
      </c>
      <c r="F10" t="inlineStr">
        <is>
          <t>TSK.CN;TSKFF</t>
        </is>
      </c>
      <c r="G10" t="inlineStr">
        <is>
          <t>Subsidiary of Talisker since 16 Dec 2019</t>
        </is>
      </c>
    </row>
    <row r="11">
      <c r="A11" t="inlineStr">
        <is>
          <t>Calibre Mining Corporation</t>
        </is>
      </c>
      <c r="B11" t="inlineStr">
        <is>
          <t>Calibre Mining Corp</t>
        </is>
      </c>
      <c r="C11" t="inlineStr">
        <is>
          <t>CXB.TO</t>
        </is>
      </c>
      <c r="D11" t="inlineStr">
        <is>
          <t>TSX</t>
        </is>
      </c>
      <c r="E11" t="inlineStr">
        <is>
          <t>CAD</t>
        </is>
      </c>
      <c r="F11" t="inlineStr">
        <is>
          <t>CXBMF</t>
        </is>
      </c>
      <c r="G11" t="inlineStr">
        <is>
          <t>Taken over by Equinox Gold on 17 Jun 2025</t>
        </is>
      </c>
    </row>
    <row r="12">
      <c r="A12" t="inlineStr">
        <is>
          <t>Catalyst (Plutonic) Pty Ltd</t>
        </is>
      </c>
      <c r="B12" t="inlineStr">
        <is>
          <t>Catalyst Metals Ltd</t>
        </is>
      </c>
      <c r="C12" t="inlineStr">
        <is>
          <t>CYL.AX</t>
        </is>
      </c>
      <c r="D12" t="inlineStr">
        <is>
          <t>ASX</t>
        </is>
      </c>
      <c r="E12" t="inlineStr">
        <is>
          <t>AUD</t>
        </is>
      </c>
      <c r="F12" t="inlineStr"/>
      <c r="G12" t="inlineStr">
        <is>
          <t>Plutonic mine; Catalyst bought Superior Gold on 30 Jun 2023</t>
        </is>
      </c>
    </row>
    <row r="13">
      <c r="A13" t="inlineStr">
        <is>
          <t>Centerra Gold Inc.</t>
        </is>
      </c>
      <c r="B13" t="inlineStr">
        <is>
          <t>Centerra Gold Inc</t>
        </is>
      </c>
      <c r="C13" t="inlineStr">
        <is>
          <t>CG.TO</t>
        </is>
      </c>
      <c r="D13" t="inlineStr">
        <is>
          <t>TSX</t>
        </is>
      </c>
      <c r="E13" t="inlineStr">
        <is>
          <t>CAD</t>
        </is>
      </c>
      <c r="F13" t="inlineStr">
        <is>
          <t>CGAU</t>
        </is>
      </c>
      <c r="G13" t="inlineStr"/>
    </row>
    <row r="14">
      <c r="A14" t="inlineStr">
        <is>
          <t>Cerrado Gold - Minera Don Nicolas - Arge</t>
        </is>
      </c>
      <c r="B14" t="inlineStr">
        <is>
          <t>Cerrado Gold Inc</t>
        </is>
      </c>
      <c r="C14" t="inlineStr">
        <is>
          <t>CERT.V</t>
        </is>
      </c>
      <c r="D14" t="inlineStr">
        <is>
          <t>TSXV</t>
        </is>
      </c>
      <c r="E14" t="inlineStr">
        <is>
          <t>CAD</t>
        </is>
      </c>
      <c r="F14" t="inlineStr">
        <is>
          <t>CRDOF</t>
        </is>
      </c>
      <c r="G14" t="inlineStr">
        <is>
          <t>Subsidiary of Cerrado Gold since Mar 2020</t>
        </is>
      </c>
    </row>
    <row r="15">
      <c r="A15" t="inlineStr">
        <is>
          <t>Eldorado</t>
        </is>
      </c>
      <c r="B15" t="inlineStr">
        <is>
          <t>Eldorado Gold Corp</t>
        </is>
      </c>
      <c r="C15" t="inlineStr">
        <is>
          <t>ELD.TO</t>
        </is>
      </c>
      <c r="D15" t="inlineStr">
        <is>
          <t>TSX</t>
        </is>
      </c>
      <c r="E15" t="inlineStr">
        <is>
          <t>CAD</t>
        </is>
      </c>
      <c r="F15" t="inlineStr">
        <is>
          <t>EGO</t>
        </is>
      </c>
      <c r="G15" t="inlineStr"/>
    </row>
    <row r="16">
      <c r="A16" t="inlineStr">
        <is>
          <t>Equinox Gold NAM - Leapfrog</t>
        </is>
      </c>
      <c r="B16" t="inlineStr">
        <is>
          <t>Equinox Gold Corp</t>
        </is>
      </c>
      <c r="C16" t="inlineStr">
        <is>
          <t>EQX.TO</t>
        </is>
      </c>
      <c r="D16" t="inlineStr">
        <is>
          <t>TSX</t>
        </is>
      </c>
      <c r="E16" t="inlineStr">
        <is>
          <t>CAD</t>
        </is>
      </c>
      <c r="F16" t="inlineStr">
        <is>
          <t>EQX</t>
        </is>
      </c>
      <c r="G16" t="inlineStr">
        <is>
          <t>Equinox Gold North America unit</t>
        </is>
      </c>
    </row>
    <row r="17">
      <c r="A17" t="inlineStr">
        <is>
          <t>Fortuna Mining Corp</t>
        </is>
      </c>
      <c r="B17" t="inlineStr">
        <is>
          <t>Fortuna Mining Corp</t>
        </is>
      </c>
      <c r="C17" t="inlineStr">
        <is>
          <t>FVI.TO</t>
        </is>
      </c>
      <c r="D17" t="inlineStr">
        <is>
          <t>TSX</t>
        </is>
      </c>
      <c r="E17" t="inlineStr">
        <is>
          <t>CAD</t>
        </is>
      </c>
      <c r="F17" t="inlineStr">
        <is>
          <t>FSM</t>
        </is>
      </c>
      <c r="G17" t="inlineStr"/>
    </row>
    <row r="18">
      <c r="A18" t="inlineStr">
        <is>
          <t>Freda Rebecca Gold Mine</t>
        </is>
      </c>
      <c r="B18" t="inlineStr"/>
      <c r="C18" t="inlineStr"/>
      <c r="D18" t="inlineStr"/>
      <c r="E18" t="inlineStr"/>
      <c r="F18" t="inlineStr"/>
      <c r="G18" t="inlineStr">
        <is>
          <t>No listing. Asa Resource Group (AIM) suspended 2017; mine now held by Kuvimba Mining House (Zimbabwe state)</t>
        </is>
      </c>
    </row>
    <row r="19">
      <c r="A19" t="inlineStr">
        <is>
          <t>G Ex Australia Pty Ltd</t>
        </is>
      </c>
      <c r="B19" t="inlineStr"/>
      <c r="C19" t="inlineStr"/>
      <c r="D19" t="inlineStr"/>
      <c r="E19" t="inlineStr"/>
      <c r="F19" t="inlineStr"/>
      <c r="G19" t="inlineStr">
        <is>
          <t>No listing found (likely Dynamics G-Ex Pty Ltd, a private geology supplier - unconfirmed)</t>
        </is>
      </c>
    </row>
    <row r="20">
      <c r="A20" t="inlineStr">
        <is>
          <t>Genesis Minerals Limited</t>
        </is>
      </c>
      <c r="B20" t="inlineStr">
        <is>
          <t>Genesis Minerals Ltd</t>
        </is>
      </c>
      <c r="C20" t="inlineStr">
        <is>
          <t>GMD.AX</t>
        </is>
      </c>
      <c r="D20" t="inlineStr">
        <is>
          <t>ASX</t>
        </is>
      </c>
      <c r="E20" t="inlineStr">
        <is>
          <t>AUD</t>
        </is>
      </c>
      <c r="F20" t="inlineStr"/>
      <c r="G20" t="inlineStr"/>
    </row>
    <row r="21">
      <c r="A21" t="inlineStr">
        <is>
          <t>Gold Fields Limited</t>
        </is>
      </c>
      <c r="B21" t="inlineStr">
        <is>
          <t>Gold Fields Ltd</t>
        </is>
      </c>
      <c r="C21" t="inlineStr">
        <is>
          <t>GFI</t>
        </is>
      </c>
      <c r="D21" t="inlineStr">
        <is>
          <t>NYSE</t>
        </is>
      </c>
      <c r="E21" t="inlineStr">
        <is>
          <t>USD</t>
        </is>
      </c>
      <c r="F21" t="inlineStr">
        <is>
          <t>GFI.JO</t>
        </is>
      </c>
      <c r="G21" t="inlineStr"/>
    </row>
    <row r="22">
      <c r="A22" t="inlineStr">
        <is>
          <t>Gold Road Resources</t>
        </is>
      </c>
      <c r="B22" t="inlineStr">
        <is>
          <t>Gold Road Resources Ltd</t>
        </is>
      </c>
      <c r="C22" t="inlineStr">
        <is>
          <t>GOR.AX</t>
        </is>
      </c>
      <c r="D22" t="inlineStr">
        <is>
          <t>ASX</t>
        </is>
      </c>
      <c r="E22" t="inlineStr">
        <is>
          <t>AUD</t>
        </is>
      </c>
      <c r="F22" t="inlineStr">
        <is>
          <t>ELKMF</t>
        </is>
      </c>
      <c r="G22" t="inlineStr">
        <is>
          <t>Taken over by Gold Fields; last traded 26 Sep 2025</t>
        </is>
      </c>
    </row>
    <row r="23">
      <c r="A23" t="inlineStr">
        <is>
          <t>Golden Spur Resources Pty Ltd</t>
        </is>
      </c>
      <c r="B23" t="inlineStr">
        <is>
          <t>Bellevue Gold Ltd</t>
        </is>
      </c>
      <c r="C23" t="inlineStr">
        <is>
          <t>BGL.AX</t>
        </is>
      </c>
      <c r="D23" t="inlineStr">
        <is>
          <t>ASX</t>
        </is>
      </c>
      <c r="E23" t="inlineStr">
        <is>
          <t>AUD</t>
        </is>
      </c>
      <c r="F23" t="inlineStr"/>
      <c r="G23" t="inlineStr">
        <is>
          <t>Subsidiary of Bellevue Gold</t>
        </is>
      </c>
    </row>
    <row r="24">
      <c r="A24" t="inlineStr">
        <is>
          <t>Golden Star (Wassa) Ltd</t>
        </is>
      </c>
      <c r="B24" t="inlineStr">
        <is>
          <t>Chifeng Jilong Gold Mining Co Ltd</t>
        </is>
      </c>
      <c r="C24" t="inlineStr">
        <is>
          <t>600988.SS</t>
        </is>
      </c>
      <c r="D24" t="inlineStr">
        <is>
          <t>SSE</t>
        </is>
      </c>
      <c r="E24" t="inlineStr">
        <is>
          <t>CNY</t>
        </is>
      </c>
      <c r="F24" t="inlineStr">
        <is>
          <t>6693.HK</t>
        </is>
      </c>
      <c r="G24" t="inlineStr">
        <is>
          <t>Golden Star Resources (GSC.TO/GSS) owned Wassa until Chifeng bought it on 28 Jan 2022</t>
        </is>
      </c>
    </row>
    <row r="25">
      <c r="A25" t="inlineStr">
        <is>
          <t>Grupo Minero Bacis S.A. de C.V.</t>
        </is>
      </c>
      <c r="B25" t="inlineStr"/>
      <c r="C25" t="inlineStr"/>
      <c r="D25" t="inlineStr"/>
      <c r="E25" t="inlineStr"/>
      <c r="F25" t="inlineStr"/>
      <c r="G25" t="inlineStr">
        <is>
          <t>Private (Mexico)</t>
        </is>
      </c>
    </row>
    <row r="26">
      <c r="A26" t="inlineStr">
        <is>
          <t>Harmony Gold Mining Company Ltd</t>
        </is>
      </c>
      <c r="B26" t="inlineStr">
        <is>
          <t>Harmony Gold Mining Co Ltd</t>
        </is>
      </c>
      <c r="C26" t="inlineStr">
        <is>
          <t>HMY</t>
        </is>
      </c>
      <c r="D26" t="inlineStr">
        <is>
          <t>NYSE</t>
        </is>
      </c>
      <c r="E26" t="inlineStr">
        <is>
          <t>USD</t>
        </is>
      </c>
      <c r="F26" t="inlineStr">
        <is>
          <t>HAR.JO</t>
        </is>
      </c>
      <c r="G26" t="inlineStr"/>
    </row>
    <row r="27">
      <c r="A27" t="inlineStr">
        <is>
          <t>Hellyer Gold Mines Pty Ltd</t>
        </is>
      </c>
      <c r="B27" t="inlineStr"/>
      <c r="C27" t="inlineStr"/>
      <c r="D27" t="inlineStr"/>
      <c r="E27" t="inlineStr"/>
      <c r="F27" t="inlineStr"/>
      <c r="G27" t="inlineStr">
        <is>
          <t>No listing. Parent NQ Minerals (Aquis) went into administration Aug 2021; now privately owned</t>
        </is>
      </c>
    </row>
    <row r="28">
      <c r="A28" t="inlineStr">
        <is>
          <t>Hummingbird Resources plc.</t>
        </is>
      </c>
      <c r="B28" t="inlineStr">
        <is>
          <t>Hummingbird Resources plc</t>
        </is>
      </c>
      <c r="C28" t="inlineStr">
        <is>
          <t>HUM.L</t>
        </is>
      </c>
      <c r="D28" t="inlineStr">
        <is>
          <t>LSE AIM</t>
        </is>
      </c>
      <c r="E28" t="inlineStr">
        <is>
          <t>GBp</t>
        </is>
      </c>
      <c r="F28" t="inlineStr"/>
      <c r="G28" t="inlineStr">
        <is>
          <t>Taken private by Nioko Resources; last traded on AIM 28 Feb 2025</t>
        </is>
      </c>
    </row>
    <row r="29">
      <c r="A29" t="inlineStr">
        <is>
          <t>IAMGOLD</t>
        </is>
      </c>
      <c r="B29" t="inlineStr">
        <is>
          <t>IAMGOLD Corp</t>
        </is>
      </c>
      <c r="C29" t="inlineStr">
        <is>
          <t>IMG.TO</t>
        </is>
      </c>
      <c r="D29" t="inlineStr">
        <is>
          <t>TSX</t>
        </is>
      </c>
      <c r="E29" t="inlineStr">
        <is>
          <t>CAD</t>
        </is>
      </c>
      <c r="F29" t="inlineStr">
        <is>
          <t>IAG</t>
        </is>
      </c>
      <c r="G29" t="inlineStr"/>
    </row>
    <row r="30">
      <c r="A30" t="inlineStr">
        <is>
          <t>JSC "AK ALTYNALMAS"</t>
        </is>
      </c>
      <c r="B30" t="inlineStr"/>
      <c r="C30" t="inlineStr"/>
      <c r="D30" t="inlineStr"/>
      <c r="E30" t="inlineStr"/>
      <c r="F30" t="inlineStr"/>
      <c r="G30" t="inlineStr">
        <is>
          <t>Private (Kazakhstan); shares registered on KASE but not traded</t>
        </is>
      </c>
    </row>
    <row r="31">
      <c r="A31" t="inlineStr">
        <is>
          <t>K92 Mining Ltd</t>
        </is>
      </c>
      <c r="B31" t="inlineStr">
        <is>
          <t>K92 Mining Inc</t>
        </is>
      </c>
      <c r="C31" t="inlineStr">
        <is>
          <t>KNT.TO</t>
        </is>
      </c>
      <c r="D31" t="inlineStr">
        <is>
          <t>TSX</t>
        </is>
      </c>
      <c r="E31" t="inlineStr">
        <is>
          <t>CAD</t>
        </is>
      </c>
      <c r="F31" t="inlineStr">
        <is>
          <t>KNTNF</t>
        </is>
      </c>
      <c r="G31" t="inlineStr"/>
    </row>
    <row r="32">
      <c r="A32" t="inlineStr">
        <is>
          <t>Kinross Gold Inc.</t>
        </is>
      </c>
      <c r="B32" t="inlineStr">
        <is>
          <t>Kinross Gold Corp</t>
        </is>
      </c>
      <c r="C32" t="inlineStr">
        <is>
          <t>K.TO</t>
        </is>
      </c>
      <c r="D32" t="inlineStr">
        <is>
          <t>TSX</t>
        </is>
      </c>
      <c r="E32" t="inlineStr">
        <is>
          <t>CAD</t>
        </is>
      </c>
      <c r="F32" t="inlineStr">
        <is>
          <t>KGC</t>
        </is>
      </c>
      <c r="G32" t="inlineStr"/>
    </row>
    <row r="33">
      <c r="A33" t="inlineStr">
        <is>
          <t>Lane Xang Minerals Limited (LXML)</t>
        </is>
      </c>
      <c r="B33" t="inlineStr">
        <is>
          <t>Chifeng Jilin Gold Mining Co Ltd</t>
        </is>
      </c>
      <c r="C33" t="inlineStr">
        <is>
          <t>600988.SS</t>
        </is>
      </c>
      <c r="D33" t="inlineStr">
        <is>
          <t>SSE</t>
        </is>
      </c>
      <c r="E33" t="inlineStr">
        <is>
          <t>CNY</t>
        </is>
      </c>
      <c r="F33" t="inlineStr">
        <is>
          <t>6693.HK</t>
        </is>
      </c>
      <c r="G33" t="inlineStr">
        <is>
          <t>Sepon mine; bought by Chifeng from MMG on 30 Nov 2018</t>
        </is>
      </c>
    </row>
    <row r="34">
      <c r="A34" t="inlineStr">
        <is>
          <t>Mandalay Resources – Björkdalsgruvan AB</t>
        </is>
      </c>
      <c r="B34" t="inlineStr">
        <is>
          <t>Alkane Resources Ltd</t>
        </is>
      </c>
      <c r="C34" t="inlineStr">
        <is>
          <t>ALK.AX</t>
        </is>
      </c>
      <c r="D34" t="inlineStr">
        <is>
          <t>ASX</t>
        </is>
      </c>
      <c r="E34" t="inlineStr">
        <is>
          <t>AUD</t>
        </is>
      </c>
      <c r="F34" t="inlineStr">
        <is>
          <t>ALK.TO;MND.TO</t>
        </is>
      </c>
      <c r="G34" t="inlineStr">
        <is>
          <t>Mandalay Resources (MND.TO) owned Björkdal until its merger with Alkane on 5 Aug 2025</t>
        </is>
      </c>
    </row>
    <row r="35">
      <c r="A35" t="inlineStr">
        <is>
          <t>McEwen Mining - Black Fox Mine</t>
        </is>
      </c>
      <c r="B35" t="inlineStr">
        <is>
          <t>McEwen Mining Inc</t>
        </is>
      </c>
      <c r="C35" t="inlineStr">
        <is>
          <t>MUX</t>
        </is>
      </c>
      <c r="D35" t="inlineStr">
        <is>
          <t>NYSE</t>
        </is>
      </c>
      <c r="E35" t="inlineStr">
        <is>
          <t>USD</t>
        </is>
      </c>
      <c r="F35" t="inlineStr">
        <is>
          <t>MUX.TO</t>
        </is>
      </c>
      <c r="G35" t="inlineStr">
        <is>
          <t>Black Fox bought by McEwen from Primero on 6 Oct 2017</t>
        </is>
      </c>
    </row>
    <row r="36">
      <c r="A36" t="inlineStr">
        <is>
          <t>Mensin Gold Bibiani Limited</t>
        </is>
      </c>
      <c r="B36" t="inlineStr">
        <is>
          <t>Asante Gold Corp</t>
        </is>
      </c>
      <c r="C36" t="inlineStr">
        <is>
          <t>ASE.V</t>
        </is>
      </c>
      <c r="D36" t="inlineStr">
        <is>
          <t>TSXV</t>
        </is>
      </c>
      <c r="E36" t="inlineStr">
        <is>
          <t>CAD</t>
        </is>
      </c>
      <c r="F36" t="inlineStr">
        <is>
          <t>ASE.CN;ASGOF</t>
        </is>
      </c>
      <c r="G36" t="inlineStr">
        <is>
          <t>Subsidiary of Asante Gold since 19 Aug 2021 (bought from Resolute)</t>
        </is>
      </c>
    </row>
    <row r="37">
      <c r="A37" t="inlineStr">
        <is>
          <t>Minera Las Cenizas S.A.</t>
        </is>
      </c>
      <c r="B37" t="inlineStr"/>
      <c r="C37" t="inlineStr"/>
      <c r="D37" t="inlineStr"/>
      <c r="E37" t="inlineStr"/>
      <c r="F37" t="inlineStr"/>
      <c r="G37" t="inlineStr">
        <is>
          <t>Private (Chile)</t>
        </is>
      </c>
    </row>
    <row r="38">
      <c r="A38" t="inlineStr">
        <is>
          <t>Mineros - Argentina</t>
        </is>
      </c>
      <c r="B38" t="inlineStr">
        <is>
          <t>Mineros SA</t>
        </is>
      </c>
      <c r="C38" t="inlineStr">
        <is>
          <t>MSA.TO</t>
        </is>
      </c>
      <c r="D38" t="inlineStr">
        <is>
          <t>TSX</t>
        </is>
      </c>
      <c r="E38" t="inlineStr">
        <is>
          <t>CAD</t>
        </is>
      </c>
      <c r="F38" t="inlineStr"/>
      <c r="G38" t="inlineStr">
        <is>
          <t>Mineros SA (Colombia); TSX listing from 19 Nov 2021. Argentine Gualcamayo mine sold 2023</t>
        </is>
      </c>
    </row>
    <row r="39">
      <c r="A39" t="inlineStr">
        <is>
          <t>Model Earth</t>
        </is>
      </c>
      <c r="B39" t="inlineStr"/>
      <c r="C39" t="inlineStr"/>
      <c r="D39" t="inlineStr"/>
      <c r="E39" t="inlineStr"/>
      <c r="F39" t="inlineStr"/>
      <c r="G39" t="inlineStr">
        <is>
          <t>Private geology consultancy (Perth) - no listing (identity unconfirmed)</t>
        </is>
      </c>
    </row>
    <row r="40">
      <c r="A40" t="inlineStr">
        <is>
          <t>Mt Weld Mining Pty Limited</t>
        </is>
      </c>
      <c r="B40" t="inlineStr">
        <is>
          <t>Lynas Rare Earths Ltd</t>
        </is>
      </c>
      <c r="C40" t="inlineStr">
        <is>
          <t>LYC.AX</t>
        </is>
      </c>
      <c r="D40" t="inlineStr">
        <is>
          <t>ASX</t>
        </is>
      </c>
      <c r="E40" t="inlineStr">
        <is>
          <t>AUD</t>
        </is>
      </c>
      <c r="F40" t="inlineStr"/>
      <c r="G40" t="inlineStr"/>
    </row>
    <row r="41">
      <c r="A41" t="inlineStr">
        <is>
          <t>Nalunaq A/S</t>
        </is>
      </c>
      <c r="B41" t="inlineStr">
        <is>
          <t>Amaroq Minerals Ltd</t>
        </is>
      </c>
      <c r="C41" t="inlineStr">
        <is>
          <t>AMRQ.L</t>
        </is>
      </c>
      <c r="D41" t="inlineStr">
        <is>
          <t>LSE</t>
        </is>
      </c>
      <c r="E41" t="inlineStr">
        <is>
          <t>GBp</t>
        </is>
      </c>
      <c r="F41" t="inlineStr">
        <is>
          <t>AMRQ.IC</t>
        </is>
      </c>
      <c r="G41" t="inlineStr">
        <is>
          <t>Subsidiary of Amaroq (formerly AEX Gold). Left the TSXV 19 Mar 2026; LSE since 2020</t>
        </is>
      </c>
    </row>
    <row r="42">
      <c r="A42" t="inlineStr">
        <is>
          <t>Navoi Mining &amp; Metallurgy Company (NGMK)</t>
        </is>
      </c>
      <c r="B42" t="inlineStr"/>
      <c r="C42" t="inlineStr"/>
      <c r="D42" t="inlineStr"/>
      <c r="E42" t="inlineStr"/>
      <c r="F42" t="inlineStr"/>
      <c r="G42" t="inlineStr">
        <is>
          <t>State-owned (Uzbekistan); only Eurobonds listed, IPO paused</t>
        </is>
      </c>
    </row>
    <row r="43">
      <c r="A43" t="inlineStr">
        <is>
          <t>New Found Gold Corp</t>
        </is>
      </c>
      <c r="B43" t="inlineStr">
        <is>
          <t>New Found Gold Corp</t>
        </is>
      </c>
      <c r="C43" t="inlineStr">
        <is>
          <t>NFGC.TO</t>
        </is>
      </c>
      <c r="D43" t="inlineStr">
        <is>
          <t>TSX</t>
        </is>
      </c>
      <c r="E43" t="inlineStr">
        <is>
          <t>CAD</t>
        </is>
      </c>
      <c r="F43" t="inlineStr">
        <is>
          <t>NFGC</t>
        </is>
      </c>
      <c r="G43" t="inlineStr">
        <is>
          <t>TSXV (NFG) until 26 Aug 2026, then TSX (NFGC)</t>
        </is>
      </c>
    </row>
    <row r="44">
      <c r="A44" t="inlineStr">
        <is>
          <t>NQM GOLD 2 PTY LTD</t>
        </is>
      </c>
      <c r="B44" t="inlineStr"/>
      <c r="C44" t="inlineStr"/>
      <c r="D44" t="inlineStr"/>
      <c r="E44" t="inlineStr"/>
      <c r="F44" t="inlineStr"/>
      <c r="G44" t="inlineStr">
        <is>
          <t>Pajingo mine. Parent Shandong Yulong Gold (601028.SS) from Nov 2022 until it delisted on 27 May 2025; no listed parent now</t>
        </is>
      </c>
    </row>
    <row r="45">
      <c r="A45" t="inlineStr">
        <is>
          <t>OceanaGold (Philippines) Inc.</t>
        </is>
      </c>
      <c r="B45" t="inlineStr">
        <is>
          <t>OceanaGold Corp</t>
        </is>
      </c>
      <c r="C45" t="inlineStr">
        <is>
          <t>OGC.TO</t>
        </is>
      </c>
      <c r="D45" t="inlineStr">
        <is>
          <t>TSX</t>
        </is>
      </c>
      <c r="E45" t="inlineStr">
        <is>
          <t>CAD</t>
        </is>
      </c>
      <c r="F45" t="inlineStr">
        <is>
          <t>OGP.PS;OGC</t>
        </is>
      </c>
      <c r="G45" t="inlineStr">
        <is>
          <t>About 80% owned by OceanaGold; OGPI itself listed on the PSE on 13 May 2024 (OGP.PS)</t>
        </is>
      </c>
    </row>
    <row r="46">
      <c r="A46" t="inlineStr">
        <is>
          <t>Ora Banda Mining Ltd</t>
        </is>
      </c>
      <c r="B46" t="inlineStr">
        <is>
          <t>Ora Banda Mining Ltd</t>
        </is>
      </c>
      <c r="C46" t="inlineStr">
        <is>
          <t>OBM.AX</t>
        </is>
      </c>
      <c r="D46" t="inlineStr">
        <is>
          <t>ASX</t>
        </is>
      </c>
      <c r="E46" t="inlineStr">
        <is>
          <t>AUD</t>
        </is>
      </c>
      <c r="F46" t="inlineStr"/>
      <c r="G46" t="inlineStr"/>
    </row>
    <row r="47">
      <c r="A47" t="inlineStr">
        <is>
          <t>Orla Mining Ltd</t>
        </is>
      </c>
      <c r="B47" t="inlineStr">
        <is>
          <t>Orla Mining Ltd</t>
        </is>
      </c>
      <c r="C47" t="inlineStr">
        <is>
          <t>OLA.TO</t>
        </is>
      </c>
      <c r="D47" t="inlineStr">
        <is>
          <t>TSX</t>
        </is>
      </c>
      <c r="E47" t="inlineStr">
        <is>
          <t>CAD</t>
        </is>
      </c>
      <c r="F47" t="inlineStr"/>
      <c r="G47" t="inlineStr">
        <is>
          <t>Taken over by Equinox Gold on 31 Jul 2026 (1 EQX share per Orla share)</t>
        </is>
      </c>
    </row>
    <row r="48">
      <c r="A48" t="inlineStr">
        <is>
          <t>Pantoro Gold Limited</t>
        </is>
      </c>
      <c r="B48" t="inlineStr">
        <is>
          <t>Pantoro Gold Ltd</t>
        </is>
      </c>
      <c r="C48" t="inlineStr">
        <is>
          <t>PNR.AX</t>
        </is>
      </c>
      <c r="D48" t="inlineStr">
        <is>
          <t>ASX</t>
        </is>
      </c>
      <c r="E48" t="inlineStr">
        <is>
          <t>AUD</t>
        </is>
      </c>
      <c r="F48" t="inlineStr"/>
      <c r="G48" t="inlineStr"/>
    </row>
    <row r="49">
      <c r="A49" t="inlineStr">
        <is>
          <t>Premier Gold Mines USA Inc</t>
        </is>
      </c>
      <c r="B49" t="inlineStr">
        <is>
          <t>i-80 Gold Corp</t>
        </is>
      </c>
      <c r="C49" t="inlineStr">
        <is>
          <t>IAU.TO</t>
        </is>
      </c>
      <c r="D49" t="inlineStr">
        <is>
          <t>TSX</t>
        </is>
      </c>
      <c r="E49" t="inlineStr">
        <is>
          <t>CAD</t>
        </is>
      </c>
      <c r="F49" t="inlineStr">
        <is>
          <t>IAUX;PG.TO</t>
        </is>
      </c>
      <c r="G49" t="inlineStr">
        <is>
          <t>Premier Gold Mines (PG.TO) until Equinox bought it on 7 Apr 2021; since then part of i-80 Gold (listed 13 Apr 2021)</t>
        </is>
      </c>
    </row>
    <row r="50">
      <c r="A50" t="inlineStr">
        <is>
          <t>PT J Resources Nusantara</t>
        </is>
      </c>
      <c r="B50" t="inlineStr">
        <is>
          <t>PT J Resources Asia Pasifik Tbk</t>
        </is>
      </c>
      <c r="C50" t="inlineStr">
        <is>
          <t>PSAB.JK</t>
        </is>
      </c>
      <c r="D50" t="inlineStr">
        <is>
          <t>IDX</t>
        </is>
      </c>
      <c r="E50" t="inlineStr">
        <is>
          <t>IDR</t>
        </is>
      </c>
      <c r="F50" t="inlineStr"/>
      <c r="G50" t="inlineStr"/>
    </row>
    <row r="51">
      <c r="A51" t="inlineStr">
        <is>
          <t>Pure Gold Mining</t>
        </is>
      </c>
      <c r="B51" t="inlineStr">
        <is>
          <t>Pure Gold Mining Inc</t>
        </is>
      </c>
      <c r="C51" t="inlineStr">
        <is>
          <t>PGM.V</t>
        </is>
      </c>
      <c r="D51" t="inlineStr">
        <is>
          <t>TSXV</t>
        </is>
      </c>
      <c r="E51" t="inlineStr">
        <is>
          <t>CAD</t>
        </is>
      </c>
      <c r="F51" t="inlineStr">
        <is>
          <t>LRTNF;PUR.L</t>
        </is>
      </c>
      <c r="G51" t="inlineStr">
        <is>
          <t>CCAA Oct 2022; delisted 2023; now part of West Red Lake Gold</t>
        </is>
      </c>
    </row>
    <row r="52">
      <c r="A52" t="inlineStr">
        <is>
          <t>Qkr Namibia Navachab Gold Mine (Pty) Ltd</t>
        </is>
      </c>
      <c r="B52" t="inlineStr"/>
      <c r="C52" t="inlineStr"/>
      <c r="D52" t="inlineStr"/>
      <c r="E52" t="inlineStr"/>
      <c r="F52" t="inlineStr"/>
      <c r="G52" t="inlineStr">
        <is>
          <t>Private (QKR Corporation 92.5%, Epangelo 7.5%)</t>
        </is>
      </c>
    </row>
    <row r="53">
      <c r="A53" t="inlineStr">
        <is>
          <t>Ramelius Resources Limited</t>
        </is>
      </c>
      <c r="B53" t="inlineStr">
        <is>
          <t>Ramelius Resources Ltd</t>
        </is>
      </c>
      <c r="C53" t="inlineStr">
        <is>
          <t>RMS.AX</t>
        </is>
      </c>
      <c r="D53" t="inlineStr">
        <is>
          <t>ASX</t>
        </is>
      </c>
      <c r="E53" t="inlineStr">
        <is>
          <t>AUD</t>
        </is>
      </c>
      <c r="F53" t="inlineStr"/>
      <c r="G53" t="inlineStr"/>
    </row>
    <row r="54">
      <c r="A54" t="inlineStr">
        <is>
          <t>Regis Resources Limited</t>
        </is>
      </c>
      <c r="B54" t="inlineStr">
        <is>
          <t>Regis Resources Ltd</t>
        </is>
      </c>
      <c r="C54" t="inlineStr">
        <is>
          <t>RRL.AX</t>
        </is>
      </c>
      <c r="D54" t="inlineStr">
        <is>
          <t>ASX</t>
        </is>
      </c>
      <c r="E54" t="inlineStr">
        <is>
          <t>AUD</t>
        </is>
      </c>
      <c r="F54" t="inlineStr"/>
      <c r="G54" t="inlineStr"/>
    </row>
    <row r="55">
      <c r="A55" t="inlineStr">
        <is>
          <t>Resolute Corporate Services</t>
        </is>
      </c>
      <c r="B55" t="inlineStr">
        <is>
          <t>Resolute Mining Ltd</t>
        </is>
      </c>
      <c r="C55" t="inlineStr">
        <is>
          <t>RSG.AX</t>
        </is>
      </c>
      <c r="D55" t="inlineStr">
        <is>
          <t>ASX</t>
        </is>
      </c>
      <c r="E55" t="inlineStr">
        <is>
          <t>AUD</t>
        </is>
      </c>
      <c r="F55" t="inlineStr">
        <is>
          <t>RSG.L</t>
        </is>
      </c>
      <c r="G55" t="inlineStr">
        <is>
          <t>Subsidiary of Resolute Mining</t>
        </is>
      </c>
    </row>
    <row r="56">
      <c r="A56" t="inlineStr">
        <is>
          <t>RG GOLD</t>
        </is>
      </c>
      <c r="B56" t="inlineStr">
        <is>
          <t>Zijin Gold International Co Ltd</t>
        </is>
      </c>
      <c r="C56" t="inlineStr">
        <is>
          <t>2259.HK</t>
        </is>
      </c>
      <c r="D56" t="inlineStr">
        <is>
          <t>HKEX</t>
        </is>
      </c>
      <c r="E56" t="inlineStr">
        <is>
          <t>HKD</t>
        </is>
      </c>
      <c r="F56" t="inlineStr">
        <is>
          <t>2899.HK</t>
        </is>
      </c>
      <c r="G56" t="inlineStr">
        <is>
          <t>Private (Verny Capital/RCF) until Zijin Gold bought it on 13 Oct 2025; Zijin Gold listed 30 Sep 2025</t>
        </is>
      </c>
    </row>
    <row r="57">
      <c r="A57" t="inlineStr">
        <is>
          <t>SALINAS GOLD MINERACAO LTDA</t>
        </is>
      </c>
      <c r="B57" t="inlineStr"/>
      <c r="C57" t="inlineStr"/>
      <c r="D57" t="inlineStr"/>
      <c r="E57" t="inlineStr"/>
      <c r="F57" t="inlineStr"/>
      <c r="G57" t="inlineStr">
        <is>
          <t>Private (Brazil; RiverMet Resource Capital)</t>
        </is>
      </c>
    </row>
    <row r="58">
      <c r="A58" t="inlineStr">
        <is>
          <t>Saudi Gold Refinery Company Ltd</t>
        </is>
      </c>
      <c r="B58" t="inlineStr"/>
      <c r="C58" t="inlineStr"/>
      <c r="D58" t="inlineStr"/>
      <c r="E58" t="inlineStr"/>
      <c r="F58" t="inlineStr"/>
      <c r="G58" t="inlineStr">
        <is>
          <t>Private (Al-Othaim group)</t>
        </is>
      </c>
    </row>
    <row r="59">
      <c r="A59" t="inlineStr">
        <is>
          <t>Spanish Mountain Gold Ltd.</t>
        </is>
      </c>
      <c r="B59" t="inlineStr">
        <is>
          <t>Spanish Mountain Gold Ltd</t>
        </is>
      </c>
      <c r="C59" t="inlineStr">
        <is>
          <t>SPA.V</t>
        </is>
      </c>
      <c r="D59" t="inlineStr">
        <is>
          <t>TSXV</t>
        </is>
      </c>
      <c r="E59" t="inlineStr">
        <is>
          <t>CAD</t>
        </is>
      </c>
      <c r="F59" t="inlineStr"/>
      <c r="G59" t="inlineStr"/>
    </row>
    <row r="60">
      <c r="A60" t="inlineStr">
        <is>
          <t>SSR Mining Inc.</t>
        </is>
      </c>
      <c r="B60" t="inlineStr">
        <is>
          <t>SSR Mining Inc</t>
        </is>
      </c>
      <c r="C60" t="inlineStr">
        <is>
          <t>SSRM</t>
        </is>
      </c>
      <c r="D60" t="inlineStr">
        <is>
          <t>NASDAQ</t>
        </is>
      </c>
      <c r="E60" t="inlineStr">
        <is>
          <t>USD</t>
        </is>
      </c>
      <c r="F60" t="inlineStr">
        <is>
          <t>SSRM.TO</t>
        </is>
      </c>
      <c r="G60" t="inlineStr"/>
    </row>
    <row r="61">
      <c r="A61" t="inlineStr">
        <is>
          <t>Standard Gold de Colombia S.A.S.</t>
        </is>
      </c>
      <c r="B61" t="inlineStr"/>
      <c r="C61" t="inlineStr"/>
      <c r="D61" t="inlineStr"/>
      <c r="E61" t="inlineStr"/>
      <c r="F61" t="inlineStr"/>
      <c r="G61" t="inlineStr">
        <is>
          <t>Private (Colombia) - no listed parent found</t>
        </is>
      </c>
    </row>
    <row r="62">
      <c r="A62" t="inlineStr">
        <is>
          <t>STLLR Gold Inc.</t>
        </is>
      </c>
      <c r="B62" t="inlineStr">
        <is>
          <t>STLLR Gold Inc</t>
        </is>
      </c>
      <c r="C62" t="inlineStr">
        <is>
          <t>STLR.TO</t>
        </is>
      </c>
      <c r="D62" t="inlineStr">
        <is>
          <t>TSX</t>
        </is>
      </c>
      <c r="E62" t="inlineStr">
        <is>
          <t>CAD</t>
        </is>
      </c>
      <c r="F62" t="inlineStr">
        <is>
          <t>ME.TO</t>
        </is>
      </c>
      <c r="G62" t="inlineStr"/>
    </row>
    <row r="63">
      <c r="A63" t="inlineStr">
        <is>
          <t>Tumad</t>
        </is>
      </c>
      <c r="B63" t="inlineStr"/>
      <c r="C63" t="inlineStr"/>
      <c r="D63" t="inlineStr"/>
      <c r="E63" t="inlineStr"/>
      <c r="F63" t="inlineStr"/>
      <c r="G63" t="inlineStr">
        <is>
          <t>Private (Nurol Holding, Turkey)</t>
        </is>
      </c>
    </row>
    <row r="64">
      <c r="A64" t="inlineStr">
        <is>
          <t>Vault Minerals Limited</t>
        </is>
      </c>
      <c r="B64" t="inlineStr">
        <is>
          <t>Vault Minerals Ltd</t>
        </is>
      </c>
      <c r="C64" t="inlineStr">
        <is>
          <t>VAU.AX</t>
        </is>
      </c>
      <c r="D64" t="inlineStr">
        <is>
          <t>ASX</t>
        </is>
      </c>
      <c r="E64" t="inlineStr">
        <is>
          <t>AUD</t>
        </is>
      </c>
      <c r="F64" t="inlineStr">
        <is>
          <t>RED.AX</t>
        </is>
      </c>
      <c r="G64" t="inlineStr">
        <is>
          <t>Formerly Red 5 (RED.AX); merged with Silver Lake Jun 2024; Genesis Minerals takeover pending (vote late Oct 2026)</t>
        </is>
      </c>
    </row>
    <row r="65">
      <c r="A65" t="inlineStr">
        <is>
          <t>Wahgnion Gold Operations SA</t>
        </is>
      </c>
      <c r="B65" t="inlineStr"/>
      <c r="C65" t="inlineStr"/>
      <c r="D65" t="inlineStr"/>
      <c r="E65" t="inlineStr"/>
      <c r="F65" t="inlineStr"/>
      <c r="G65" t="inlineStr">
        <is>
          <t>State-owned (Burkina Faso, SOPAMIB) since 2024-25. Earlier owners: Teranga (TGZ.TO) to Feb 2021, Endeavour (EDV) to Jun 2023, Lilium (private)</t>
        </is>
      </c>
    </row>
    <row r="66">
      <c r="A66" t="inlineStr">
        <is>
          <t>Wesdome Gold Mines Ltd.</t>
        </is>
      </c>
      <c r="B66" t="inlineStr">
        <is>
          <t>Wesdome Gold Mines Ltd</t>
        </is>
      </c>
      <c r="C66" t="inlineStr">
        <is>
          <t>WDO.TO</t>
        </is>
      </c>
      <c r="D66" t="inlineStr">
        <is>
          <t>TSX</t>
        </is>
      </c>
      <c r="E66" t="inlineStr">
        <is>
          <t>CAD</t>
        </is>
      </c>
      <c r="F66" t="inlineStr"/>
      <c r="G66" t="inlineStr"/>
    </row>
    <row r="67">
      <c r="A67" t="inlineStr">
        <is>
          <t>West African Resources Ltd</t>
        </is>
      </c>
      <c r="B67" t="inlineStr">
        <is>
          <t>West African Resources Ltd</t>
        </is>
      </c>
      <c r="C67" t="inlineStr">
        <is>
          <t>WAF.AX</t>
        </is>
      </c>
      <c r="D67" t="inlineStr">
        <is>
          <t>ASX</t>
        </is>
      </c>
      <c r="E67" t="inlineStr">
        <is>
          <t>AUD</t>
        </is>
      </c>
      <c r="F67" t="inlineStr"/>
      <c r="G67" t="inlineStr"/>
    </row>
    <row r="68">
      <c r="A68" t="inlineStr">
        <is>
          <t>Westgold Resources Limited</t>
        </is>
      </c>
      <c r="B68" t="inlineStr">
        <is>
          <t>Westgold Resources Ltd</t>
        </is>
      </c>
      <c r="C68" t="inlineStr">
        <is>
          <t>WGX.AX</t>
        </is>
      </c>
      <c r="D68" t="inlineStr">
        <is>
          <t>ASX</t>
        </is>
      </c>
      <c r="E68" t="inlineStr">
        <is>
          <t>AUD</t>
        </is>
      </c>
      <c r="F68" t="inlineStr"/>
      <c r="G68" t="inlineStr"/>
    </row>
    <row r="69">
      <c r="A69" t="inlineStr">
        <is>
          <t>Wiluna Operations Pty Ltd</t>
        </is>
      </c>
      <c r="B69" t="inlineStr">
        <is>
          <t>Wiluna Mining Corp Ltd (formerly Blackham Resources)</t>
        </is>
      </c>
      <c r="C69" t="inlineStr">
        <is>
          <t>WMC.AX</t>
        </is>
      </c>
      <c r="D69" t="inlineStr">
        <is>
          <t>ASX</t>
        </is>
      </c>
      <c r="E69" t="inlineStr">
        <is>
          <t>AUD</t>
        </is>
      </c>
      <c r="F69" t="inlineStr">
        <is>
          <t>BLK.AX;WMX.AX</t>
        </is>
      </c>
      <c r="G69" t="inlineStr">
        <is>
          <t>Parent suspended Jul 2022 (administration), removed from ASX Apr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2" customWidth="1" min="2" max="2"/>
    <col width="9" customWidth="1" min="3" max="3"/>
    <col width="14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currency</t>
        </is>
      </c>
      <c r="D1" s="1" t="inlineStr">
        <is>
          <t>fiscal year ends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  <c r="M1" s="1" t="inlineStr">
        <is>
          <t>2025</t>
        </is>
      </c>
      <c r="N1" s="1" t="inlineStr">
        <is>
          <t>2026</t>
        </is>
      </c>
    </row>
    <row r="2">
      <c r="A2" t="inlineStr">
        <is>
          <t>2259.HK</t>
        </is>
      </c>
      <c r="B2" t="inlineStr">
        <is>
          <t>Zijin Gold International Co Ltd</t>
        </is>
      </c>
      <c r="C2" t="inlineStr">
        <is>
          <t>USD</t>
        </is>
      </c>
      <c r="D2" t="inlineStr">
        <is>
          <t>31 Dec</t>
        </is>
      </c>
      <c r="J2" s="2" t="n">
        <v>1817.98</v>
      </c>
      <c r="K2" s="2" t="n">
        <v>2262.36</v>
      </c>
      <c r="L2" s="2" t="n">
        <v>2989.93</v>
      </c>
      <c r="M2" s="2" t="n">
        <v>5383.48</v>
      </c>
    </row>
    <row r="3">
      <c r="A3" t="inlineStr">
        <is>
          <t>600988.SS</t>
        </is>
      </c>
      <c r="B3" t="inlineStr">
        <is>
          <t>Chifeng Jilong Gold Mining Co Ltd</t>
        </is>
      </c>
      <c r="C3" t="inlineStr">
        <is>
          <t>CNY</t>
        </is>
      </c>
      <c r="D3" t="inlineStr">
        <is>
          <t>31 Dec</t>
        </is>
      </c>
      <c r="I3" s="2" t="n">
        <v>3782.62</v>
      </c>
      <c r="J3" s="2" t="n">
        <v>6266.79</v>
      </c>
      <c r="K3" s="2" t="n">
        <v>7220.95</v>
      </c>
      <c r="L3" s="2" t="n">
        <v>9025.82</v>
      </c>
      <c r="M3" s="2" t="n">
        <v>12638.51</v>
      </c>
    </row>
    <row r="4">
      <c r="A4" t="inlineStr">
        <is>
          <t>AAUC.TO</t>
        </is>
      </c>
      <c r="B4" t="inlineStr">
        <is>
          <t>Allied Gold Corp</t>
        </is>
      </c>
      <c r="C4" t="inlineStr">
        <is>
          <t>USD</t>
        </is>
      </c>
      <c r="D4" t="inlineStr">
        <is>
          <t>31 Dec</t>
        </is>
      </c>
      <c r="I4" s="2" t="n">
        <v>489.33</v>
      </c>
      <c r="J4" s="2" t="n">
        <v>669.55</v>
      </c>
      <c r="K4" s="2" t="n">
        <v>655.6900000000001</v>
      </c>
      <c r="L4" s="2" t="n">
        <v>730.38</v>
      </c>
      <c r="M4" s="2" t="n">
        <v>1331.82</v>
      </c>
    </row>
    <row r="5">
      <c r="A5" t="inlineStr">
        <is>
          <t>AGI.TO</t>
        </is>
      </c>
      <c r="B5" t="inlineStr">
        <is>
          <t>Alamos Gold Inc</t>
        </is>
      </c>
      <c r="C5" t="inlineStr">
        <is>
          <t>USD</t>
        </is>
      </c>
      <c r="D5" t="inlineStr">
        <is>
          <t>31 Dec</t>
        </is>
      </c>
      <c r="I5" s="2" t="n">
        <v>823.6</v>
      </c>
      <c r="J5" s="2" t="n">
        <v>821.2</v>
      </c>
      <c r="K5" s="2" t="n">
        <v>1023.3</v>
      </c>
      <c r="L5" s="2" t="n">
        <v>1346.9</v>
      </c>
      <c r="M5" s="2" t="n">
        <v>1808.8</v>
      </c>
    </row>
    <row r="6">
      <c r="A6" t="inlineStr">
        <is>
          <t>ALK.AX</t>
        </is>
      </c>
      <c r="B6" t="inlineStr">
        <is>
          <t>Alkane Resources Ltd</t>
        </is>
      </c>
      <c r="C6" t="inlineStr">
        <is>
          <t>AUD</t>
        </is>
      </c>
      <c r="D6" t="inlineStr">
        <is>
          <t>30 Jun</t>
        </is>
      </c>
      <c r="J6" s="2" t="n">
        <v>165.01</v>
      </c>
      <c r="K6" s="2" t="n">
        <v>190.53</v>
      </c>
      <c r="L6" s="2" t="n">
        <v>172.99</v>
      </c>
      <c r="M6" s="2" t="n">
        <v>262.36</v>
      </c>
      <c r="N6" s="2" t="n">
        <v>935.8200000000001</v>
      </c>
    </row>
    <row r="7">
      <c r="A7" t="inlineStr">
        <is>
          <t>AMRQ.L</t>
        </is>
      </c>
      <c r="B7" t="inlineStr">
        <is>
          <t>Amaroq Minerals Ltd</t>
        </is>
      </c>
      <c r="C7" t="inlineStr">
        <is>
          <t>CAD</t>
        </is>
      </c>
      <c r="D7" t="inlineStr">
        <is>
          <t>31 Dec</t>
        </is>
      </c>
      <c r="I7" s="2" t="n">
        <v>0</v>
      </c>
      <c r="J7" s="2" t="n">
        <v>0</v>
      </c>
      <c r="K7" s="2" t="n">
        <v>0</v>
      </c>
      <c r="L7" s="2" t="n">
        <v>0</v>
      </c>
    </row>
    <row r="8">
      <c r="A8" t="inlineStr">
        <is>
          <t>AR.TO</t>
        </is>
      </c>
      <c r="B8" t="inlineStr">
        <is>
          <t>Argonaut Gold Inc</t>
        </is>
      </c>
      <c r="C8" t="inlineStr"/>
      <c r="D8" t="inlineStr"/>
    </row>
    <row r="9">
      <c r="A9" t="inlineStr">
        <is>
          <t>ASE.V</t>
        </is>
      </c>
      <c r="B9" t="inlineStr">
        <is>
          <t>Asante Gold Corp</t>
        </is>
      </c>
      <c r="C9" t="inlineStr">
        <is>
          <t>USD</t>
        </is>
      </c>
      <c r="D9" t="inlineStr">
        <is>
          <t>31 Dec</t>
        </is>
      </c>
      <c r="I9" s="2" t="n">
        <v>0</v>
      </c>
      <c r="J9" s="2" t="n">
        <v>205.99</v>
      </c>
      <c r="K9" s="2" t="n">
        <v>426.13</v>
      </c>
      <c r="L9" s="2" t="n">
        <v>458.88</v>
      </c>
      <c r="M9" s="2" t="n">
        <v>526.47</v>
      </c>
    </row>
    <row r="10">
      <c r="A10" t="inlineStr">
        <is>
          <t>AU</t>
        </is>
      </c>
      <c r="B10" t="inlineStr">
        <is>
          <t>AngloGold Ashanti plc</t>
        </is>
      </c>
      <c r="C10" t="inlineStr">
        <is>
          <t>USD</t>
        </is>
      </c>
      <c r="D10" t="inlineStr">
        <is>
          <t>31 Dec</t>
        </is>
      </c>
      <c r="I10" s="2" t="n">
        <v>4029</v>
      </c>
      <c r="J10" s="2" t="n">
        <v>4501</v>
      </c>
      <c r="K10" s="2" t="n">
        <v>4582</v>
      </c>
      <c r="L10" s="2" t="n">
        <v>5793</v>
      </c>
      <c r="M10" s="2" t="n">
        <v>9893</v>
      </c>
    </row>
    <row r="11">
      <c r="A11" t="inlineStr">
        <is>
          <t>AUMB.V</t>
        </is>
      </c>
      <c r="B11" t="inlineStr">
        <is>
          <t>1911 Gold Corp</t>
        </is>
      </c>
      <c r="C11" t="inlineStr">
        <is>
          <t>CAD</t>
        </is>
      </c>
      <c r="D11" t="inlineStr">
        <is>
          <t>31 Dec</t>
        </is>
      </c>
      <c r="I11" s="2" t="n">
        <v>9.67</v>
      </c>
      <c r="J11" s="2" t="n">
        <v>5.88</v>
      </c>
      <c r="K11" s="2" t="n">
        <v>0.73</v>
      </c>
      <c r="L11" s="2" t="n">
        <v>0</v>
      </c>
      <c r="M11" s="2" t="n">
        <v>0</v>
      </c>
    </row>
    <row r="12">
      <c r="A12" t="inlineStr">
        <is>
          <t>BGL.AX</t>
        </is>
      </c>
      <c r="B12" t="inlineStr">
        <is>
          <t>Bellevue Gold Ltd</t>
        </is>
      </c>
      <c r="C12" t="inlineStr">
        <is>
          <t>AUD</t>
        </is>
      </c>
      <c r="D12" t="inlineStr">
        <is>
          <t>30 Jun</t>
        </is>
      </c>
      <c r="L12" s="2" t="n">
        <v>298.41</v>
      </c>
      <c r="M12" s="3" t="n">
        <v>394.97</v>
      </c>
      <c r="N12" s="2" t="n">
        <v>576.26</v>
      </c>
    </row>
    <row r="13">
      <c r="A13" t="inlineStr">
        <is>
          <t>BTO.TO</t>
        </is>
      </c>
      <c r="B13" t="inlineStr">
        <is>
          <t>B2Gold Corp</t>
        </is>
      </c>
      <c r="C13" t="inlineStr">
        <is>
          <t>USD</t>
        </is>
      </c>
      <c r="D13" t="inlineStr">
        <is>
          <t>31 Dec</t>
        </is>
      </c>
      <c r="I13" s="2" t="n">
        <v>1762.26</v>
      </c>
      <c r="J13" s="2" t="n">
        <v>1732.59</v>
      </c>
      <c r="K13" s="2" t="n">
        <v>1934.27</v>
      </c>
      <c r="L13" s="2" t="n">
        <v>1902.03</v>
      </c>
      <c r="M13" s="2" t="n">
        <v>3061.24</v>
      </c>
    </row>
    <row r="14">
      <c r="A14" t="inlineStr">
        <is>
          <t>CERT.V</t>
        </is>
      </c>
      <c r="B14" t="inlineStr">
        <is>
          <t>Cerrado Gold Inc</t>
        </is>
      </c>
      <c r="C14" t="inlineStr">
        <is>
          <t>USD</t>
        </is>
      </c>
      <c r="D14" t="inlineStr">
        <is>
          <t>31 Dec</t>
        </is>
      </c>
      <c r="I14" s="2" t="n">
        <v>70.05</v>
      </c>
      <c r="J14" s="2" t="n">
        <v>90.36</v>
      </c>
      <c r="K14" s="2" t="n">
        <v>100.1</v>
      </c>
      <c r="L14" s="2" t="n">
        <v>116.17</v>
      </c>
      <c r="M14" s="2" t="n">
        <v>147.09</v>
      </c>
    </row>
    <row r="15">
      <c r="A15" t="inlineStr">
        <is>
          <t>CG.TO</t>
        </is>
      </c>
      <c r="B15" t="inlineStr">
        <is>
          <t>Centerra Gold Inc</t>
        </is>
      </c>
      <c r="C15" t="inlineStr">
        <is>
          <t>USD</t>
        </is>
      </c>
      <c r="D15" t="inlineStr">
        <is>
          <t>31 Dec</t>
        </is>
      </c>
      <c r="I15" s="2" t="n">
        <v>900.14</v>
      </c>
      <c r="J15" s="2" t="n">
        <v>850.1900000000001</v>
      </c>
      <c r="K15" s="2" t="n">
        <v>1094.9</v>
      </c>
      <c r="L15" s="2" t="n">
        <v>1214.5</v>
      </c>
      <c r="M15" s="2" t="n">
        <v>1384.56</v>
      </c>
    </row>
    <row r="16">
      <c r="A16" t="inlineStr">
        <is>
          <t>CXB.TO</t>
        </is>
      </c>
      <c r="B16" t="inlineStr">
        <is>
          <t>Calibre Mining Corp</t>
        </is>
      </c>
      <c r="C16" t="inlineStr">
        <is>
          <t>USD</t>
        </is>
      </c>
      <c r="D16" t="inlineStr">
        <is>
          <t>31 Dec</t>
        </is>
      </c>
      <c r="H16" s="2" t="n">
        <v>242.75</v>
      </c>
      <c r="I16" s="2" t="n">
        <v>328.13</v>
      </c>
      <c r="J16" s="2" t="n">
        <v>408.61</v>
      </c>
      <c r="K16" s="2" t="n">
        <v>561.7</v>
      </c>
      <c r="L16" s="2" t="n">
        <v>585.86</v>
      </c>
    </row>
    <row r="17">
      <c r="A17" t="inlineStr">
        <is>
          <t>CYL.AX</t>
        </is>
      </c>
      <c r="B17" t="inlineStr">
        <is>
          <t>Catalyst Metals Ltd</t>
        </is>
      </c>
      <c r="C17" t="inlineStr">
        <is>
          <t>AUD</t>
        </is>
      </c>
      <c r="D17" t="inlineStr">
        <is>
          <t>30 Jun</t>
        </is>
      </c>
      <c r="J17" s="2" t="n">
        <v>63.33</v>
      </c>
      <c r="K17" s="2" t="n">
        <v>63.94</v>
      </c>
      <c r="L17" s="3" t="n">
        <v>241.95</v>
      </c>
      <c r="M17" s="2" t="n">
        <v>361.41</v>
      </c>
      <c r="N17" s="2" t="n">
        <v>631.9400000000001</v>
      </c>
    </row>
    <row r="18">
      <c r="A18" t="inlineStr">
        <is>
          <t>ELD.TO</t>
        </is>
      </c>
      <c r="B18" t="inlineStr">
        <is>
          <t>Eldorado Gold Corp</t>
        </is>
      </c>
      <c r="C18" t="inlineStr">
        <is>
          <t>USD</t>
        </is>
      </c>
      <c r="D18" t="inlineStr">
        <is>
          <t>31 Dec</t>
        </is>
      </c>
      <c r="I18" s="2" t="n">
        <v>940.91</v>
      </c>
      <c r="J18" s="2" t="n">
        <v>871.98</v>
      </c>
      <c r="K18" s="2" t="n">
        <v>1008.5</v>
      </c>
      <c r="L18" s="2" t="n">
        <v>1322.58</v>
      </c>
      <c r="M18" s="2" t="n">
        <v>1818.86</v>
      </c>
    </row>
    <row r="19">
      <c r="A19" t="inlineStr">
        <is>
          <t>EQX.TO</t>
        </is>
      </c>
      <c r="B19" t="inlineStr">
        <is>
          <t>Equinox Gold Corp</t>
        </is>
      </c>
      <c r="C19" t="inlineStr">
        <is>
          <t>USD</t>
        </is>
      </c>
      <c r="D19" t="inlineStr">
        <is>
          <t>31 Dec</t>
        </is>
      </c>
      <c r="I19" s="2" t="n">
        <v>1082.29</v>
      </c>
      <c r="J19" s="2" t="n">
        <v>952.2</v>
      </c>
      <c r="K19" s="2" t="n">
        <v>1088.19</v>
      </c>
      <c r="L19" s="2" t="n">
        <v>912.84</v>
      </c>
      <c r="M19" s="2" t="n">
        <v>1817.19</v>
      </c>
    </row>
    <row r="20">
      <c r="A20" t="inlineStr">
        <is>
          <t>FVI.TO</t>
        </is>
      </c>
      <c r="B20" t="inlineStr">
        <is>
          <t>Fortuna Mining Corp</t>
        </is>
      </c>
      <c r="C20" t="inlineStr">
        <is>
          <t>USD</t>
        </is>
      </c>
      <c r="D20" t="inlineStr">
        <is>
          <t>31 Dec</t>
        </is>
      </c>
      <c r="I20" s="2" t="n">
        <v>599.85</v>
      </c>
      <c r="J20" s="2" t="n">
        <v>681.49</v>
      </c>
      <c r="K20" s="2" t="n">
        <v>842.4299999999999</v>
      </c>
      <c r="L20" s="2" t="n">
        <v>677.24</v>
      </c>
      <c r="M20" s="2" t="n">
        <v>947.0599999999999</v>
      </c>
    </row>
    <row r="21">
      <c r="A21" t="inlineStr">
        <is>
          <t>GFI</t>
        </is>
      </c>
      <c r="B21" t="inlineStr">
        <is>
          <t>Gold Fields Ltd</t>
        </is>
      </c>
      <c r="C21" t="inlineStr">
        <is>
          <t>USD</t>
        </is>
      </c>
      <c r="D21" t="inlineStr">
        <is>
          <t>31 Dec</t>
        </is>
      </c>
      <c r="I21" s="2" t="n">
        <v>4195.2</v>
      </c>
      <c r="J21" s="2" t="n">
        <v>4286.7</v>
      </c>
      <c r="K21" s="2" t="n">
        <v>4500.7</v>
      </c>
      <c r="L21" s="2" t="n">
        <v>5201.6</v>
      </c>
      <c r="M21" s="2" t="n">
        <v>8751.299999999999</v>
      </c>
    </row>
    <row r="22">
      <c r="A22" t="inlineStr">
        <is>
          <t>GMD.AX</t>
        </is>
      </c>
      <c r="B22" t="inlineStr">
        <is>
          <t>Genesis Minerals Ltd</t>
        </is>
      </c>
      <c r="C22" t="inlineStr">
        <is>
          <t>AUD</t>
        </is>
      </c>
      <c r="D22" t="inlineStr">
        <is>
          <t>30 Jun</t>
        </is>
      </c>
      <c r="K22" s="2" t="n">
        <v>76.95999999999999</v>
      </c>
      <c r="L22" s="2" t="n">
        <v>438.59</v>
      </c>
      <c r="M22" s="2" t="n">
        <v>920.14</v>
      </c>
      <c r="N22" s="2" t="n">
        <v>1742.35</v>
      </c>
    </row>
    <row r="23">
      <c r="A23" t="inlineStr">
        <is>
          <t>GOR.AX</t>
        </is>
      </c>
      <c r="B23" t="inlineStr">
        <is>
          <t>Gold Road Resources Ltd</t>
        </is>
      </c>
      <c r="C23" t="inlineStr">
        <is>
          <t>AUD</t>
        </is>
      </c>
      <c r="D23" t="inlineStr">
        <is>
          <t>31 Dec</t>
        </is>
      </c>
      <c r="H23" s="2" t="n">
        <v>294.65</v>
      </c>
      <c r="I23" s="2" t="n">
        <v>274.76</v>
      </c>
      <c r="J23" s="2" t="n">
        <v>382.94</v>
      </c>
      <c r="K23" s="2" t="n">
        <v>472.12</v>
      </c>
      <c r="L23" s="2" t="n">
        <v>527.96</v>
      </c>
    </row>
    <row r="24">
      <c r="A24" t="inlineStr">
        <is>
          <t>HMY</t>
        </is>
      </c>
      <c r="B24" t="inlineStr">
        <is>
          <t>Harmony Gold Mining Co Ltd</t>
        </is>
      </c>
      <c r="C24" t="inlineStr">
        <is>
          <t>ZAR</t>
        </is>
      </c>
      <c r="D24" t="inlineStr">
        <is>
          <t>30 Jun</t>
        </is>
      </c>
      <c r="J24" s="2" t="n">
        <v>42645</v>
      </c>
      <c r="K24" s="2" t="n">
        <v>49275</v>
      </c>
      <c r="L24" s="2" t="n">
        <v>61379</v>
      </c>
      <c r="M24" s="2" t="n">
        <v>73896</v>
      </c>
      <c r="N24" s="2" t="n">
        <v>99238</v>
      </c>
    </row>
    <row r="25">
      <c r="A25" t="inlineStr">
        <is>
          <t>HUM.L</t>
        </is>
      </c>
      <c r="B25" t="inlineStr">
        <is>
          <t>Hummingbird Resources plc</t>
        </is>
      </c>
      <c r="C25" t="inlineStr"/>
      <c r="D25" t="inlineStr"/>
    </row>
    <row r="26">
      <c r="A26" t="inlineStr">
        <is>
          <t>IAU.TO</t>
        </is>
      </c>
      <c r="B26" t="inlineStr">
        <is>
          <t>i-80 Gold Corp</t>
        </is>
      </c>
      <c r="C26" t="inlineStr">
        <is>
          <t>USD</t>
        </is>
      </c>
      <c r="D26" t="inlineStr">
        <is>
          <t>31 Dec</t>
        </is>
      </c>
      <c r="J26" s="2" t="n">
        <v>36.96</v>
      </c>
      <c r="K26" s="2" t="n">
        <v>54.91</v>
      </c>
      <c r="L26" s="2" t="n">
        <v>50.34</v>
      </c>
      <c r="M26" s="2" t="n">
        <v>95.19</v>
      </c>
    </row>
    <row r="27">
      <c r="A27" t="inlineStr">
        <is>
          <t>IMG.TO</t>
        </is>
      </c>
      <c r="B27" t="inlineStr">
        <is>
          <t>IAMGOLD Corp</t>
        </is>
      </c>
      <c r="C27" t="inlineStr">
        <is>
          <t>USD</t>
        </is>
      </c>
      <c r="D27" t="inlineStr">
        <is>
          <t>31 Dec</t>
        </is>
      </c>
      <c r="I27" s="2" t="n">
        <v>875.5</v>
      </c>
      <c r="J27" s="2" t="n">
        <v>958.8</v>
      </c>
      <c r="K27" s="2" t="n">
        <v>987.1</v>
      </c>
      <c r="L27" s="2" t="n">
        <v>1633</v>
      </c>
      <c r="M27" s="2" t="n">
        <v>2852.8</v>
      </c>
    </row>
    <row r="28">
      <c r="A28" t="inlineStr">
        <is>
          <t>K.TO</t>
        </is>
      </c>
      <c r="B28" t="inlineStr">
        <is>
          <t>Kinross Gold Corp</t>
        </is>
      </c>
      <c r="C28" t="inlineStr">
        <is>
          <t>USD</t>
        </is>
      </c>
      <c r="D28" t="inlineStr">
        <is>
          <t>31 Dec</t>
        </is>
      </c>
      <c r="I28" s="2" t="n">
        <v>2599.6</v>
      </c>
      <c r="J28" s="2" t="n">
        <v>3455.1</v>
      </c>
      <c r="K28" s="2" t="n">
        <v>4239.7</v>
      </c>
      <c r="L28" s="2" t="n">
        <v>5148.8</v>
      </c>
      <c r="M28" s="2" t="n">
        <v>7051.1</v>
      </c>
    </row>
    <row r="29">
      <c r="A29" t="inlineStr">
        <is>
          <t>KNT.TO</t>
        </is>
      </c>
      <c r="B29" t="inlineStr">
        <is>
          <t>K92 Mining Inc</t>
        </is>
      </c>
      <c r="C29" t="inlineStr">
        <is>
          <t>USD</t>
        </is>
      </c>
      <c r="D29" t="inlineStr">
        <is>
          <t>31 Dec</t>
        </is>
      </c>
      <c r="I29" s="2" t="n">
        <v>154.33</v>
      </c>
      <c r="J29" s="2" t="n">
        <v>188.19</v>
      </c>
      <c r="K29" s="2" t="n">
        <v>200.25</v>
      </c>
      <c r="L29" s="2" t="n">
        <v>350.62</v>
      </c>
      <c r="M29" s="2" t="n">
        <v>595.25</v>
      </c>
    </row>
    <row r="30">
      <c r="A30" t="inlineStr">
        <is>
          <t>LYC.AX</t>
        </is>
      </c>
      <c r="B30" t="inlineStr">
        <is>
          <t>Lynas Rare Earths Ltd</t>
        </is>
      </c>
      <c r="C30" t="inlineStr">
        <is>
          <t>AUD</t>
        </is>
      </c>
      <c r="D30" t="inlineStr">
        <is>
          <t>30 Jun</t>
        </is>
      </c>
      <c r="J30" s="2" t="n">
        <v>920.01</v>
      </c>
      <c r="K30" s="3" t="n">
        <v>739.28</v>
      </c>
      <c r="L30" s="2" t="n">
        <v>463.29</v>
      </c>
      <c r="M30" s="2" t="n">
        <v>556.51</v>
      </c>
      <c r="N30" s="2" t="n">
        <v>977.95</v>
      </c>
    </row>
    <row r="31">
      <c r="A31" t="inlineStr">
        <is>
          <t>MSA.TO</t>
        </is>
      </c>
      <c r="B31" t="inlineStr">
        <is>
          <t>Mineros SA</t>
        </is>
      </c>
      <c r="C31" t="inlineStr">
        <is>
          <t>USD</t>
        </is>
      </c>
      <c r="D31" t="inlineStr">
        <is>
          <t>31 Dec</t>
        </is>
      </c>
      <c r="I31" s="2" t="n">
        <v>496.25</v>
      </c>
      <c r="J31" s="2" t="n">
        <v>414.94</v>
      </c>
      <c r="K31" s="2" t="n">
        <v>447.29</v>
      </c>
      <c r="L31" s="2" t="n">
        <v>538.5700000000001</v>
      </c>
      <c r="M31" s="2" t="n">
        <v>799.67</v>
      </c>
    </row>
    <row r="32">
      <c r="A32" t="inlineStr">
        <is>
          <t>MUX</t>
        </is>
      </c>
      <c r="B32" t="inlineStr">
        <is>
          <t>McEwen Mining Inc</t>
        </is>
      </c>
      <c r="C32" t="inlineStr">
        <is>
          <t>USD</t>
        </is>
      </c>
      <c r="D32" t="inlineStr">
        <is>
          <t>31 Dec</t>
        </is>
      </c>
      <c r="I32" s="2" t="n">
        <v>136.54</v>
      </c>
      <c r="J32" s="2" t="n">
        <v>110.42</v>
      </c>
      <c r="K32" s="2" t="n">
        <v>166.23</v>
      </c>
      <c r="L32" s="2" t="n">
        <v>174.48</v>
      </c>
      <c r="M32" s="2" t="n">
        <v>197.55</v>
      </c>
    </row>
    <row r="33">
      <c r="A33" t="inlineStr">
        <is>
          <t>NFGC.TO</t>
        </is>
      </c>
      <c r="B33" t="inlineStr">
        <is>
          <t>New Found Gold Corp</t>
        </is>
      </c>
      <c r="C33" t="inlineStr">
        <is>
          <t>CAD</t>
        </is>
      </c>
      <c r="D33" t="inlineStr">
        <is>
          <t>31 Dec</t>
        </is>
      </c>
      <c r="J33" s="2" t="n">
        <v>0</v>
      </c>
      <c r="K33" s="2" t="n">
        <v>0</v>
      </c>
      <c r="L33" s="2" t="n">
        <v>0</v>
      </c>
      <c r="M33" s="2" t="n">
        <v>5.81</v>
      </c>
    </row>
    <row r="34">
      <c r="A34" t="inlineStr">
        <is>
          <t>OBM.AX</t>
        </is>
      </c>
      <c r="B34" t="inlineStr">
        <is>
          <t>Ora Banda Mining Ltd</t>
        </is>
      </c>
      <c r="C34" t="inlineStr">
        <is>
          <t>AUD</t>
        </is>
      </c>
      <c r="D34" t="inlineStr">
        <is>
          <t>30 Jun</t>
        </is>
      </c>
      <c r="J34" s="2" t="n">
        <v>154.26</v>
      </c>
      <c r="K34" s="2" t="n">
        <v>135.89</v>
      </c>
      <c r="L34" s="2" t="n">
        <v>214.24</v>
      </c>
      <c r="M34" s="2" t="n">
        <v>404.29</v>
      </c>
      <c r="N34" s="2" t="n">
        <v>807.5</v>
      </c>
    </row>
    <row r="35">
      <c r="A35" t="inlineStr">
        <is>
          <t>OGC.TO</t>
        </is>
      </c>
      <c r="B35" t="inlineStr">
        <is>
          <t>OceanaGold Corp</t>
        </is>
      </c>
      <c r="C35" t="inlineStr">
        <is>
          <t>USD</t>
        </is>
      </c>
      <c r="D35" t="inlineStr">
        <is>
          <t>31 Dec</t>
        </is>
      </c>
      <c r="I35" s="2" t="n">
        <v>744.7</v>
      </c>
      <c r="J35" s="2" t="n">
        <v>967.4</v>
      </c>
      <c r="K35" s="2" t="n">
        <v>1026.3</v>
      </c>
      <c r="L35" s="2" t="n">
        <v>1294</v>
      </c>
      <c r="M35" s="2" t="n">
        <v>1893.2</v>
      </c>
    </row>
    <row r="36">
      <c r="A36" t="inlineStr">
        <is>
          <t>OGG.V</t>
        </is>
      </c>
      <c r="B36" t="inlineStr">
        <is>
          <t>Osisko Gold Group Inc (formerly Osisko Development)</t>
        </is>
      </c>
      <c r="C36" t="inlineStr">
        <is>
          <t>CAD</t>
        </is>
      </c>
      <c r="D36" t="inlineStr">
        <is>
          <t>31 Dec</t>
        </is>
      </c>
      <c r="I36" s="2" t="n">
        <v>7.66</v>
      </c>
      <c r="J36" s="2" t="n">
        <v>64.05</v>
      </c>
      <c r="K36" s="2" t="n">
        <v>31.62</v>
      </c>
      <c r="L36" s="2" t="n">
        <v>4.56</v>
      </c>
      <c r="M36" s="2" t="n">
        <v>35.48</v>
      </c>
    </row>
    <row r="37">
      <c r="A37" t="inlineStr">
        <is>
          <t>OLA.TO</t>
        </is>
      </c>
      <c r="B37" t="inlineStr">
        <is>
          <t>Orla Mining Ltd</t>
        </is>
      </c>
      <c r="C37" t="inlineStr">
        <is>
          <t>USD</t>
        </is>
      </c>
      <c r="D37" t="inlineStr">
        <is>
          <t>31 Dec</t>
        </is>
      </c>
      <c r="I37" s="2" t="n">
        <v>4.12</v>
      </c>
      <c r="J37" s="2" t="n">
        <v>193.23</v>
      </c>
      <c r="K37" s="2" t="n">
        <v>233.64</v>
      </c>
      <c r="L37" s="2" t="n">
        <v>343.92</v>
      </c>
      <c r="M37" s="2" t="n">
        <v>1057.88</v>
      </c>
    </row>
    <row r="38">
      <c r="A38" t="inlineStr">
        <is>
          <t>PGM.V</t>
        </is>
      </c>
      <c r="B38" t="inlineStr">
        <is>
          <t>Pure Gold Mining Inc</t>
        </is>
      </c>
      <c r="C38" t="inlineStr"/>
      <c r="D38" t="inlineStr"/>
    </row>
    <row r="39">
      <c r="A39" t="inlineStr">
        <is>
          <t>PNR.AX</t>
        </is>
      </c>
      <c r="B39" t="inlineStr">
        <is>
          <t>Pantoro Gold Ltd</t>
        </is>
      </c>
      <c r="C39" t="inlineStr">
        <is>
          <t>AUD</t>
        </is>
      </c>
      <c r="D39" t="inlineStr">
        <is>
          <t>30 Jun</t>
        </is>
      </c>
      <c r="I39" s="2" t="n">
        <v>87.79000000000001</v>
      </c>
      <c r="J39" s="2" t="n">
        <v>73.52</v>
      </c>
      <c r="K39" s="2" t="n">
        <v>98.54000000000001</v>
      </c>
      <c r="L39" s="2" t="n">
        <v>229.43</v>
      </c>
      <c r="M39" s="2" t="n">
        <v>357.3</v>
      </c>
    </row>
    <row r="40">
      <c r="A40" t="inlineStr">
        <is>
          <t>PSAB.JK</t>
        </is>
      </c>
      <c r="B40" t="inlineStr">
        <is>
          <t>PT J Resources Asia Pasifik Tbk</t>
        </is>
      </c>
      <c r="C40" t="inlineStr">
        <is>
          <t>USD</t>
        </is>
      </c>
      <c r="D40" t="inlineStr">
        <is>
          <t>31 Dec</t>
        </is>
      </c>
      <c r="I40" s="2" t="n">
        <v>237.15</v>
      </c>
      <c r="J40" s="2" t="n">
        <v>100.27</v>
      </c>
      <c r="K40" s="2" t="n">
        <v>170.15</v>
      </c>
      <c r="L40" s="2" t="n">
        <v>236.01</v>
      </c>
      <c r="M40" s="2" t="n">
        <v>288.75</v>
      </c>
    </row>
    <row r="41">
      <c r="A41" t="inlineStr">
        <is>
          <t>RMS.AX</t>
        </is>
      </c>
      <c r="B41" t="inlineStr">
        <is>
          <t>Ramelius Resources Ltd</t>
        </is>
      </c>
      <c r="C41" t="inlineStr">
        <is>
          <t>AUD</t>
        </is>
      </c>
      <c r="D41" t="inlineStr">
        <is>
          <t>30 Jun</t>
        </is>
      </c>
      <c r="J41" s="2" t="n">
        <v>603.89</v>
      </c>
      <c r="K41" s="2" t="n">
        <v>631.34</v>
      </c>
      <c r="L41" s="2" t="n">
        <v>882.5700000000001</v>
      </c>
      <c r="M41" s="2" t="n">
        <v>1203.37</v>
      </c>
      <c r="N41" s="2" t="n">
        <v>1032.83</v>
      </c>
    </row>
    <row r="42">
      <c r="A42" t="inlineStr">
        <is>
          <t>RRL.AX</t>
        </is>
      </c>
      <c r="B42" t="inlineStr">
        <is>
          <t>Regis Resources Ltd</t>
        </is>
      </c>
      <c r="C42" t="inlineStr">
        <is>
          <t>AUD</t>
        </is>
      </c>
      <c r="D42" t="inlineStr">
        <is>
          <t>30 Jun</t>
        </is>
      </c>
      <c r="J42" s="2" t="n">
        <v>1015.7</v>
      </c>
      <c r="K42" s="2" t="n">
        <v>1133.73</v>
      </c>
      <c r="L42" s="2" t="n">
        <v>1262.81</v>
      </c>
      <c r="M42" s="2" t="n">
        <v>1647.41</v>
      </c>
      <c r="N42" s="2" t="n">
        <v>2349.1</v>
      </c>
    </row>
    <row r="43">
      <c r="A43" t="inlineStr">
        <is>
          <t>RSG.AX</t>
        </is>
      </c>
      <c r="B43" t="inlineStr">
        <is>
          <t>Resolute Mining Ltd</t>
        </is>
      </c>
      <c r="C43" t="inlineStr">
        <is>
          <t>USD</t>
        </is>
      </c>
      <c r="D43" t="inlineStr">
        <is>
          <t>31 Dec</t>
        </is>
      </c>
      <c r="I43" s="2" t="n">
        <v>549.24</v>
      </c>
      <c r="J43" s="2" t="n">
        <v>651.13</v>
      </c>
      <c r="K43" s="2" t="n">
        <v>631.0700000000001</v>
      </c>
      <c r="L43" s="2" t="n">
        <v>801</v>
      </c>
      <c r="M43" s="2" t="n">
        <v>865.6</v>
      </c>
    </row>
    <row r="44">
      <c r="A44" t="inlineStr">
        <is>
          <t>SBM.AX</t>
        </is>
      </c>
      <c r="B44" t="inlineStr">
        <is>
          <t>St Barbara Ltd</t>
        </is>
      </c>
      <c r="C44" t="inlineStr">
        <is>
          <t>AUD</t>
        </is>
      </c>
      <c r="D44" t="inlineStr">
        <is>
          <t>30 Jun</t>
        </is>
      </c>
      <c r="J44" s="3" t="n">
        <v>201.27</v>
      </c>
      <c r="K44" s="2" t="n">
        <v>323.85</v>
      </c>
      <c r="L44" s="3" t="n">
        <v>197.72</v>
      </c>
      <c r="M44" s="2" t="n">
        <v>15.03</v>
      </c>
      <c r="N44" s="2" t="n">
        <v>3.62</v>
      </c>
    </row>
    <row r="45">
      <c r="A45" t="inlineStr">
        <is>
          <t>SPA.V</t>
        </is>
      </c>
      <c r="B45" t="inlineStr">
        <is>
          <t>Spanish Mountain Gold Ltd</t>
        </is>
      </c>
      <c r="C45" t="inlineStr">
        <is>
          <t>CAD</t>
        </is>
      </c>
      <c r="D45" t="inlineStr">
        <is>
          <t>31 Dec</t>
        </is>
      </c>
      <c r="J45" s="2" t="n">
        <v>0</v>
      </c>
      <c r="K45" s="2" t="n">
        <v>0</v>
      </c>
      <c r="L45" s="2" t="n">
        <v>0</v>
      </c>
      <c r="M45" s="2" t="n">
        <v>0</v>
      </c>
    </row>
    <row r="46">
      <c r="A46" t="inlineStr">
        <is>
          <t>SSRM</t>
        </is>
      </c>
      <c r="B46" t="inlineStr">
        <is>
          <t>SSR Mining Inc</t>
        </is>
      </c>
      <c r="C46" t="inlineStr">
        <is>
          <t>USD</t>
        </is>
      </c>
      <c r="D46" t="inlineStr">
        <is>
          <t>31 Dec</t>
        </is>
      </c>
      <c r="I46" s="2" t="n">
        <v>1474.2</v>
      </c>
      <c r="J46" s="2" t="n">
        <v>1148.03</v>
      </c>
      <c r="K46" s="2" t="n">
        <v>1426.93</v>
      </c>
      <c r="L46" s="2" t="n">
        <v>995.62</v>
      </c>
      <c r="M46" s="2" t="n">
        <v>1629.64</v>
      </c>
    </row>
    <row r="47">
      <c r="A47" t="inlineStr">
        <is>
          <t>STLR.TO</t>
        </is>
      </c>
      <c r="B47" t="inlineStr">
        <is>
          <t>STLLR Gold Inc</t>
        </is>
      </c>
      <c r="C47" t="inlineStr">
        <is>
          <t>CAD</t>
        </is>
      </c>
      <c r="D47" t="inlineStr">
        <is>
          <t>31 Dec</t>
        </is>
      </c>
      <c r="J47" s="2" t="n">
        <v>0</v>
      </c>
      <c r="K47" s="2" t="n">
        <v>0</v>
      </c>
      <c r="L47" s="2" t="n">
        <v>0</v>
      </c>
      <c r="M47" s="2" t="n">
        <v>0</v>
      </c>
    </row>
    <row r="48">
      <c r="A48" t="inlineStr">
        <is>
          <t>TSK.TO</t>
        </is>
      </c>
      <c r="B48" t="inlineStr">
        <is>
          <t>Talisker Resources Ltd</t>
        </is>
      </c>
      <c r="C48" t="inlineStr">
        <is>
          <t>CAD</t>
        </is>
      </c>
      <c r="D48" t="inlineStr">
        <is>
          <t>31 Dec</t>
        </is>
      </c>
      <c r="J48" s="2" t="n">
        <v>0</v>
      </c>
      <c r="K48" s="2" t="n">
        <v>0</v>
      </c>
      <c r="L48" s="2" t="n">
        <v>0</v>
      </c>
      <c r="M48" s="2" t="n">
        <v>12.62</v>
      </c>
    </row>
    <row r="49">
      <c r="A49" t="inlineStr">
        <is>
          <t>VAU.AX</t>
        </is>
      </c>
      <c r="B49" t="inlineStr">
        <is>
          <t>Vault Minerals Ltd</t>
        </is>
      </c>
      <c r="C49" t="inlineStr">
        <is>
          <t>AUD</t>
        </is>
      </c>
      <c r="D49" t="inlineStr">
        <is>
          <t>30 Jun</t>
        </is>
      </c>
      <c r="J49" s="2" t="n">
        <v>164.96</v>
      </c>
      <c r="K49" s="2" t="n">
        <v>422.75</v>
      </c>
      <c r="L49" s="2" t="n">
        <v>620</v>
      </c>
      <c r="M49" s="2" t="n">
        <v>1432.1</v>
      </c>
      <c r="N49" s="2" t="n">
        <v>1926.61</v>
      </c>
    </row>
    <row r="50">
      <c r="A50" t="inlineStr">
        <is>
          <t>WAF.AX</t>
        </is>
      </c>
      <c r="B50" t="inlineStr">
        <is>
          <t>West African Resources Ltd</t>
        </is>
      </c>
      <c r="C50" t="inlineStr">
        <is>
          <t>AUD</t>
        </is>
      </c>
      <c r="D50" t="inlineStr">
        <is>
          <t>31 Dec</t>
        </is>
      </c>
      <c r="I50" s="2" t="n">
        <v>712.14</v>
      </c>
      <c r="J50" s="2" t="n">
        <v>608.23</v>
      </c>
      <c r="K50" s="2" t="n">
        <v>661.23</v>
      </c>
      <c r="L50" s="2" t="n">
        <v>730</v>
      </c>
      <c r="M50" s="2" t="n">
        <v>1543</v>
      </c>
    </row>
    <row r="51">
      <c r="A51" t="inlineStr">
        <is>
          <t>WDO.TO</t>
        </is>
      </c>
      <c r="B51" t="inlineStr">
        <is>
          <t>Wesdome Gold Mines Ltd</t>
        </is>
      </c>
      <c r="C51" t="inlineStr">
        <is>
          <t>CAD</t>
        </is>
      </c>
      <c r="D51" t="inlineStr">
        <is>
          <t>31 Dec</t>
        </is>
      </c>
      <c r="I51" s="2" t="n">
        <v>262.91</v>
      </c>
      <c r="J51" s="2" t="n">
        <v>265.48</v>
      </c>
      <c r="K51" s="2" t="n">
        <v>333.17</v>
      </c>
      <c r="L51" s="2" t="n">
        <v>558.1799999999999</v>
      </c>
      <c r="M51" s="2" t="n">
        <v>914.33</v>
      </c>
    </row>
    <row r="52">
      <c r="A52" t="inlineStr">
        <is>
          <t>WGX.AX</t>
        </is>
      </c>
      <c r="B52" t="inlineStr">
        <is>
          <t>Westgold Resources Ltd</t>
        </is>
      </c>
      <c r="C52" t="inlineStr">
        <is>
          <t>AUD</t>
        </is>
      </c>
      <c r="D52" t="inlineStr">
        <is>
          <t>30 Jun</t>
        </is>
      </c>
      <c r="J52" s="2" t="n">
        <v>647.58</v>
      </c>
      <c r="K52" s="2" t="n">
        <v>656.65</v>
      </c>
      <c r="L52" s="2" t="n">
        <v>716.47</v>
      </c>
      <c r="M52" s="2" t="n">
        <v>1360.3</v>
      </c>
      <c r="N52" s="2" t="n">
        <v>2440.89</v>
      </c>
    </row>
    <row r="53">
      <c r="A53" t="inlineStr">
        <is>
          <t>WMC.AX</t>
        </is>
      </c>
      <c r="B53" t="inlineStr">
        <is>
          <t>Wiluna Mining Corp Ltd (formerly Blackham Resources)</t>
        </is>
      </c>
      <c r="C53" t="inlineStr"/>
      <c r="D53" t="inlineStr"/>
    </row>
    <row r="54"/>
    <row r="55">
      <c r="A55" s="4" t="inlineStr">
        <is>
          <t>Annual revenue in millions of the reporting currency. Column = calendar year the fiscal year ends in (fiscal years ending in January count as the previous year). Blank = no free data (free sources keep only the last ~5 fiscal years). Hover a cell for its exact period and source.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2" customWidth="1" min="2" max="2"/>
    <col width="9" customWidth="1" min="3" max="3"/>
    <col width="14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currency</t>
        </is>
      </c>
      <c r="D1" s="1" t="inlineStr">
        <is>
          <t>fiscal year ends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  <c r="M1" s="1" t="inlineStr">
        <is>
          <t>2025</t>
        </is>
      </c>
      <c r="N1" s="1" t="inlineStr">
        <is>
          <t>2026</t>
        </is>
      </c>
    </row>
    <row r="2">
      <c r="A2" t="inlineStr">
        <is>
          <t>2259.HK</t>
        </is>
      </c>
      <c r="B2" t="inlineStr">
        <is>
          <t>Zijin Gold International Co Ltd</t>
        </is>
      </c>
      <c r="C2" t="inlineStr">
        <is>
          <t>USD</t>
        </is>
      </c>
      <c r="D2" t="inlineStr">
        <is>
          <t>31 Dec</t>
        </is>
      </c>
      <c r="J2" s="5">
        <f>IF(OR('Revenue'!J2="",'FX rate used'!J2=""),"",'Revenue'!J2/'FX rate used'!J2)</f>
        <v>1817.98</v>
      </c>
      <c r="K2" s="5">
        <f>IF(OR('Revenue'!K2="",'FX rate used'!K2=""),"",'Revenue'!K2/'FX rate used'!K2)</f>
        <v>2262.36</v>
      </c>
      <c r="L2" s="5">
        <f>IF(OR('Revenue'!L2="",'FX rate used'!L2=""),"",'Revenue'!L2/'FX rate used'!L2)</f>
        <v>2989.93</v>
      </c>
      <c r="M2" s="5">
        <f>IF(OR('Revenue'!M2="",'FX rate used'!M2=""),"",'Revenue'!M2/'FX rate used'!M2)</f>
        <v>5383.48</v>
      </c>
    </row>
    <row r="3">
      <c r="A3" t="inlineStr">
        <is>
          <t>600988.SS</t>
        </is>
      </c>
      <c r="B3" t="inlineStr">
        <is>
          <t>Chifeng Jilong Gold Mining Co Ltd</t>
        </is>
      </c>
      <c r="C3" t="inlineStr">
        <is>
          <t>USD</t>
        </is>
      </c>
      <c r="D3" t="inlineStr">
        <is>
          <t>31 Dec</t>
        </is>
      </c>
      <c r="I3" s="5">
        <f>IF(OR('Revenue'!I3="",'FX rate used'!I3=""),"",'Revenue'!I3/'FX rate used'!I3)</f>
        <v>586.4248011761301</v>
      </c>
      <c r="J3" s="5">
        <f>IF(OR('Revenue'!J3="",'FX rate used'!J3=""),"",'Revenue'!J3/'FX rate used'!J3)</f>
        <v>931.2596767988202</v>
      </c>
      <c r="K3" s="5">
        <f>IF(OR('Revenue'!K3="",'FX rate used'!K3=""),"",'Revenue'!K3/'FX rate used'!K3)</f>
        <v>1021.1120370300974</v>
      </c>
      <c r="L3" s="5">
        <f>IF(OR('Revenue'!L3="",'FX rate used'!L3=""),"",'Revenue'!L3/'FX rate used'!L3)</f>
        <v>1255.9962283181171</v>
      </c>
      <c r="M3" s="5">
        <f>IF(OR('Revenue'!M3="",'FX rate used'!M3=""),"",'Revenue'!M3/'FX rate used'!M3)</f>
        <v>1758.5797571677183</v>
      </c>
    </row>
    <row r="4">
      <c r="A4" t="inlineStr">
        <is>
          <t>AAUC.TO</t>
        </is>
      </c>
      <c r="B4" t="inlineStr">
        <is>
          <t>Allied Gold Corp</t>
        </is>
      </c>
      <c r="C4" t="inlineStr">
        <is>
          <t>USD</t>
        </is>
      </c>
      <c r="D4" t="inlineStr">
        <is>
          <t>31 Dec</t>
        </is>
      </c>
      <c r="I4" s="5">
        <f>IF(OR('Revenue'!I4="",'FX rate used'!I4=""),"",'Revenue'!I4/'FX rate used'!I4)</f>
        <v>489.33</v>
      </c>
      <c r="J4" s="5">
        <f>IF(OR('Revenue'!J4="",'FX rate used'!J4=""),"",'Revenue'!J4/'FX rate used'!J4)</f>
        <v>669.55</v>
      </c>
      <c r="K4" s="5">
        <f>IF(OR('Revenue'!K4="",'FX rate used'!K4=""),"",'Revenue'!K4/'FX rate used'!K4)</f>
        <v>655.69</v>
      </c>
      <c r="L4" s="5">
        <f>IF(OR('Revenue'!L4="",'FX rate used'!L4=""),"",'Revenue'!L4/'FX rate used'!L4)</f>
        <v>730.38</v>
      </c>
      <c r="M4" s="5">
        <f>IF(OR('Revenue'!M4="",'FX rate used'!M4=""),"",'Revenue'!M4/'FX rate used'!M4)</f>
        <v>1331.82</v>
      </c>
    </row>
    <row r="5">
      <c r="A5" t="inlineStr">
        <is>
          <t>AGI.TO</t>
        </is>
      </c>
      <c r="B5" t="inlineStr">
        <is>
          <t>Alamos Gold Inc</t>
        </is>
      </c>
      <c r="C5" t="inlineStr">
        <is>
          <t>USD</t>
        </is>
      </c>
      <c r="D5" t="inlineStr">
        <is>
          <t>31 Dec</t>
        </is>
      </c>
      <c r="I5" s="5">
        <f>IF(OR('Revenue'!I5="",'FX rate used'!I5=""),"",'Revenue'!I5/'FX rate used'!I5)</f>
        <v>823.6</v>
      </c>
      <c r="J5" s="5">
        <f>IF(OR('Revenue'!J5="",'FX rate used'!J5=""),"",'Revenue'!J5/'FX rate used'!J5)</f>
        <v>821.2</v>
      </c>
      <c r="K5" s="5">
        <f>IF(OR('Revenue'!K5="",'FX rate used'!K5=""),"",'Revenue'!K5/'FX rate used'!K5)</f>
        <v>1023.3</v>
      </c>
      <c r="L5" s="5">
        <f>IF(OR('Revenue'!L5="",'FX rate used'!L5=""),"",'Revenue'!L5/'FX rate used'!L5)</f>
        <v>1346.9</v>
      </c>
      <c r="M5" s="5">
        <f>IF(OR('Revenue'!M5="",'FX rate used'!M5=""),"",'Revenue'!M5/'FX rate used'!M5)</f>
        <v>1808.8</v>
      </c>
    </row>
    <row r="6">
      <c r="A6" t="inlineStr">
        <is>
          <t>ALK.AX</t>
        </is>
      </c>
      <c r="B6" t="inlineStr">
        <is>
          <t>Alkane Resources Ltd</t>
        </is>
      </c>
      <c r="C6" t="inlineStr">
        <is>
          <t>USD</t>
        </is>
      </c>
      <c r="D6" t="inlineStr">
        <is>
          <t>30 Jun</t>
        </is>
      </c>
      <c r="J6" s="5">
        <f>IF(OR('Revenue'!J6="",'FX rate used'!J6=""),"",'Revenue'!J6/'FX rate used'!J6)</f>
        <v>119.71733909876444</v>
      </c>
      <c r="K6" s="5">
        <f>IF(OR('Revenue'!K6="",'FX rate used'!K6=""),"",'Revenue'!K6/'FX rate used'!K6)</f>
        <v>128.19745085360677</v>
      </c>
      <c r="L6" s="5">
        <f>IF(OR('Revenue'!L6="",'FX rate used'!L6=""),"",'Revenue'!L6/'FX rate used'!L6)</f>
        <v>113.40973964076535</v>
      </c>
      <c r="M6" s="5">
        <f>IF(OR('Revenue'!M6="",'FX rate used'!M6=""),"",'Revenue'!M6/'FX rate used'!M6)</f>
        <v>169.88387987430303</v>
      </c>
      <c r="N6" s="5">
        <f>IF(OR('Revenue'!N6="",'FX rate used'!N6=""),"",'Revenue'!N6/'FX rate used'!N6)</f>
        <v>634.2100126866401</v>
      </c>
    </row>
    <row r="7">
      <c r="A7" t="inlineStr">
        <is>
          <t>AMRQ.L</t>
        </is>
      </c>
      <c r="B7" t="inlineStr">
        <is>
          <t>Amaroq Minerals Ltd</t>
        </is>
      </c>
      <c r="C7" t="inlineStr">
        <is>
          <t>USD</t>
        </is>
      </c>
      <c r="D7" t="inlineStr">
        <is>
          <t>31 Dec</t>
        </is>
      </c>
      <c r="I7" s="5">
        <f>IF(OR('Revenue'!I7="",'FX rate used'!I7=""),"",'Revenue'!I7/'FX rate used'!I7)</f>
        <v>0.0</v>
      </c>
      <c r="J7" s="5">
        <f>IF(OR('Revenue'!J7="",'FX rate used'!J7=""),"",'Revenue'!J7/'FX rate used'!J7)</f>
        <v>0.0</v>
      </c>
      <c r="K7" s="5">
        <f>IF(OR('Revenue'!K7="",'FX rate used'!K7=""),"",'Revenue'!K7/'FX rate used'!K7)</f>
        <v>0.0</v>
      </c>
      <c r="L7" s="5">
        <f>IF(OR('Revenue'!L7="",'FX rate used'!L7=""),"",'Revenue'!L7/'FX rate used'!L7)</f>
        <v>0.0</v>
      </c>
    </row>
    <row r="8">
      <c r="A8" t="inlineStr">
        <is>
          <t>AR.TO</t>
        </is>
      </c>
      <c r="B8" t="inlineStr">
        <is>
          <t>Argonaut Gold Inc</t>
        </is>
      </c>
      <c r="C8" t="inlineStr">
        <is>
          <t>USD</t>
        </is>
      </c>
      <c r="D8" t="inlineStr"/>
    </row>
    <row r="9">
      <c r="A9" t="inlineStr">
        <is>
          <t>ASE.V</t>
        </is>
      </c>
      <c r="B9" t="inlineStr">
        <is>
          <t>Asante Gold Corp</t>
        </is>
      </c>
      <c r="C9" t="inlineStr">
        <is>
          <t>USD</t>
        </is>
      </c>
      <c r="D9" t="inlineStr">
        <is>
          <t>31 Dec</t>
        </is>
      </c>
      <c r="I9" s="5">
        <f>IF(OR('Revenue'!I9="",'FX rate used'!I9=""),"",'Revenue'!I9/'FX rate used'!I9)</f>
        <v>0.0</v>
      </c>
      <c r="J9" s="5">
        <f>IF(OR('Revenue'!J9="",'FX rate used'!J9=""),"",'Revenue'!J9/'FX rate used'!J9)</f>
        <v>205.99</v>
      </c>
      <c r="K9" s="5">
        <f>IF(OR('Revenue'!K9="",'FX rate used'!K9=""),"",'Revenue'!K9/'FX rate used'!K9)</f>
        <v>426.13</v>
      </c>
      <c r="L9" s="5">
        <f>IF(OR('Revenue'!L9="",'FX rate used'!L9=""),"",'Revenue'!L9/'FX rate used'!L9)</f>
        <v>458.88</v>
      </c>
      <c r="M9" s="5">
        <f>IF(OR('Revenue'!M9="",'FX rate used'!M9=""),"",'Revenue'!M9/'FX rate used'!M9)</f>
        <v>526.47</v>
      </c>
    </row>
    <row r="10">
      <c r="A10" t="inlineStr">
        <is>
          <t>AU</t>
        </is>
      </c>
      <c r="B10" t="inlineStr">
        <is>
          <t>AngloGold Ashanti plc</t>
        </is>
      </c>
      <c r="C10" t="inlineStr">
        <is>
          <t>USD</t>
        </is>
      </c>
      <c r="D10" t="inlineStr">
        <is>
          <t>31 Dec</t>
        </is>
      </c>
      <c r="I10" s="5">
        <f>IF(OR('Revenue'!I10="",'FX rate used'!I10=""),"",'Revenue'!I10/'FX rate used'!I10)</f>
        <v>4029.0</v>
      </c>
      <c r="J10" s="5">
        <f>IF(OR('Revenue'!J10="",'FX rate used'!J10=""),"",'Revenue'!J10/'FX rate used'!J10)</f>
        <v>4501.0</v>
      </c>
      <c r="K10" s="5">
        <f>IF(OR('Revenue'!K10="",'FX rate used'!K10=""),"",'Revenue'!K10/'FX rate used'!K10)</f>
        <v>4582.0</v>
      </c>
      <c r="L10" s="5">
        <f>IF(OR('Revenue'!L10="",'FX rate used'!L10=""),"",'Revenue'!L10/'FX rate used'!L10)</f>
        <v>5793.0</v>
      </c>
      <c r="M10" s="5">
        <f>IF(OR('Revenue'!M10="",'FX rate used'!M10=""),"",'Revenue'!M10/'FX rate used'!M10)</f>
        <v>9893.0</v>
      </c>
    </row>
    <row r="11">
      <c r="A11" t="inlineStr">
        <is>
          <t>AUMB.V</t>
        </is>
      </c>
      <c r="B11" t="inlineStr">
        <is>
          <t>1911 Gold Corp</t>
        </is>
      </c>
      <c r="C11" t="inlineStr">
        <is>
          <t>USD</t>
        </is>
      </c>
      <c r="D11" t="inlineStr">
        <is>
          <t>31 Dec</t>
        </is>
      </c>
      <c r="I11" s="5">
        <f>IF(OR('Revenue'!I11="",'FX rate used'!I11=""),"",'Revenue'!I11/'FX rate used'!I11)</f>
        <v>7.714559695693728</v>
      </c>
      <c r="J11" s="5">
        <f>IF(OR('Revenue'!J11="",'FX rate used'!J11=""),"",'Revenue'!J11/'FX rate used'!J11)</f>
        <v>4.518343089778248</v>
      </c>
      <c r="K11" s="5">
        <f>IF(OR('Revenue'!K11="",'FX rate used'!K11=""),"",'Revenue'!K11/'FX rate used'!K11)</f>
        <v>0.5409627358189953</v>
      </c>
      <c r="L11" s="5">
        <f>IF(OR('Revenue'!L11="",'FX rate used'!L11=""),"",'Revenue'!L11/'FX rate used'!L11)</f>
        <v>0.0</v>
      </c>
      <c r="M11" s="5">
        <f>IF(OR('Revenue'!M11="",'FX rate used'!M11=""),"",'Revenue'!M11/'FX rate used'!M11)</f>
        <v>0.0</v>
      </c>
    </row>
    <row r="12">
      <c r="A12" t="inlineStr">
        <is>
          <t>BGL.AX</t>
        </is>
      </c>
      <c r="B12" t="inlineStr">
        <is>
          <t>Bellevue Gold Ltd</t>
        </is>
      </c>
      <c r="C12" t="inlineStr">
        <is>
          <t>USD</t>
        </is>
      </c>
      <c r="D12" t="inlineStr">
        <is>
          <t>30 Jun</t>
        </is>
      </c>
      <c r="L12" s="5">
        <f>IF(OR('Revenue'!L12="",'FX rate used'!L12=""),"",'Revenue'!L12/'FX rate used'!L12)</f>
        <v>195.63327594774722</v>
      </c>
      <c r="M12" s="5">
        <f>IF(OR('Revenue'!M12="",'FX rate used'!M12=""),"",'Revenue'!M12/'FX rate used'!M12)</f>
        <v>255.7517763148097</v>
      </c>
      <c r="N12" s="5">
        <f>IF(OR('Revenue'!N12="",'FX rate used'!N12=""),"",'Revenue'!N12/'FX rate used'!N12)</f>
        <v>390.53435693915833</v>
      </c>
    </row>
    <row r="13">
      <c r="A13" t="inlineStr">
        <is>
          <t>BTO.TO</t>
        </is>
      </c>
      <c r="B13" t="inlineStr">
        <is>
          <t>B2Gold Corp</t>
        </is>
      </c>
      <c r="C13" t="inlineStr">
        <is>
          <t>USD</t>
        </is>
      </c>
      <c r="D13" t="inlineStr">
        <is>
          <t>31 Dec</t>
        </is>
      </c>
      <c r="I13" s="5">
        <f>IF(OR('Revenue'!I13="",'FX rate used'!I13=""),"",'Revenue'!I13/'FX rate used'!I13)</f>
        <v>1762.26</v>
      </c>
      <c r="J13" s="5">
        <f>IF(OR('Revenue'!J13="",'FX rate used'!J13=""),"",'Revenue'!J13/'FX rate used'!J13)</f>
        <v>1732.59</v>
      </c>
      <c r="K13" s="5">
        <f>IF(OR('Revenue'!K13="",'FX rate used'!K13=""),"",'Revenue'!K13/'FX rate used'!K13)</f>
        <v>1934.27</v>
      </c>
      <c r="L13" s="5">
        <f>IF(OR('Revenue'!L13="",'FX rate used'!L13=""),"",'Revenue'!L13/'FX rate used'!L13)</f>
        <v>1902.03</v>
      </c>
      <c r="M13" s="5">
        <f>IF(OR('Revenue'!M13="",'FX rate used'!M13=""),"",'Revenue'!M13/'FX rate used'!M13)</f>
        <v>3061.24</v>
      </c>
    </row>
    <row r="14">
      <c r="A14" t="inlineStr">
        <is>
          <t>CERT.V</t>
        </is>
      </c>
      <c r="B14" t="inlineStr">
        <is>
          <t>Cerrado Gold Inc</t>
        </is>
      </c>
      <c r="C14" t="inlineStr">
        <is>
          <t>USD</t>
        </is>
      </c>
      <c r="D14" t="inlineStr">
        <is>
          <t>31 Dec</t>
        </is>
      </c>
      <c r="I14" s="5">
        <f>IF(OR('Revenue'!I14="",'FX rate used'!I14=""),"",'Revenue'!I14/'FX rate used'!I14)</f>
        <v>70.05</v>
      </c>
      <c r="J14" s="5">
        <f>IF(OR('Revenue'!J14="",'FX rate used'!J14=""),"",'Revenue'!J14/'FX rate used'!J14)</f>
        <v>90.36</v>
      </c>
      <c r="K14" s="5">
        <f>IF(OR('Revenue'!K14="",'FX rate used'!K14=""),"",'Revenue'!K14/'FX rate used'!K14)</f>
        <v>100.1</v>
      </c>
      <c r="L14" s="5">
        <f>IF(OR('Revenue'!L14="",'FX rate used'!L14=""),"",'Revenue'!L14/'FX rate used'!L14)</f>
        <v>116.17</v>
      </c>
      <c r="M14" s="5">
        <f>IF(OR('Revenue'!M14="",'FX rate used'!M14=""),"",'Revenue'!M14/'FX rate used'!M14)</f>
        <v>147.09</v>
      </c>
    </row>
    <row r="15">
      <c r="A15" t="inlineStr">
        <is>
          <t>CG.TO</t>
        </is>
      </c>
      <c r="B15" t="inlineStr">
        <is>
          <t>Centerra Gold Inc</t>
        </is>
      </c>
      <c r="C15" t="inlineStr">
        <is>
          <t>USD</t>
        </is>
      </c>
      <c r="D15" t="inlineStr">
        <is>
          <t>31 Dec</t>
        </is>
      </c>
      <c r="I15" s="5">
        <f>IF(OR('Revenue'!I15="",'FX rate used'!I15=""),"",'Revenue'!I15/'FX rate used'!I15)</f>
        <v>900.14</v>
      </c>
      <c r="J15" s="5">
        <f>IF(OR('Revenue'!J15="",'FX rate used'!J15=""),"",'Revenue'!J15/'FX rate used'!J15)</f>
        <v>850.19</v>
      </c>
      <c r="K15" s="5">
        <f>IF(OR('Revenue'!K15="",'FX rate used'!K15=""),"",'Revenue'!K15/'FX rate used'!K15)</f>
        <v>1094.9</v>
      </c>
      <c r="L15" s="5">
        <f>IF(OR('Revenue'!L15="",'FX rate used'!L15=""),"",'Revenue'!L15/'FX rate used'!L15)</f>
        <v>1214.5</v>
      </c>
      <c r="M15" s="5">
        <f>IF(OR('Revenue'!M15="",'FX rate used'!M15=""),"",'Revenue'!M15/'FX rate used'!M15)</f>
        <v>1384.56</v>
      </c>
    </row>
    <row r="16">
      <c r="A16" t="inlineStr">
        <is>
          <t>CXB.TO</t>
        </is>
      </c>
      <c r="B16" t="inlineStr">
        <is>
          <t>Calibre Mining Corp</t>
        </is>
      </c>
      <c r="C16" t="inlineStr">
        <is>
          <t>USD</t>
        </is>
      </c>
      <c r="D16" t="inlineStr">
        <is>
          <t>31 Dec</t>
        </is>
      </c>
      <c r="H16" s="5">
        <f>IF(OR('Revenue'!H16="",'FX rate used'!H16=""),"",'Revenue'!H16/'FX rate used'!H16)</f>
        <v>242.75</v>
      </c>
      <c r="I16" s="5">
        <f>IF(OR('Revenue'!I16="",'FX rate used'!I16=""),"",'Revenue'!I16/'FX rate used'!I16)</f>
        <v>328.13</v>
      </c>
      <c r="J16" s="5">
        <f>IF(OR('Revenue'!J16="",'FX rate used'!J16=""),"",'Revenue'!J16/'FX rate used'!J16)</f>
        <v>408.61</v>
      </c>
      <c r="K16" s="5">
        <f>IF(OR('Revenue'!K16="",'FX rate used'!K16=""),"",'Revenue'!K16/'FX rate used'!K16)</f>
        <v>561.7</v>
      </c>
      <c r="L16" s="5">
        <f>IF(OR('Revenue'!L16="",'FX rate used'!L16=""),"",'Revenue'!L16/'FX rate used'!L16)</f>
        <v>585.86</v>
      </c>
    </row>
    <row r="17">
      <c r="A17" t="inlineStr">
        <is>
          <t>CYL.AX</t>
        </is>
      </c>
      <c r="B17" t="inlineStr">
        <is>
          <t>Catalyst Metals Ltd</t>
        </is>
      </c>
      <c r="C17" t="inlineStr">
        <is>
          <t>USD</t>
        </is>
      </c>
      <c r="D17" t="inlineStr">
        <is>
          <t>30 Jun</t>
        </is>
      </c>
      <c r="J17" s="5">
        <f>IF(OR('Revenue'!J17="",'FX rate used'!J17=""),"",'Revenue'!J17/'FX rate used'!J17)</f>
        <v>45.9469067639825</v>
      </c>
      <c r="K17" s="5">
        <f>IF(OR('Revenue'!K17="",'FX rate used'!K17=""),"",'Revenue'!K17/'FX rate used'!K17)</f>
        <v>43.02180762913775</v>
      </c>
      <c r="L17" s="5">
        <f>IF(OR('Revenue'!L17="",'FX rate used'!L17=""),"",'Revenue'!L17/'FX rate used'!L17)</f>
        <v>158.6189173136203</v>
      </c>
      <c r="M17" s="5">
        <f>IF(OR('Revenue'!M17="",'FX rate used'!M17=""),"",'Revenue'!M17/'FX rate used'!M17)</f>
        <v>234.02093697732832</v>
      </c>
      <c r="N17" s="5">
        <f>IF(OR('Revenue'!N17="",'FX rate used'!N17=""),"",'Revenue'!N17/'FX rate used'!N17)</f>
        <v>428.2689784543986</v>
      </c>
    </row>
    <row r="18">
      <c r="A18" t="inlineStr">
        <is>
          <t>ELD.TO</t>
        </is>
      </c>
      <c r="B18" t="inlineStr">
        <is>
          <t>Eldorado Gold Corp</t>
        </is>
      </c>
      <c r="C18" t="inlineStr">
        <is>
          <t>USD</t>
        </is>
      </c>
      <c r="D18" t="inlineStr">
        <is>
          <t>31 Dec</t>
        </is>
      </c>
      <c r="I18" s="5">
        <f>IF(OR('Revenue'!I18="",'FX rate used'!I18=""),"",'Revenue'!I18/'FX rate used'!I18)</f>
        <v>940.91</v>
      </c>
      <c r="J18" s="5">
        <f>IF(OR('Revenue'!J18="",'FX rate used'!J18=""),"",'Revenue'!J18/'FX rate used'!J18)</f>
        <v>871.98</v>
      </c>
      <c r="K18" s="5">
        <f>IF(OR('Revenue'!K18="",'FX rate used'!K18=""),"",'Revenue'!K18/'FX rate used'!K18)</f>
        <v>1008.5</v>
      </c>
      <c r="L18" s="5">
        <f>IF(OR('Revenue'!L18="",'FX rate used'!L18=""),"",'Revenue'!L18/'FX rate used'!L18)</f>
        <v>1322.58</v>
      </c>
      <c r="M18" s="5">
        <f>IF(OR('Revenue'!M18="",'FX rate used'!M18=""),"",'Revenue'!M18/'FX rate used'!M18)</f>
        <v>1818.86</v>
      </c>
    </row>
    <row r="19">
      <c r="A19" t="inlineStr">
        <is>
          <t>EQX.TO</t>
        </is>
      </c>
      <c r="B19" t="inlineStr">
        <is>
          <t>Equinox Gold Corp</t>
        </is>
      </c>
      <c r="C19" t="inlineStr">
        <is>
          <t>USD</t>
        </is>
      </c>
      <c r="D19" t="inlineStr">
        <is>
          <t>31 Dec</t>
        </is>
      </c>
      <c r="I19" s="5">
        <f>IF(OR('Revenue'!I19="",'FX rate used'!I19=""),"",'Revenue'!I19/'FX rate used'!I19)</f>
        <v>1082.29</v>
      </c>
      <c r="J19" s="5">
        <f>IF(OR('Revenue'!J19="",'FX rate used'!J19=""),"",'Revenue'!J19/'FX rate used'!J19)</f>
        <v>952.2</v>
      </c>
      <c r="K19" s="5">
        <f>IF(OR('Revenue'!K19="",'FX rate used'!K19=""),"",'Revenue'!K19/'FX rate used'!K19)</f>
        <v>1088.19</v>
      </c>
      <c r="L19" s="5">
        <f>IF(OR('Revenue'!L19="",'FX rate used'!L19=""),"",'Revenue'!L19/'FX rate used'!L19)</f>
        <v>912.84</v>
      </c>
      <c r="M19" s="5">
        <f>IF(OR('Revenue'!M19="",'FX rate used'!M19=""),"",'Revenue'!M19/'FX rate used'!M19)</f>
        <v>1817.19</v>
      </c>
    </row>
    <row r="20">
      <c r="A20" t="inlineStr">
        <is>
          <t>FVI.TO</t>
        </is>
      </c>
      <c r="B20" t="inlineStr">
        <is>
          <t>Fortuna Mining Corp</t>
        </is>
      </c>
      <c r="C20" t="inlineStr">
        <is>
          <t>USD</t>
        </is>
      </c>
      <c r="D20" t="inlineStr">
        <is>
          <t>31 Dec</t>
        </is>
      </c>
      <c r="I20" s="5">
        <f>IF(OR('Revenue'!I20="",'FX rate used'!I20=""),"",'Revenue'!I20/'FX rate used'!I20)</f>
        <v>599.85</v>
      </c>
      <c r="J20" s="5">
        <f>IF(OR('Revenue'!J20="",'FX rate used'!J20=""),"",'Revenue'!J20/'FX rate used'!J20)</f>
        <v>681.49</v>
      </c>
      <c r="K20" s="5">
        <f>IF(OR('Revenue'!K20="",'FX rate used'!K20=""),"",'Revenue'!K20/'FX rate used'!K20)</f>
        <v>842.43</v>
      </c>
      <c r="L20" s="5">
        <f>IF(OR('Revenue'!L20="",'FX rate used'!L20=""),"",'Revenue'!L20/'FX rate used'!L20)</f>
        <v>677.24</v>
      </c>
      <c r="M20" s="5">
        <f>IF(OR('Revenue'!M20="",'FX rate used'!M20=""),"",'Revenue'!M20/'FX rate used'!M20)</f>
        <v>947.06</v>
      </c>
    </row>
    <row r="21">
      <c r="A21" t="inlineStr">
        <is>
          <t>GFI</t>
        </is>
      </c>
      <c r="B21" t="inlineStr">
        <is>
          <t>Gold Fields Ltd</t>
        </is>
      </c>
      <c r="C21" t="inlineStr">
        <is>
          <t>USD</t>
        </is>
      </c>
      <c r="D21" t="inlineStr">
        <is>
          <t>31 Dec</t>
        </is>
      </c>
      <c r="I21" s="5">
        <f>IF(OR('Revenue'!I21="",'FX rate used'!I21=""),"",'Revenue'!I21/'FX rate used'!I21)</f>
        <v>4195.2</v>
      </c>
      <c r="J21" s="5">
        <f>IF(OR('Revenue'!J21="",'FX rate used'!J21=""),"",'Revenue'!J21/'FX rate used'!J21)</f>
        <v>4286.7</v>
      </c>
      <c r="K21" s="5">
        <f>IF(OR('Revenue'!K21="",'FX rate used'!K21=""),"",'Revenue'!K21/'FX rate used'!K21)</f>
        <v>4500.7</v>
      </c>
      <c r="L21" s="5">
        <f>IF(OR('Revenue'!L21="",'FX rate used'!L21=""),"",'Revenue'!L21/'FX rate used'!L21)</f>
        <v>5201.6</v>
      </c>
      <c r="M21" s="5">
        <f>IF(OR('Revenue'!M21="",'FX rate used'!M21=""),"",'Revenue'!M21/'FX rate used'!M21)</f>
        <v>8751.3</v>
      </c>
    </row>
    <row r="22">
      <c r="A22" t="inlineStr">
        <is>
          <t>GMD.AX</t>
        </is>
      </c>
      <c r="B22" t="inlineStr">
        <is>
          <t>Genesis Minerals Ltd</t>
        </is>
      </c>
      <c r="C22" t="inlineStr">
        <is>
          <t>USD</t>
        </is>
      </c>
      <c r="D22" t="inlineStr">
        <is>
          <t>30 Jun</t>
        </is>
      </c>
      <c r="K22" s="5">
        <f>IF(OR('Revenue'!K22="",'FX rate used'!K22=""),"",'Revenue'!K22/'FX rate used'!K22)</f>
        <v>51.7822695517429</v>
      </c>
      <c r="L22" s="5">
        <f>IF(OR('Revenue'!L22="",'FX rate used'!L22=""),"",'Revenue'!L22/'FX rate used'!L22)</f>
        <v>287.5332545756591</v>
      </c>
      <c r="M22" s="5">
        <f>IF(OR('Revenue'!M22="",'FX rate used'!M22=""),"",'Revenue'!M22/'FX rate used'!M22)</f>
        <v>595.8109209770589</v>
      </c>
      <c r="N22" s="5">
        <f>IF(OR('Revenue'!N22="",'FX rate used'!N22=""),"",'Revenue'!N22/'FX rate used'!N22)</f>
        <v>1180.7995294015593</v>
      </c>
    </row>
    <row r="23">
      <c r="A23" t="inlineStr">
        <is>
          <t>GOR.AX</t>
        </is>
      </c>
      <c r="B23" t="inlineStr">
        <is>
          <t>Gold Road Resources Ltd</t>
        </is>
      </c>
      <c r="C23" t="inlineStr">
        <is>
          <t>USD</t>
        </is>
      </c>
      <c r="D23" t="inlineStr">
        <is>
          <t>31 Dec</t>
        </is>
      </c>
      <c r="H23" s="5">
        <f>IF(OR('Revenue'!H23="",'FX rate used'!H23=""),"",'Revenue'!H23/'FX rate used'!H23)</f>
        <v>202.82083757812714</v>
      </c>
      <c r="I23" s="5">
        <f>IF(OR('Revenue'!I23="",'FX rate used'!I23=""),"",'Revenue'!I23/'FX rate used'!I23)</f>
        <v>206.30880243882294</v>
      </c>
      <c r="J23" s="5">
        <f>IF(OR('Revenue'!J23="",'FX rate used'!J23=""),"",'Revenue'!J23/'FX rate used'!J23)</f>
        <v>265.5650347923899</v>
      </c>
      <c r="K23" s="5">
        <f>IF(OR('Revenue'!K23="",'FX rate used'!K23=""),"",'Revenue'!K23/'FX rate used'!K23)</f>
        <v>313.51642820240045</v>
      </c>
      <c r="L23" s="5">
        <f>IF(OR('Revenue'!L23="",'FX rate used'!L23=""),"",'Revenue'!L23/'FX rate used'!L23)</f>
        <v>348.36818708788985</v>
      </c>
    </row>
    <row r="24">
      <c r="A24" t="inlineStr">
        <is>
          <t>HMY</t>
        </is>
      </c>
      <c r="B24" t="inlineStr">
        <is>
          <t>Harmony Gold Mining Co Ltd</t>
        </is>
      </c>
      <c r="C24" t="inlineStr">
        <is>
          <t>USD</t>
        </is>
      </c>
      <c r="D24" t="inlineStr">
        <is>
          <t>30 Jun</t>
        </is>
      </c>
      <c r="J24" s="5">
        <f>IF(OR('Revenue'!J24="",'FX rate used'!J24=""),"",'Revenue'!J24/'FX rate used'!J24)</f>
        <v>2807.891435835648</v>
      </c>
      <c r="K24" s="5">
        <f>IF(OR('Revenue'!K24="",'FX rate used'!K24=""),"",'Revenue'!K24/'FX rate used'!K24)</f>
        <v>2778.9241877899685</v>
      </c>
      <c r="L24" s="5">
        <f>IF(OR('Revenue'!L24="",'FX rate used'!L24=""),"",'Revenue'!L24/'FX rate used'!L24)</f>
        <v>3284.1377042433323</v>
      </c>
      <c r="M24" s="5">
        <f>IF(OR('Revenue'!M24="",'FX rate used'!M24=""),"",'Revenue'!M24/'FX rate used'!M24)</f>
        <v>4079.735711567058</v>
      </c>
      <c r="N24" s="5">
        <f>IF(OR('Revenue'!N24="",'FX rate used'!N24=""),"",'Revenue'!N24/'FX rate used'!N24)</f>
        <v>5873.773705170511</v>
      </c>
    </row>
    <row r="25">
      <c r="A25" t="inlineStr">
        <is>
          <t>HUM.L</t>
        </is>
      </c>
      <c r="B25" t="inlineStr">
        <is>
          <t>Hummingbird Resources plc</t>
        </is>
      </c>
      <c r="C25" t="inlineStr">
        <is>
          <t>USD</t>
        </is>
      </c>
      <c r="D25" t="inlineStr"/>
    </row>
    <row r="26">
      <c r="A26" t="inlineStr">
        <is>
          <t>IAU.TO</t>
        </is>
      </c>
      <c r="B26" t="inlineStr">
        <is>
          <t>i-80 Gold Corp</t>
        </is>
      </c>
      <c r="C26" t="inlineStr">
        <is>
          <t>USD</t>
        </is>
      </c>
      <c r="D26" t="inlineStr">
        <is>
          <t>31 Dec</t>
        </is>
      </c>
      <c r="J26" s="5">
        <f>IF(OR('Revenue'!J26="",'FX rate used'!J26=""),"",'Revenue'!J26/'FX rate used'!J26)</f>
        <v>36.96</v>
      </c>
      <c r="K26" s="5">
        <f>IF(OR('Revenue'!K26="",'FX rate used'!K26=""),"",'Revenue'!K26/'FX rate used'!K26)</f>
        <v>54.91</v>
      </c>
      <c r="L26" s="5">
        <f>IF(OR('Revenue'!L26="",'FX rate used'!L26=""),"",'Revenue'!L26/'FX rate used'!L26)</f>
        <v>50.34</v>
      </c>
      <c r="M26" s="5">
        <f>IF(OR('Revenue'!M26="",'FX rate used'!M26=""),"",'Revenue'!M26/'FX rate used'!M26)</f>
        <v>95.19</v>
      </c>
    </row>
    <row r="27">
      <c r="A27" t="inlineStr">
        <is>
          <t>IMG.TO</t>
        </is>
      </c>
      <c r="B27" t="inlineStr">
        <is>
          <t>IAMGOLD Corp</t>
        </is>
      </c>
      <c r="C27" t="inlineStr">
        <is>
          <t>USD</t>
        </is>
      </c>
      <c r="D27" t="inlineStr">
        <is>
          <t>31 Dec</t>
        </is>
      </c>
      <c r="I27" s="5">
        <f>IF(OR('Revenue'!I27="",'FX rate used'!I27=""),"",'Revenue'!I27/'FX rate used'!I27)</f>
        <v>875.5</v>
      </c>
      <c r="J27" s="5">
        <f>IF(OR('Revenue'!J27="",'FX rate used'!J27=""),"",'Revenue'!J27/'FX rate used'!J27)</f>
        <v>958.8</v>
      </c>
      <c r="K27" s="5">
        <f>IF(OR('Revenue'!K27="",'FX rate used'!K27=""),"",'Revenue'!K27/'FX rate used'!K27)</f>
        <v>987.1</v>
      </c>
      <c r="L27" s="5">
        <f>IF(OR('Revenue'!L27="",'FX rate used'!L27=""),"",'Revenue'!L27/'FX rate used'!L27)</f>
        <v>1633.0</v>
      </c>
      <c r="M27" s="5">
        <f>IF(OR('Revenue'!M27="",'FX rate used'!M27=""),"",'Revenue'!M27/'FX rate used'!M27)</f>
        <v>2852.8</v>
      </c>
    </row>
    <row r="28">
      <c r="A28" t="inlineStr">
        <is>
          <t>K.TO</t>
        </is>
      </c>
      <c r="B28" t="inlineStr">
        <is>
          <t>Kinross Gold Corp</t>
        </is>
      </c>
      <c r="C28" t="inlineStr">
        <is>
          <t>USD</t>
        </is>
      </c>
      <c r="D28" t="inlineStr">
        <is>
          <t>31 Dec</t>
        </is>
      </c>
      <c r="I28" s="5">
        <f>IF(OR('Revenue'!I28="",'FX rate used'!I28=""),"",'Revenue'!I28/'FX rate used'!I28)</f>
        <v>2599.6</v>
      </c>
      <c r="J28" s="5">
        <f>IF(OR('Revenue'!J28="",'FX rate used'!J28=""),"",'Revenue'!J28/'FX rate used'!J28)</f>
        <v>3455.1</v>
      </c>
      <c r="K28" s="5">
        <f>IF(OR('Revenue'!K28="",'FX rate used'!K28=""),"",'Revenue'!K28/'FX rate used'!K28)</f>
        <v>4239.7</v>
      </c>
      <c r="L28" s="5">
        <f>IF(OR('Revenue'!L28="",'FX rate used'!L28=""),"",'Revenue'!L28/'FX rate used'!L28)</f>
        <v>5148.8</v>
      </c>
      <c r="M28" s="5">
        <f>IF(OR('Revenue'!M28="",'FX rate used'!M28=""),"",'Revenue'!M28/'FX rate used'!M28)</f>
        <v>7051.1</v>
      </c>
    </row>
    <row r="29">
      <c r="A29" t="inlineStr">
        <is>
          <t>KNT.TO</t>
        </is>
      </c>
      <c r="B29" t="inlineStr">
        <is>
          <t>K92 Mining Inc</t>
        </is>
      </c>
      <c r="C29" t="inlineStr">
        <is>
          <t>USD</t>
        </is>
      </c>
      <c r="D29" t="inlineStr">
        <is>
          <t>31 Dec</t>
        </is>
      </c>
      <c r="I29" s="5">
        <f>IF(OR('Revenue'!I29="",'FX rate used'!I29=""),"",'Revenue'!I29/'FX rate used'!I29)</f>
        <v>154.33</v>
      </c>
      <c r="J29" s="5">
        <f>IF(OR('Revenue'!J29="",'FX rate used'!J29=""),"",'Revenue'!J29/'FX rate used'!J29)</f>
        <v>188.19</v>
      </c>
      <c r="K29" s="5">
        <f>IF(OR('Revenue'!K29="",'FX rate used'!K29=""),"",'Revenue'!K29/'FX rate used'!K29)</f>
        <v>200.25</v>
      </c>
      <c r="L29" s="5">
        <f>IF(OR('Revenue'!L29="",'FX rate used'!L29=""),"",'Revenue'!L29/'FX rate used'!L29)</f>
        <v>350.62</v>
      </c>
      <c r="M29" s="5">
        <f>IF(OR('Revenue'!M29="",'FX rate used'!M29=""),"",'Revenue'!M29/'FX rate used'!M29)</f>
        <v>595.25</v>
      </c>
    </row>
    <row r="30">
      <c r="A30" t="inlineStr">
        <is>
          <t>LYC.AX</t>
        </is>
      </c>
      <c r="B30" t="inlineStr">
        <is>
          <t>Lynas Rare Earths Ltd</t>
        </is>
      </c>
      <c r="C30" t="inlineStr">
        <is>
          <t>USD</t>
        </is>
      </c>
      <c r="D30" t="inlineStr">
        <is>
          <t>30 Jun</t>
        </is>
      </c>
      <c r="J30" s="5">
        <f>IF(OR('Revenue'!J30="",'FX rate used'!J30=""),"",'Revenue'!J30/'FX rate used'!J30)</f>
        <v>667.481662591687</v>
      </c>
      <c r="K30" s="5">
        <f>IF(OR('Revenue'!K30="",'FX rate used'!K30=""),"",'Revenue'!K30/'FX rate used'!K30)</f>
        <v>497.4219884902871</v>
      </c>
      <c r="L30" s="5">
        <f>IF(OR('Revenue'!L30="",'FX rate used'!L30=""),"",'Revenue'!L30/'FX rate used'!L30)</f>
        <v>303.72621699618577</v>
      </c>
      <c r="M30" s="5">
        <f>IF(OR('Revenue'!M30="",'FX rate used'!M30=""),"",'Revenue'!M30/'FX rate used'!M30)</f>
        <v>360.35248509242405</v>
      </c>
      <c r="N30" s="5">
        <f>IF(OR('Revenue'!N30="",'FX rate used'!N30=""),"",'Revenue'!N30/'FX rate used'!N30)</f>
        <v>662.7617297203518</v>
      </c>
    </row>
    <row r="31">
      <c r="A31" t="inlineStr">
        <is>
          <t>MSA.TO</t>
        </is>
      </c>
      <c r="B31" t="inlineStr">
        <is>
          <t>Mineros SA</t>
        </is>
      </c>
      <c r="C31" t="inlineStr">
        <is>
          <t>USD</t>
        </is>
      </c>
      <c r="D31" t="inlineStr">
        <is>
          <t>31 Dec</t>
        </is>
      </c>
      <c r="I31" s="5">
        <f>IF(OR('Revenue'!I31="",'FX rate used'!I31=""),"",'Revenue'!I31/'FX rate used'!I31)</f>
        <v>496.25</v>
      </c>
      <c r="J31" s="5">
        <f>IF(OR('Revenue'!J31="",'FX rate used'!J31=""),"",'Revenue'!J31/'FX rate used'!J31)</f>
        <v>414.94</v>
      </c>
      <c r="K31" s="5">
        <f>IF(OR('Revenue'!K31="",'FX rate used'!K31=""),"",'Revenue'!K31/'FX rate used'!K31)</f>
        <v>447.29</v>
      </c>
      <c r="L31" s="5">
        <f>IF(OR('Revenue'!L31="",'FX rate used'!L31=""),"",'Revenue'!L31/'FX rate used'!L31)</f>
        <v>538.57</v>
      </c>
      <c r="M31" s="5">
        <f>IF(OR('Revenue'!M31="",'FX rate used'!M31=""),"",'Revenue'!M31/'FX rate used'!M31)</f>
        <v>799.67</v>
      </c>
    </row>
    <row r="32">
      <c r="A32" t="inlineStr">
        <is>
          <t>MUX</t>
        </is>
      </c>
      <c r="B32" t="inlineStr">
        <is>
          <t>McEwen Mining Inc</t>
        </is>
      </c>
      <c r="C32" t="inlineStr">
        <is>
          <t>USD</t>
        </is>
      </c>
      <c r="D32" t="inlineStr">
        <is>
          <t>31 Dec</t>
        </is>
      </c>
      <c r="I32" s="5">
        <f>IF(OR('Revenue'!I32="",'FX rate used'!I32=""),"",'Revenue'!I32/'FX rate used'!I32)</f>
        <v>136.54</v>
      </c>
      <c r="J32" s="5">
        <f>IF(OR('Revenue'!J32="",'FX rate used'!J32=""),"",'Revenue'!J32/'FX rate used'!J32)</f>
        <v>110.42</v>
      </c>
      <c r="K32" s="5">
        <f>IF(OR('Revenue'!K32="",'FX rate used'!K32=""),"",'Revenue'!K32/'FX rate used'!K32)</f>
        <v>166.23</v>
      </c>
      <c r="L32" s="5">
        <f>IF(OR('Revenue'!L32="",'FX rate used'!L32=""),"",'Revenue'!L32/'FX rate used'!L32)</f>
        <v>174.48</v>
      </c>
      <c r="M32" s="5">
        <f>IF(OR('Revenue'!M32="",'FX rate used'!M32=""),"",'Revenue'!M32/'FX rate used'!M32)</f>
        <v>197.55</v>
      </c>
    </row>
    <row r="33">
      <c r="A33" t="inlineStr">
        <is>
          <t>NFGC.TO</t>
        </is>
      </c>
      <c r="B33" t="inlineStr">
        <is>
          <t>New Found Gold Corp</t>
        </is>
      </c>
      <c r="C33" t="inlineStr">
        <is>
          <t>USD</t>
        </is>
      </c>
      <c r="D33" t="inlineStr">
        <is>
          <t>31 Dec</t>
        </is>
      </c>
      <c r="J33" s="5">
        <f>IF(OR('Revenue'!J33="",'FX rate used'!J33=""),"",'Revenue'!J33/'FX rate used'!J33)</f>
        <v>0.0</v>
      </c>
      <c r="K33" s="5">
        <f>IF(OR('Revenue'!K33="",'FX rate used'!K33=""),"",'Revenue'!K33/'FX rate used'!K33)</f>
        <v>0.0</v>
      </c>
      <c r="L33" s="5">
        <f>IF(OR('Revenue'!L33="",'FX rate used'!L33=""),"",'Revenue'!L33/'FX rate used'!L33)</f>
        <v>0.0</v>
      </c>
      <c r="M33" s="5">
        <f>IF(OR('Revenue'!M33="",'FX rate used'!M33=""),"",'Revenue'!M33/'FX rate used'!M33)</f>
        <v>4.15739124772542</v>
      </c>
    </row>
    <row r="34">
      <c r="A34" t="inlineStr">
        <is>
          <t>OBM.AX</t>
        </is>
      </c>
      <c r="B34" t="inlineStr">
        <is>
          <t>Ora Banda Mining Ltd</t>
        </is>
      </c>
      <c r="C34" t="inlineStr">
        <is>
          <t>USD</t>
        </is>
      </c>
      <c r="D34" t="inlineStr">
        <is>
          <t>30 Jun</t>
        </is>
      </c>
      <c r="J34" s="5">
        <f>IF(OR('Revenue'!J34="",'FX rate used'!J34=""),"",'Revenue'!J34/'FX rate used'!J34)</f>
        <v>111.91804575101753</v>
      </c>
      <c r="K34" s="5">
        <f>IF(OR('Revenue'!K34="",'FX rate used'!K34=""),"",'Revenue'!K34/'FX rate used'!K34)</f>
        <v>91.43311602632981</v>
      </c>
      <c r="L34" s="5">
        <f>IF(OR('Revenue'!L34="",'FX rate used'!L34=""),"",'Revenue'!L34/'FX rate used'!L34)</f>
        <v>140.45264246856794</v>
      </c>
      <c r="M34" s="5">
        <f>IF(OR('Revenue'!M34="",'FX rate used'!M34=""),"",'Revenue'!M34/'FX rate used'!M34)</f>
        <v>261.78668163737603</v>
      </c>
      <c r="N34" s="5">
        <f>IF(OR('Revenue'!N34="",'FX rate used'!N34=""),"",'Revenue'!N34/'FX rate used'!N34)</f>
        <v>547.2468906888737</v>
      </c>
    </row>
    <row r="35">
      <c r="A35" t="inlineStr">
        <is>
          <t>OGC.TO</t>
        </is>
      </c>
      <c r="B35" t="inlineStr">
        <is>
          <t>OceanaGold Corp</t>
        </is>
      </c>
      <c r="C35" t="inlineStr">
        <is>
          <t>USD</t>
        </is>
      </c>
      <c r="D35" t="inlineStr">
        <is>
          <t>31 Dec</t>
        </is>
      </c>
      <c r="I35" s="5">
        <f>IF(OR('Revenue'!I35="",'FX rate used'!I35=""),"",'Revenue'!I35/'FX rate used'!I35)</f>
        <v>744.7</v>
      </c>
      <c r="J35" s="5">
        <f>IF(OR('Revenue'!J35="",'FX rate used'!J35=""),"",'Revenue'!J35/'FX rate used'!J35)</f>
        <v>967.4</v>
      </c>
      <c r="K35" s="5">
        <f>IF(OR('Revenue'!K35="",'FX rate used'!K35=""),"",'Revenue'!K35/'FX rate used'!K35)</f>
        <v>1026.3</v>
      </c>
      <c r="L35" s="5">
        <f>IF(OR('Revenue'!L35="",'FX rate used'!L35=""),"",'Revenue'!L35/'FX rate used'!L35)</f>
        <v>1294.0</v>
      </c>
      <c r="M35" s="5">
        <f>IF(OR('Revenue'!M35="",'FX rate used'!M35=""),"",'Revenue'!M35/'FX rate used'!M35)</f>
        <v>1893.2</v>
      </c>
    </row>
    <row r="36">
      <c r="A36" t="inlineStr">
        <is>
          <t>OGG.V</t>
        </is>
      </c>
      <c r="B36" t="inlineStr">
        <is>
          <t>Osisko Gold Group Inc (formerly Osisko Development)</t>
        </is>
      </c>
      <c r="C36" t="inlineStr">
        <is>
          <t>USD</t>
        </is>
      </c>
      <c r="D36" t="inlineStr">
        <is>
          <t>31 Dec</t>
        </is>
      </c>
      <c r="I36" s="5">
        <f>IF(OR('Revenue'!I36="",'FX rate used'!I36=""),"",'Revenue'!I36/'FX rate used'!I36)</f>
        <v>6.111016263600202</v>
      </c>
      <c r="J36" s="5">
        <f>IF(OR('Revenue'!J36="",'FX rate used'!J36=""),"",'Revenue'!J36/'FX rate used'!J36)</f>
        <v>49.2176657993702</v>
      </c>
      <c r="K36" s="5">
        <f>IF(OR('Revenue'!K36="",'FX rate used'!K36=""),"",'Revenue'!K36/'FX rate used'!K36)</f>
        <v>23.431837954241963</v>
      </c>
      <c r="L36" s="5">
        <f>IF(OR('Revenue'!L36="",'FX rate used'!L36=""),"",'Revenue'!L36/'FX rate used'!L36)</f>
        <v>3.3296872284588948</v>
      </c>
      <c r="M36" s="5">
        <f>IF(OR('Revenue'!M36="",'FX rate used'!M36=""),"",'Revenue'!M36/'FX rate used'!M36)</f>
        <v>25.387993368209624</v>
      </c>
    </row>
    <row r="37">
      <c r="A37" t="inlineStr">
        <is>
          <t>OLA.TO</t>
        </is>
      </c>
      <c r="B37" t="inlineStr">
        <is>
          <t>Orla Mining Ltd</t>
        </is>
      </c>
      <c r="C37" t="inlineStr">
        <is>
          <t>USD</t>
        </is>
      </c>
      <c r="D37" t="inlineStr">
        <is>
          <t>31 Dec</t>
        </is>
      </c>
      <c r="I37" s="5">
        <f>IF(OR('Revenue'!I37="",'FX rate used'!I37=""),"",'Revenue'!I37/'FX rate used'!I37)</f>
        <v>4.12</v>
      </c>
      <c r="J37" s="5">
        <f>IF(OR('Revenue'!J37="",'FX rate used'!J37=""),"",'Revenue'!J37/'FX rate used'!J37)</f>
        <v>193.23</v>
      </c>
      <c r="K37" s="5">
        <f>IF(OR('Revenue'!K37="",'FX rate used'!K37=""),"",'Revenue'!K37/'FX rate used'!K37)</f>
        <v>233.64</v>
      </c>
      <c r="L37" s="5">
        <f>IF(OR('Revenue'!L37="",'FX rate used'!L37=""),"",'Revenue'!L37/'FX rate used'!L37)</f>
        <v>343.92</v>
      </c>
      <c r="M37" s="5">
        <f>IF(OR('Revenue'!M37="",'FX rate used'!M37=""),"",'Revenue'!M37/'FX rate used'!M37)</f>
        <v>1057.88</v>
      </c>
    </row>
    <row r="38">
      <c r="A38" t="inlineStr">
        <is>
          <t>PGM.V</t>
        </is>
      </c>
      <c r="B38" t="inlineStr">
        <is>
          <t>Pure Gold Mining Inc</t>
        </is>
      </c>
      <c r="C38" t="inlineStr">
        <is>
          <t>USD</t>
        </is>
      </c>
      <c r="D38" t="inlineStr"/>
    </row>
    <row r="39">
      <c r="A39" t="inlineStr">
        <is>
          <t>PNR.AX</t>
        </is>
      </c>
      <c r="B39" t="inlineStr">
        <is>
          <t>Pantoro Gold Ltd</t>
        </is>
      </c>
      <c r="C39" t="inlineStr">
        <is>
          <t>USD</t>
        </is>
      </c>
      <c r="D39" t="inlineStr">
        <is>
          <t>30 Jun</t>
        </is>
      </c>
      <c r="I39" s="5">
        <f>IF(OR('Revenue'!I39="",'FX rate used'!I39=""),"",'Revenue'!I39/'FX rate used'!I39)</f>
        <v>65.49781773417392</v>
      </c>
      <c r="J39" s="5">
        <f>IF(OR('Revenue'!J39="",'FX rate used'!J39=""),"",'Revenue'!J39/'FX rate used'!J39)</f>
        <v>53.33991134198631</v>
      </c>
      <c r="K39" s="5">
        <f>IF(OR('Revenue'!K39="",'FX rate used'!K39=""),"",'Revenue'!K39/'FX rate used'!K39)</f>
        <v>66.30229783821136</v>
      </c>
      <c r="L39" s="5">
        <f>IF(OR('Revenue'!L39="",'FX rate used'!L39=""),"",'Revenue'!L39/'FX rate used'!L39)</f>
        <v>150.4109865644303</v>
      </c>
      <c r="M39" s="5">
        <f>IF(OR('Revenue'!M39="",'FX rate used'!M39=""),"",'Revenue'!M39/'FX rate used'!M39)</f>
        <v>231.35962143272022</v>
      </c>
    </row>
    <row r="40">
      <c r="A40" t="inlineStr">
        <is>
          <t>PSAB.JK</t>
        </is>
      </c>
      <c r="B40" t="inlineStr">
        <is>
          <t>PT J Resources Asia Pasifik Tbk</t>
        </is>
      </c>
      <c r="C40" t="inlineStr">
        <is>
          <t>USD</t>
        </is>
      </c>
      <c r="D40" t="inlineStr">
        <is>
          <t>31 Dec</t>
        </is>
      </c>
      <c r="I40" s="5">
        <f>IF(OR('Revenue'!I40="",'FX rate used'!I40=""),"",'Revenue'!I40/'FX rate used'!I40)</f>
        <v>237.15</v>
      </c>
      <c r="J40" s="5">
        <f>IF(OR('Revenue'!J40="",'FX rate used'!J40=""),"",'Revenue'!J40/'FX rate used'!J40)</f>
        <v>100.27</v>
      </c>
      <c r="K40" s="5">
        <f>IF(OR('Revenue'!K40="",'FX rate used'!K40=""),"",'Revenue'!K40/'FX rate used'!K40)</f>
        <v>170.15</v>
      </c>
      <c r="L40" s="5">
        <f>IF(OR('Revenue'!L40="",'FX rate used'!L40=""),"",'Revenue'!L40/'FX rate used'!L40)</f>
        <v>236.01</v>
      </c>
      <c r="M40" s="5">
        <f>IF(OR('Revenue'!M40="",'FX rate used'!M40=""),"",'Revenue'!M40/'FX rate used'!M40)</f>
        <v>288.75</v>
      </c>
    </row>
    <row r="41">
      <c r="A41" t="inlineStr">
        <is>
          <t>RMS.AX</t>
        </is>
      </c>
      <c r="B41" t="inlineStr">
        <is>
          <t>Ramelius Resources Ltd</t>
        </is>
      </c>
      <c r="C41" t="inlineStr">
        <is>
          <t>USD</t>
        </is>
      </c>
      <c r="D41" t="inlineStr">
        <is>
          <t>30 Jun</t>
        </is>
      </c>
      <c r="J41" s="5">
        <f>IF(OR('Revenue'!J41="",'FX rate used'!J41=""),"",'Revenue'!J41/'FX rate used'!J41)</f>
        <v>438.13165207170994</v>
      </c>
      <c r="K41" s="5">
        <f>IF(OR('Revenue'!K41="",'FX rate used'!K41=""),"",'Revenue'!K41/'FX rate used'!K41)</f>
        <v>424.7949331964315</v>
      </c>
      <c r="L41" s="5">
        <f>IF(OR('Revenue'!L41="",'FX rate used'!L41=""),"",'Revenue'!L41/'FX rate used'!L41)</f>
        <v>578.6001151208178</v>
      </c>
      <c r="M41" s="5">
        <f>IF(OR('Revenue'!M41="",'FX rate used'!M41=""),"",'Revenue'!M41/'FX rate used'!M41)</f>
        <v>779.2085856241043</v>
      </c>
      <c r="N41" s="5">
        <f>IF(OR('Revenue'!N41="",'FX rate used'!N41=""),"",'Revenue'!N41/'FX rate used'!N41)</f>
        <v>699.9541871333615</v>
      </c>
    </row>
    <row r="42">
      <c r="A42" t="inlineStr">
        <is>
          <t>RRL.AX</t>
        </is>
      </c>
      <c r="B42" t="inlineStr">
        <is>
          <t>Regis Resources Ltd</t>
        </is>
      </c>
      <c r="C42" t="inlineStr">
        <is>
          <t>USD</t>
        </is>
      </c>
      <c r="D42" t="inlineStr">
        <is>
          <t>30 Jun</t>
        </is>
      </c>
      <c r="J42" s="5">
        <f>IF(OR('Revenue'!J42="",'FX rate used'!J42=""),"",'Revenue'!J42/'FX rate used'!J42)</f>
        <v>736.9062561215384</v>
      </c>
      <c r="K42" s="5">
        <f>IF(OR('Revenue'!K42="",'FX rate used'!K42=""),"",'Revenue'!K42/'FX rate used'!K42)</f>
        <v>762.8263053391046</v>
      </c>
      <c r="L42" s="5">
        <f>IF(OR('Revenue'!L42="",'FX rate used'!L42=""),"",'Revenue'!L42/'FX rate used'!L42)</f>
        <v>827.8799544236944</v>
      </c>
      <c r="M42" s="5">
        <f>IF(OR('Revenue'!M42="",'FX rate used'!M42=""),"",'Revenue'!M42/'FX rate used'!M42)</f>
        <v>1066.734267966632</v>
      </c>
      <c r="N42" s="5">
        <f>IF(OR('Revenue'!N42="",'FX rate used'!N42=""),"",'Revenue'!N42/'FX rate used'!N42)</f>
        <v>1591.997115686976</v>
      </c>
    </row>
    <row r="43">
      <c r="A43" t="inlineStr">
        <is>
          <t>RSG.AX</t>
        </is>
      </c>
      <c r="B43" t="inlineStr">
        <is>
          <t>Resolute Mining Ltd</t>
        </is>
      </c>
      <c r="C43" t="inlineStr">
        <is>
          <t>USD</t>
        </is>
      </c>
      <c r="D43" t="inlineStr">
        <is>
          <t>31 Dec</t>
        </is>
      </c>
      <c r="I43" s="5">
        <f>IF(OR('Revenue'!I43="",'FX rate used'!I43=""),"",'Revenue'!I43/'FX rate used'!I43)</f>
        <v>549.24</v>
      </c>
      <c r="J43" s="5">
        <f>IF(OR('Revenue'!J43="",'FX rate used'!J43=""),"",'Revenue'!J43/'FX rate used'!J43)</f>
        <v>651.13</v>
      </c>
      <c r="K43" s="5">
        <f>IF(OR('Revenue'!K43="",'FX rate used'!K43=""),"",'Revenue'!K43/'FX rate used'!K43)</f>
        <v>631.07</v>
      </c>
      <c r="L43" s="5">
        <f>IF(OR('Revenue'!L43="",'FX rate used'!L43=""),"",'Revenue'!L43/'FX rate used'!L43)</f>
        <v>801.0</v>
      </c>
      <c r="M43" s="5">
        <f>IF(OR('Revenue'!M43="",'FX rate used'!M43=""),"",'Revenue'!M43/'FX rate used'!M43)</f>
        <v>865.6</v>
      </c>
    </row>
    <row r="44">
      <c r="A44" t="inlineStr">
        <is>
          <t>SBM.AX</t>
        </is>
      </c>
      <c r="B44" t="inlineStr">
        <is>
          <t>St Barbara Ltd</t>
        </is>
      </c>
      <c r="C44" t="inlineStr">
        <is>
          <t>USD</t>
        </is>
      </c>
      <c r="D44" t="inlineStr">
        <is>
          <t>30 Jun</t>
        </is>
      </c>
      <c r="J44" s="5">
        <f>IF(OR('Revenue'!J44="",'FX rate used'!J44=""),"",'Revenue'!J44/'FX rate used'!J44)</f>
        <v>146.02453693962985</v>
      </c>
      <c r="K44" s="5">
        <f>IF(OR('Revenue'!K44="",'FX rate used'!K44=""),"",'Revenue'!K44/'FX rate used'!K44)</f>
        <v>217.90135127770193</v>
      </c>
      <c r="L44" s="5">
        <f>IF(OR('Revenue'!L44="",'FX rate used'!L44=""),"",'Revenue'!L44/'FX rate used'!L44)</f>
        <v>129.62236962698495</v>
      </c>
      <c r="M44" s="5">
        <f>IF(OR('Revenue'!M44="",'FX rate used'!M44=""),"",'Revenue'!M44/'FX rate used'!M44)</f>
        <v>9.732256115683695</v>
      </c>
      <c r="N44" s="5">
        <f>IF(OR('Revenue'!N44="",'FX rate used'!N44=""),"",'Revenue'!N44/'FX rate used'!N44)</f>
        <v>2.453292562592846</v>
      </c>
    </row>
    <row r="45">
      <c r="A45" t="inlineStr">
        <is>
          <t>SPA.V</t>
        </is>
      </c>
      <c r="B45" t="inlineStr">
        <is>
          <t>Spanish Mountain Gold Ltd</t>
        </is>
      </c>
      <c r="C45" t="inlineStr">
        <is>
          <t>USD</t>
        </is>
      </c>
      <c r="D45" t="inlineStr">
        <is>
          <t>31 Dec</t>
        </is>
      </c>
      <c r="J45" s="5">
        <f>IF(OR('Revenue'!J45="",'FX rate used'!J45=""),"",'Revenue'!J45/'FX rate used'!J45)</f>
        <v>0.0</v>
      </c>
      <c r="K45" s="5">
        <f>IF(OR('Revenue'!K45="",'FX rate used'!K45=""),"",'Revenue'!K45/'FX rate used'!K45)</f>
        <v>0.0</v>
      </c>
      <c r="L45" s="5">
        <f>IF(OR('Revenue'!L45="",'FX rate used'!L45=""),"",'Revenue'!L45/'FX rate used'!L45)</f>
        <v>0.0</v>
      </c>
      <c r="M45" s="5">
        <f>IF(OR('Revenue'!M45="",'FX rate used'!M45=""),"",'Revenue'!M45/'FX rate used'!M45)</f>
        <v>0.0</v>
      </c>
    </row>
    <row r="46">
      <c r="A46" t="inlineStr">
        <is>
          <t>SSRM</t>
        </is>
      </c>
      <c r="B46" t="inlineStr">
        <is>
          <t>SSR Mining Inc</t>
        </is>
      </c>
      <c r="C46" t="inlineStr">
        <is>
          <t>USD</t>
        </is>
      </c>
      <c r="D46" t="inlineStr">
        <is>
          <t>31 Dec</t>
        </is>
      </c>
      <c r="I46" s="5">
        <f>IF(OR('Revenue'!I46="",'FX rate used'!I46=""),"",'Revenue'!I46/'FX rate used'!I46)</f>
        <v>1474.2</v>
      </c>
      <c r="J46" s="5">
        <f>IF(OR('Revenue'!J46="",'FX rate used'!J46=""),"",'Revenue'!J46/'FX rate used'!J46)</f>
        <v>1148.03</v>
      </c>
      <c r="K46" s="5">
        <f>IF(OR('Revenue'!K46="",'FX rate used'!K46=""),"",'Revenue'!K46/'FX rate used'!K46)</f>
        <v>1426.93</v>
      </c>
      <c r="L46" s="5">
        <f>IF(OR('Revenue'!L46="",'FX rate used'!L46=""),"",'Revenue'!L46/'FX rate used'!L46)</f>
        <v>995.62</v>
      </c>
      <c r="M46" s="5">
        <f>IF(OR('Revenue'!M46="",'FX rate used'!M46=""),"",'Revenue'!M46/'FX rate used'!M46)</f>
        <v>1629.64</v>
      </c>
    </row>
    <row r="47">
      <c r="A47" t="inlineStr">
        <is>
          <t>STLR.TO</t>
        </is>
      </c>
      <c r="B47" t="inlineStr">
        <is>
          <t>STLLR Gold Inc</t>
        </is>
      </c>
      <c r="C47" t="inlineStr">
        <is>
          <t>USD</t>
        </is>
      </c>
      <c r="D47" t="inlineStr">
        <is>
          <t>31 Dec</t>
        </is>
      </c>
      <c r="J47" s="5">
        <f>IF(OR('Revenue'!J47="",'FX rate used'!J47=""),"",'Revenue'!J47/'FX rate used'!J47)</f>
        <v>0.0</v>
      </c>
      <c r="K47" s="5">
        <f>IF(OR('Revenue'!K47="",'FX rate used'!K47=""),"",'Revenue'!K47/'FX rate used'!K47)</f>
        <v>0.0</v>
      </c>
      <c r="L47" s="5">
        <f>IF(OR('Revenue'!L47="",'FX rate used'!L47=""),"",'Revenue'!L47/'FX rate used'!L47)</f>
        <v>0.0</v>
      </c>
      <c r="M47" s="5">
        <f>IF(OR('Revenue'!M47="",'FX rate used'!M47=""),"",'Revenue'!M47/'FX rate used'!M47)</f>
        <v>0.0</v>
      </c>
    </row>
    <row r="48">
      <c r="A48" t="inlineStr">
        <is>
          <t>TSK.TO</t>
        </is>
      </c>
      <c r="B48" t="inlineStr">
        <is>
          <t>Talisker Resources Ltd</t>
        </is>
      </c>
      <c r="C48" t="inlineStr">
        <is>
          <t>USD</t>
        </is>
      </c>
      <c r="D48" t="inlineStr">
        <is>
          <t>31 Dec</t>
        </is>
      </c>
      <c r="J48" s="5">
        <f>IF(OR('Revenue'!J48="",'FX rate used'!J48=""),"",'Revenue'!J48/'FX rate used'!J48)</f>
        <v>0.0</v>
      </c>
      <c r="K48" s="5">
        <f>IF(OR('Revenue'!K48="",'FX rate used'!K48=""),"",'Revenue'!K48/'FX rate used'!K48)</f>
        <v>0.0</v>
      </c>
      <c r="L48" s="5">
        <f>IF(OR('Revenue'!L48="",'FX rate used'!L48=""),"",'Revenue'!L48/'FX rate used'!L48)</f>
        <v>0.0</v>
      </c>
      <c r="M48" s="5">
        <f>IF(OR('Revenue'!M48="",'FX rate used'!M48=""),"",'Revenue'!M48/'FX rate used'!M48)</f>
        <v>9.030340369413908</v>
      </c>
    </row>
    <row r="49">
      <c r="A49" t="inlineStr">
        <is>
          <t>VAU.AX</t>
        </is>
      </c>
      <c r="B49" t="inlineStr">
        <is>
          <t>Vault Minerals Ltd</t>
        </is>
      </c>
      <c r="C49" t="inlineStr">
        <is>
          <t>USD</t>
        </is>
      </c>
      <c r="D49" t="inlineStr">
        <is>
          <t>30 Jun</t>
        </is>
      </c>
      <c r="J49" s="5">
        <f>IF(OR('Revenue'!J49="",'FX rate used'!J49=""),"",'Revenue'!J49/'FX rate used'!J49)</f>
        <v>119.68106331575167</v>
      </c>
      <c r="K49" s="5">
        <f>IF(OR('Revenue'!K49="",'FX rate used'!K49=""),"",'Revenue'!K49/'FX rate used'!K49)</f>
        <v>284.44587386953367</v>
      </c>
      <c r="L49" s="5">
        <f>IF(OR('Revenue'!L49="",'FX rate used'!L49=""),"",'Revenue'!L49/'FX rate used'!L49)</f>
        <v>406.4630243209117</v>
      </c>
      <c r="M49" s="5">
        <f>IF(OR('Revenue'!M49="",'FX rate used'!M49=""),"",'Revenue'!M49/'FX rate used'!M49)</f>
        <v>927.3162996188038</v>
      </c>
      <c r="N49" s="5">
        <f>IF(OR('Revenue'!N49="",'FX rate used'!N49=""),"",'Revenue'!N49/'FX rate used'!N49)</f>
        <v>1305.6734762477906</v>
      </c>
    </row>
    <row r="50">
      <c r="A50" t="inlineStr">
        <is>
          <t>WAF.AX</t>
        </is>
      </c>
      <c r="B50" t="inlineStr">
        <is>
          <t>West African Resources Ltd</t>
        </is>
      </c>
      <c r="C50" t="inlineStr">
        <is>
          <t>USD</t>
        </is>
      </c>
      <c r="D50" t="inlineStr">
        <is>
          <t>31 Dec</t>
        </is>
      </c>
      <c r="I50" s="5">
        <f>IF(OR('Revenue'!I50="",'FX rate used'!I50=""),"",'Revenue'!I50/'FX rate used'!I50)</f>
        <v>534.7239429639808</v>
      </c>
      <c r="J50" s="5">
        <f>IF(OR('Revenue'!J50="",'FX rate used'!J50=""),"",'Revenue'!J50/'FX rate used'!J50)</f>
        <v>421.8013817093417</v>
      </c>
      <c r="K50" s="5">
        <f>IF(OR('Revenue'!K50="",'FX rate used'!K50=""),"",'Revenue'!K50/'FX rate used'!K50)</f>
        <v>439.09698343699324</v>
      </c>
      <c r="L50" s="5">
        <f>IF(OR('Revenue'!L50="",'FX rate used'!L50=""),"",'Revenue'!L50/'FX rate used'!L50)</f>
        <v>481.6819012314561</v>
      </c>
      <c r="M50" s="5">
        <f>IF(OR('Revenue'!M50="",'FX rate used'!M50=""),"",'Revenue'!M50/'FX rate used'!M50)</f>
        <v>994.7625077040907</v>
      </c>
    </row>
    <row r="51">
      <c r="A51" t="inlineStr">
        <is>
          <t>WDO.TO</t>
        </is>
      </c>
      <c r="B51" t="inlineStr">
        <is>
          <t>Wesdome Gold Mines Ltd</t>
        </is>
      </c>
      <c r="C51" t="inlineStr">
        <is>
          <t>USD</t>
        </is>
      </c>
      <c r="D51" t="inlineStr">
        <is>
          <t>31 Dec</t>
        </is>
      </c>
      <c r="I51" s="5">
        <f>IF(OR('Revenue'!I51="",'FX rate used'!I51=""),"",'Revenue'!I51/'FX rate used'!I51)</f>
        <v>209.74507648343726</v>
      </c>
      <c r="J51" s="5">
        <f>IF(OR('Revenue'!J51="",'FX rate used'!J51=""),"",'Revenue'!J51/'FX rate used'!J51)</f>
        <v>204.00165365209682</v>
      </c>
      <c r="K51" s="5">
        <f>IF(OR('Revenue'!K51="",'FX rate used'!K51=""),"",'Revenue'!K51/'FX rate used'!K51)</f>
        <v>246.89391053810232</v>
      </c>
      <c r="L51" s="5">
        <f>IF(OR('Revenue'!L51="",'FX rate used'!L51=""),"",'Revenue'!L51/'FX rate used'!L51)</f>
        <v>407.5800037678039</v>
      </c>
      <c r="M51" s="5">
        <f>IF(OR('Revenue'!M51="",'FX rate used'!M51=""),"",'Revenue'!M51/'FX rate used'!M51)</f>
        <v>654.2560309006512</v>
      </c>
    </row>
    <row r="52">
      <c r="A52" t="inlineStr">
        <is>
          <t>WGX.AX</t>
        </is>
      </c>
      <c r="B52" t="inlineStr">
        <is>
          <t>Westgold Resources Ltd</t>
        </is>
      </c>
      <c r="C52" t="inlineStr">
        <is>
          <t>USD</t>
        </is>
      </c>
      <c r="D52" t="inlineStr">
        <is>
          <t>30 Jun</t>
        </is>
      </c>
      <c r="J52" s="5">
        <f>IF(OR('Revenue'!J52="",'FX rate used'!J52=""),"",'Revenue'!J52/'FX rate used'!J52)</f>
        <v>469.82943126827394</v>
      </c>
      <c r="K52" s="5">
        <f>IF(OR('Revenue'!K52="",'FX rate used'!K52=""),"",'Revenue'!K52/'FX rate used'!K52)</f>
        <v>441.8246790690226</v>
      </c>
      <c r="L52" s="5">
        <f>IF(OR('Revenue'!L52="",'FX rate used'!L52=""),"",'Revenue'!L52/'FX rate used'!L52)</f>
        <v>469.7073597341994</v>
      </c>
      <c r="M52" s="5">
        <f>IF(OR('Revenue'!M52="",'FX rate used'!M52=""),"",'Revenue'!M52/'FX rate used'!M52)</f>
        <v>880.8242178419515</v>
      </c>
      <c r="N52" s="5">
        <f>IF(OR('Revenue'!N52="",'FX rate used'!N52=""),"",'Revenue'!N52/'FX rate used'!N52)</f>
        <v>1654.203669366644</v>
      </c>
    </row>
    <row r="53">
      <c r="A53" t="inlineStr">
        <is>
          <t>WMC.AX</t>
        </is>
      </c>
      <c r="B53" t="inlineStr">
        <is>
          <t>Wiluna Mining Corp Ltd (formerly Blackham Resources)</t>
        </is>
      </c>
      <c r="C53" t="inlineStr">
        <is>
          <t>USD</t>
        </is>
      </c>
      <c r="D53" t="inlineStr"/>
    </row>
    <row r="54"/>
    <row r="55">
      <c r="A55" s="4" t="inlineStr">
        <is>
          <t>Revenue / average FX rate over that fiscal year (from the 'FX rate used' tab), in USD millions.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2" customWidth="1" min="2" max="2"/>
    <col width="9" customWidth="1" min="3" max="3"/>
    <col width="14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currency</t>
        </is>
      </c>
      <c r="D1" s="1" t="inlineStr">
        <is>
          <t>fiscal year ends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  <c r="M1" s="1" t="inlineStr">
        <is>
          <t>2025</t>
        </is>
      </c>
      <c r="N1" s="1" t="inlineStr">
        <is>
          <t>2026</t>
        </is>
      </c>
    </row>
    <row r="2">
      <c r="A2" t="inlineStr">
        <is>
          <t>2259.HK</t>
        </is>
      </c>
      <c r="B2" t="inlineStr">
        <is>
          <t>Zijin Gold International Co Ltd</t>
        </is>
      </c>
      <c r="C2" t="inlineStr">
        <is>
          <t>USD</t>
        </is>
      </c>
      <c r="D2" t="inlineStr">
        <is>
          <t>31 Dec</t>
        </is>
      </c>
      <c r="J2" s="6" t="n">
        <v>1</v>
      </c>
      <c r="K2" s="6" t="n">
        <v>1</v>
      </c>
      <c r="L2" s="6" t="n">
        <v>1</v>
      </c>
      <c r="M2" s="6" t="n">
        <v>1</v>
      </c>
    </row>
    <row r="3">
      <c r="A3" t="inlineStr">
        <is>
          <t>600988.SS</t>
        </is>
      </c>
      <c r="B3" t="inlineStr">
        <is>
          <t>Chifeng Jilong Gold Mining Co Ltd</t>
        </is>
      </c>
      <c r="C3" t="inlineStr">
        <is>
          <t>CNY</t>
        </is>
      </c>
      <c r="D3" t="inlineStr">
        <is>
          <t>31 Dec</t>
        </is>
      </c>
      <c r="I3" s="6" t="n">
        <v>6.450307</v>
      </c>
      <c r="J3" s="6" t="n">
        <v>6.729369</v>
      </c>
      <c r="K3" s="6" t="n">
        <v>7.071653</v>
      </c>
      <c r="L3" s="6" t="n">
        <v>7.186184</v>
      </c>
      <c r="M3" s="6" t="n">
        <v>7.186771</v>
      </c>
    </row>
    <row r="4">
      <c r="A4" t="inlineStr">
        <is>
          <t>AAUC.TO</t>
        </is>
      </c>
      <c r="B4" t="inlineStr">
        <is>
          <t>Allied Gold Corp</t>
        </is>
      </c>
      <c r="C4" t="inlineStr">
        <is>
          <t>USD</t>
        </is>
      </c>
      <c r="D4" t="inlineStr">
        <is>
          <t>31 Dec</t>
        </is>
      </c>
      <c r="I4" s="6" t="n">
        <v>1</v>
      </c>
      <c r="J4" s="6" t="n">
        <v>1</v>
      </c>
      <c r="K4" s="6" t="n">
        <v>1</v>
      </c>
      <c r="L4" s="6" t="n">
        <v>1</v>
      </c>
      <c r="M4" s="6" t="n">
        <v>1</v>
      </c>
    </row>
    <row r="5">
      <c r="A5" t="inlineStr">
        <is>
          <t>AGI.TO</t>
        </is>
      </c>
      <c r="B5" t="inlineStr">
        <is>
          <t>Alamos Gold Inc</t>
        </is>
      </c>
      <c r="C5" t="inlineStr">
        <is>
          <t>USD</t>
        </is>
      </c>
      <c r="D5" t="inlineStr">
        <is>
          <t>31 Dec</t>
        </is>
      </c>
      <c r="I5" s="6" t="n">
        <v>1</v>
      </c>
      <c r="J5" s="6" t="n">
        <v>1</v>
      </c>
      <c r="K5" s="6" t="n">
        <v>1</v>
      </c>
      <c r="L5" s="6" t="n">
        <v>1</v>
      </c>
      <c r="M5" s="6" t="n">
        <v>1</v>
      </c>
    </row>
    <row r="6">
      <c r="A6" t="inlineStr">
        <is>
          <t>ALK.AX</t>
        </is>
      </c>
      <c r="B6" t="inlineStr">
        <is>
          <t>Alkane Resources Ltd</t>
        </is>
      </c>
      <c r="C6" t="inlineStr">
        <is>
          <t>AUD</t>
        </is>
      </c>
      <c r="D6" t="inlineStr">
        <is>
          <t>30 Jun</t>
        </is>
      </c>
      <c r="J6" s="6" t="n">
        <v>1.37833</v>
      </c>
      <c r="K6" s="6" t="n">
        <v>1.486223</v>
      </c>
      <c r="L6" s="6" t="n">
        <v>1.525354</v>
      </c>
      <c r="M6" s="6" t="n">
        <v>1.544349</v>
      </c>
      <c r="N6" s="6" t="n">
        <v>1.475568</v>
      </c>
    </row>
    <row r="7">
      <c r="A7" t="inlineStr">
        <is>
          <t>AMRQ.L</t>
        </is>
      </c>
      <c r="B7" t="inlineStr">
        <is>
          <t>Amaroq Minerals Ltd</t>
        </is>
      </c>
      <c r="C7" t="inlineStr">
        <is>
          <t>CAD</t>
        </is>
      </c>
      <c r="D7" t="inlineStr">
        <is>
          <t>31 Dec</t>
        </is>
      </c>
      <c r="I7" s="6" t="n">
        <v>1.253474</v>
      </c>
      <c r="J7" s="6" t="n">
        <v>1.301362</v>
      </c>
      <c r="K7" s="6" t="n">
        <v>1.349446</v>
      </c>
      <c r="L7" s="6" t="n">
        <v>1.369498</v>
      </c>
    </row>
    <row r="8">
      <c r="A8" t="inlineStr">
        <is>
          <t>AR.TO</t>
        </is>
      </c>
      <c r="B8" t="inlineStr">
        <is>
          <t>Argonaut Gold Inc</t>
        </is>
      </c>
      <c r="C8" t="inlineStr"/>
      <c r="D8" t="inlineStr"/>
    </row>
    <row r="9">
      <c r="A9" t="inlineStr">
        <is>
          <t>ASE.V</t>
        </is>
      </c>
      <c r="B9" t="inlineStr">
        <is>
          <t>Asante Gold Corp</t>
        </is>
      </c>
      <c r="C9" t="inlineStr">
        <is>
          <t>USD</t>
        </is>
      </c>
      <c r="D9" t="inlineStr">
        <is>
          <t>31 Dec</t>
        </is>
      </c>
      <c r="I9" s="6" t="n">
        <v>1</v>
      </c>
      <c r="J9" s="6" t="n">
        <v>1</v>
      </c>
      <c r="K9" s="6" t="n">
        <v>1</v>
      </c>
      <c r="L9" s="6" t="n">
        <v>1</v>
      </c>
      <c r="M9" s="6" t="n">
        <v>1</v>
      </c>
    </row>
    <row r="10">
      <c r="A10" t="inlineStr">
        <is>
          <t>AU</t>
        </is>
      </c>
      <c r="B10" t="inlineStr">
        <is>
          <t>AngloGold Ashanti plc</t>
        </is>
      </c>
      <c r="C10" t="inlineStr">
        <is>
          <t>USD</t>
        </is>
      </c>
      <c r="D10" t="inlineStr">
        <is>
          <t>31 Dec</t>
        </is>
      </c>
      <c r="I10" s="6" t="n">
        <v>1</v>
      </c>
      <c r="J10" s="6" t="n">
        <v>1</v>
      </c>
      <c r="K10" s="6" t="n">
        <v>1</v>
      </c>
      <c r="L10" s="6" t="n">
        <v>1</v>
      </c>
      <c r="M10" s="6" t="n">
        <v>1</v>
      </c>
    </row>
    <row r="11">
      <c r="A11" t="inlineStr">
        <is>
          <t>AUMB.V</t>
        </is>
      </c>
      <c r="B11" t="inlineStr">
        <is>
          <t>1911 Gold Corp</t>
        </is>
      </c>
      <c r="C11" t="inlineStr">
        <is>
          <t>CAD</t>
        </is>
      </c>
      <c r="D11" t="inlineStr">
        <is>
          <t>31 Dec</t>
        </is>
      </c>
      <c r="I11" s="6" t="n">
        <v>1.253474</v>
      </c>
      <c r="J11" s="6" t="n">
        <v>1.301362</v>
      </c>
      <c r="K11" s="6" t="n">
        <v>1.349446</v>
      </c>
      <c r="L11" s="6" t="n">
        <v>1.369498</v>
      </c>
      <c r="M11" s="6" t="n">
        <v>1.397511</v>
      </c>
    </row>
    <row r="12">
      <c r="A12" t="inlineStr">
        <is>
          <t>BGL.AX</t>
        </is>
      </c>
      <c r="B12" t="inlineStr">
        <is>
          <t>Bellevue Gold Ltd</t>
        </is>
      </c>
      <c r="C12" t="inlineStr">
        <is>
          <t>AUD</t>
        </is>
      </c>
      <c r="D12" t="inlineStr">
        <is>
          <t>30 Jun</t>
        </is>
      </c>
      <c r="L12" s="6" t="n">
        <v>1.525354</v>
      </c>
      <c r="M12" s="6" t="n">
        <v>1.544349</v>
      </c>
      <c r="N12" s="6" t="n">
        <v>1.475568</v>
      </c>
    </row>
    <row r="13">
      <c r="A13" t="inlineStr">
        <is>
          <t>BTO.TO</t>
        </is>
      </c>
      <c r="B13" t="inlineStr">
        <is>
          <t>B2Gold Corp</t>
        </is>
      </c>
      <c r="C13" t="inlineStr">
        <is>
          <t>USD</t>
        </is>
      </c>
      <c r="D13" t="inlineStr">
        <is>
          <t>31 Dec</t>
        </is>
      </c>
      <c r="I13" s="6" t="n">
        <v>1</v>
      </c>
      <c r="J13" s="6" t="n">
        <v>1</v>
      </c>
      <c r="K13" s="6" t="n">
        <v>1</v>
      </c>
      <c r="L13" s="6" t="n">
        <v>1</v>
      </c>
      <c r="M13" s="6" t="n">
        <v>1</v>
      </c>
    </row>
    <row r="14">
      <c r="A14" t="inlineStr">
        <is>
          <t>CERT.V</t>
        </is>
      </c>
      <c r="B14" t="inlineStr">
        <is>
          <t>Cerrado Gold Inc</t>
        </is>
      </c>
      <c r="C14" t="inlineStr">
        <is>
          <t>USD</t>
        </is>
      </c>
      <c r="D14" t="inlineStr">
        <is>
          <t>31 Dec</t>
        </is>
      </c>
      <c r="I14" s="6" t="n">
        <v>1</v>
      </c>
      <c r="J14" s="6" t="n">
        <v>1</v>
      </c>
      <c r="K14" s="6" t="n">
        <v>1</v>
      </c>
      <c r="L14" s="6" t="n">
        <v>1</v>
      </c>
      <c r="M14" s="6" t="n">
        <v>1</v>
      </c>
    </row>
    <row r="15">
      <c r="A15" t="inlineStr">
        <is>
          <t>CG.TO</t>
        </is>
      </c>
      <c r="B15" t="inlineStr">
        <is>
          <t>Centerra Gold Inc</t>
        </is>
      </c>
      <c r="C15" t="inlineStr">
        <is>
          <t>USD</t>
        </is>
      </c>
      <c r="D15" t="inlineStr">
        <is>
          <t>31 Dec</t>
        </is>
      </c>
      <c r="I15" s="6" t="n">
        <v>1</v>
      </c>
      <c r="J15" s="6" t="n">
        <v>1</v>
      </c>
      <c r="K15" s="6" t="n">
        <v>1</v>
      </c>
      <c r="L15" s="6" t="n">
        <v>1</v>
      </c>
      <c r="M15" s="6" t="n">
        <v>1</v>
      </c>
    </row>
    <row r="16">
      <c r="A16" t="inlineStr">
        <is>
          <t>CXB.TO</t>
        </is>
      </c>
      <c r="B16" t="inlineStr">
        <is>
          <t>Calibre Mining Corp</t>
        </is>
      </c>
      <c r="C16" t="inlineStr">
        <is>
          <t>USD</t>
        </is>
      </c>
      <c r="D16" t="inlineStr">
        <is>
          <t>31 Dec</t>
        </is>
      </c>
      <c r="H16" s="6" t="n">
        <v>1</v>
      </c>
      <c r="I16" s="6" t="n">
        <v>1</v>
      </c>
      <c r="J16" s="6" t="n">
        <v>1</v>
      </c>
      <c r="K16" s="6" t="n">
        <v>1</v>
      </c>
      <c r="L16" s="6" t="n">
        <v>1</v>
      </c>
    </row>
    <row r="17">
      <c r="A17" t="inlineStr">
        <is>
          <t>CYL.AX</t>
        </is>
      </c>
      <c r="B17" t="inlineStr">
        <is>
          <t>Catalyst Metals Ltd</t>
        </is>
      </c>
      <c r="C17" t="inlineStr">
        <is>
          <t>AUD</t>
        </is>
      </c>
      <c r="D17" t="inlineStr">
        <is>
          <t>30 Jun</t>
        </is>
      </c>
      <c r="J17" s="6" t="n">
        <v>1.37833</v>
      </c>
      <c r="K17" s="6" t="n">
        <v>1.486223</v>
      </c>
      <c r="L17" s="6" t="n">
        <v>1.525354</v>
      </c>
      <c r="M17" s="6" t="n">
        <v>1.544349</v>
      </c>
      <c r="N17" s="6" t="n">
        <v>1.475568</v>
      </c>
    </row>
    <row r="18">
      <c r="A18" t="inlineStr">
        <is>
          <t>ELD.TO</t>
        </is>
      </c>
      <c r="B18" t="inlineStr">
        <is>
          <t>Eldorado Gold Corp</t>
        </is>
      </c>
      <c r="C18" t="inlineStr">
        <is>
          <t>USD</t>
        </is>
      </c>
      <c r="D18" t="inlineStr">
        <is>
          <t>31 Dec</t>
        </is>
      </c>
      <c r="I18" s="6" t="n">
        <v>1</v>
      </c>
      <c r="J18" s="6" t="n">
        <v>1</v>
      </c>
      <c r="K18" s="6" t="n">
        <v>1</v>
      </c>
      <c r="L18" s="6" t="n">
        <v>1</v>
      </c>
      <c r="M18" s="6" t="n">
        <v>1</v>
      </c>
    </row>
    <row r="19">
      <c r="A19" t="inlineStr">
        <is>
          <t>EQX.TO</t>
        </is>
      </c>
      <c r="B19" t="inlineStr">
        <is>
          <t>Equinox Gold Corp</t>
        </is>
      </c>
      <c r="C19" t="inlineStr">
        <is>
          <t>USD</t>
        </is>
      </c>
      <c r="D19" t="inlineStr">
        <is>
          <t>31 Dec</t>
        </is>
      </c>
      <c r="I19" s="6" t="n">
        <v>1</v>
      </c>
      <c r="J19" s="6" t="n">
        <v>1</v>
      </c>
      <c r="K19" s="6" t="n">
        <v>1</v>
      </c>
      <c r="L19" s="6" t="n">
        <v>1</v>
      </c>
      <c r="M19" s="6" t="n">
        <v>1</v>
      </c>
    </row>
    <row r="20">
      <c r="A20" t="inlineStr">
        <is>
          <t>FVI.TO</t>
        </is>
      </c>
      <c r="B20" t="inlineStr">
        <is>
          <t>Fortuna Mining Corp</t>
        </is>
      </c>
      <c r="C20" t="inlineStr">
        <is>
          <t>USD</t>
        </is>
      </c>
      <c r="D20" t="inlineStr">
        <is>
          <t>31 Dec</t>
        </is>
      </c>
      <c r="I20" s="6" t="n">
        <v>1</v>
      </c>
      <c r="J20" s="6" t="n">
        <v>1</v>
      </c>
      <c r="K20" s="6" t="n">
        <v>1</v>
      </c>
      <c r="L20" s="6" t="n">
        <v>1</v>
      </c>
      <c r="M20" s="6" t="n">
        <v>1</v>
      </c>
    </row>
    <row r="21">
      <c r="A21" t="inlineStr">
        <is>
          <t>GFI</t>
        </is>
      </c>
      <c r="B21" t="inlineStr">
        <is>
          <t>Gold Fields Ltd</t>
        </is>
      </c>
      <c r="C21" t="inlineStr">
        <is>
          <t>USD</t>
        </is>
      </c>
      <c r="D21" t="inlineStr">
        <is>
          <t>31 Dec</t>
        </is>
      </c>
      <c r="I21" s="6" t="n">
        <v>1</v>
      </c>
      <c r="J21" s="6" t="n">
        <v>1</v>
      </c>
      <c r="K21" s="6" t="n">
        <v>1</v>
      </c>
      <c r="L21" s="6" t="n">
        <v>1</v>
      </c>
      <c r="M21" s="6" t="n">
        <v>1</v>
      </c>
    </row>
    <row r="22">
      <c r="A22" t="inlineStr">
        <is>
          <t>GMD.AX</t>
        </is>
      </c>
      <c r="B22" t="inlineStr">
        <is>
          <t>Genesis Minerals Ltd</t>
        </is>
      </c>
      <c r="C22" t="inlineStr">
        <is>
          <t>AUD</t>
        </is>
      </c>
      <c r="D22" t="inlineStr">
        <is>
          <t>30 Jun</t>
        </is>
      </c>
      <c r="K22" s="6" t="n">
        <v>1.486223</v>
      </c>
      <c r="L22" s="6" t="n">
        <v>1.525354</v>
      </c>
      <c r="M22" s="6" t="n">
        <v>1.544349</v>
      </c>
      <c r="N22" s="6" t="n">
        <v>1.475568</v>
      </c>
    </row>
    <row r="23">
      <c r="A23" t="inlineStr">
        <is>
          <t>GOR.AX</t>
        </is>
      </c>
      <c r="B23" t="inlineStr">
        <is>
          <t>Gold Road Resources Ltd</t>
        </is>
      </c>
      <c r="C23" t="inlineStr">
        <is>
          <t>AUD</t>
        </is>
      </c>
      <c r="D23" t="inlineStr">
        <is>
          <t>31 Dec</t>
        </is>
      </c>
      <c r="H23" s="6" t="n">
        <v>1.45276</v>
      </c>
      <c r="I23" s="6" t="n">
        <v>1.33179</v>
      </c>
      <c r="J23" s="6" t="n">
        <v>1.441982</v>
      </c>
      <c r="K23" s="6" t="n">
        <v>1.505886</v>
      </c>
      <c r="L23" s="6" t="n">
        <v>1.515523</v>
      </c>
    </row>
    <row r="24">
      <c r="A24" t="inlineStr">
        <is>
          <t>HMY</t>
        </is>
      </c>
      <c r="B24" t="inlineStr">
        <is>
          <t>Harmony Gold Mining Co Ltd</t>
        </is>
      </c>
      <c r="C24" t="inlineStr">
        <is>
          <t>ZAR</t>
        </is>
      </c>
      <c r="D24" t="inlineStr">
        <is>
          <t>30 Jun</t>
        </is>
      </c>
      <c r="J24" s="6" t="n">
        <v>15.187553</v>
      </c>
      <c r="K24" s="6" t="n">
        <v>17.731682</v>
      </c>
      <c r="L24" s="6" t="n">
        <v>18.689533</v>
      </c>
      <c r="M24" s="6" t="n">
        <v>18.112938</v>
      </c>
      <c r="N24" s="6" t="n">
        <v>16.895101</v>
      </c>
    </row>
    <row r="25">
      <c r="A25" t="inlineStr">
        <is>
          <t>HUM.L</t>
        </is>
      </c>
      <c r="B25" t="inlineStr">
        <is>
          <t>Hummingbird Resources plc</t>
        </is>
      </c>
      <c r="C25" t="inlineStr"/>
      <c r="D25" t="inlineStr"/>
    </row>
    <row r="26">
      <c r="A26" t="inlineStr">
        <is>
          <t>IAU.TO</t>
        </is>
      </c>
      <c r="B26" t="inlineStr">
        <is>
          <t>i-80 Gold Corp</t>
        </is>
      </c>
      <c r="C26" t="inlineStr">
        <is>
          <t>USD</t>
        </is>
      </c>
      <c r="D26" t="inlineStr">
        <is>
          <t>31 Dec</t>
        </is>
      </c>
      <c r="J26" s="6" t="n">
        <v>1</v>
      </c>
      <c r="K26" s="6" t="n">
        <v>1</v>
      </c>
      <c r="L26" s="6" t="n">
        <v>1</v>
      </c>
      <c r="M26" s="6" t="n">
        <v>1</v>
      </c>
    </row>
    <row r="27">
      <c r="A27" t="inlineStr">
        <is>
          <t>IMG.TO</t>
        </is>
      </c>
      <c r="B27" t="inlineStr">
        <is>
          <t>IAMGOLD Corp</t>
        </is>
      </c>
      <c r="C27" t="inlineStr">
        <is>
          <t>USD</t>
        </is>
      </c>
      <c r="D27" t="inlineStr">
        <is>
          <t>31 Dec</t>
        </is>
      </c>
      <c r="I27" s="6" t="n">
        <v>1</v>
      </c>
      <c r="J27" s="6" t="n">
        <v>1</v>
      </c>
      <c r="K27" s="6" t="n">
        <v>1</v>
      </c>
      <c r="L27" s="6" t="n">
        <v>1</v>
      </c>
      <c r="M27" s="6" t="n">
        <v>1</v>
      </c>
    </row>
    <row r="28">
      <c r="A28" t="inlineStr">
        <is>
          <t>K.TO</t>
        </is>
      </c>
      <c r="B28" t="inlineStr">
        <is>
          <t>Kinross Gold Corp</t>
        </is>
      </c>
      <c r="C28" t="inlineStr">
        <is>
          <t>USD</t>
        </is>
      </c>
      <c r="D28" t="inlineStr">
        <is>
          <t>31 Dec</t>
        </is>
      </c>
      <c r="I28" s="6" t="n">
        <v>1</v>
      </c>
      <c r="J28" s="6" t="n">
        <v>1</v>
      </c>
      <c r="K28" s="6" t="n">
        <v>1</v>
      </c>
      <c r="L28" s="6" t="n">
        <v>1</v>
      </c>
      <c r="M28" s="6" t="n">
        <v>1</v>
      </c>
    </row>
    <row r="29">
      <c r="A29" t="inlineStr">
        <is>
          <t>KNT.TO</t>
        </is>
      </c>
      <c r="B29" t="inlineStr">
        <is>
          <t>K92 Mining Inc</t>
        </is>
      </c>
      <c r="C29" t="inlineStr">
        <is>
          <t>USD</t>
        </is>
      </c>
      <c r="D29" t="inlineStr">
        <is>
          <t>31 Dec</t>
        </is>
      </c>
      <c r="I29" s="6" t="n">
        <v>1</v>
      </c>
      <c r="J29" s="6" t="n">
        <v>1</v>
      </c>
      <c r="K29" s="6" t="n">
        <v>1</v>
      </c>
      <c r="L29" s="6" t="n">
        <v>1</v>
      </c>
      <c r="M29" s="6" t="n">
        <v>1</v>
      </c>
    </row>
    <row r="30">
      <c r="A30" t="inlineStr">
        <is>
          <t>LYC.AX</t>
        </is>
      </c>
      <c r="B30" t="inlineStr">
        <is>
          <t>Lynas Rare Earths Ltd</t>
        </is>
      </c>
      <c r="C30" t="inlineStr">
        <is>
          <t>AUD</t>
        </is>
      </c>
      <c r="D30" t="inlineStr">
        <is>
          <t>30 Jun</t>
        </is>
      </c>
      <c r="J30" s="6" t="n">
        <v>1.37833</v>
      </c>
      <c r="K30" s="6" t="n">
        <v>1.486223</v>
      </c>
      <c r="L30" s="6" t="n">
        <v>1.525354</v>
      </c>
      <c r="M30" s="6" t="n">
        <v>1.544349</v>
      </c>
      <c r="N30" s="6" t="n">
        <v>1.475568</v>
      </c>
    </row>
    <row r="31">
      <c r="A31" t="inlineStr">
        <is>
          <t>MSA.TO</t>
        </is>
      </c>
      <c r="B31" t="inlineStr">
        <is>
          <t>Mineros SA</t>
        </is>
      </c>
      <c r="C31" t="inlineStr">
        <is>
          <t>USD</t>
        </is>
      </c>
      <c r="D31" t="inlineStr">
        <is>
          <t>31 Dec</t>
        </is>
      </c>
      <c r="I31" s="6" t="n">
        <v>1</v>
      </c>
      <c r="J31" s="6" t="n">
        <v>1</v>
      </c>
      <c r="K31" s="6" t="n">
        <v>1</v>
      </c>
      <c r="L31" s="6" t="n">
        <v>1</v>
      </c>
      <c r="M31" s="6" t="n">
        <v>1</v>
      </c>
    </row>
    <row r="32">
      <c r="A32" t="inlineStr">
        <is>
          <t>MUX</t>
        </is>
      </c>
      <c r="B32" t="inlineStr">
        <is>
          <t>McEwen Mining Inc</t>
        </is>
      </c>
      <c r="C32" t="inlineStr">
        <is>
          <t>USD</t>
        </is>
      </c>
      <c r="D32" t="inlineStr">
        <is>
          <t>31 Dec</t>
        </is>
      </c>
      <c r="I32" s="6" t="n">
        <v>1</v>
      </c>
      <c r="J32" s="6" t="n">
        <v>1</v>
      </c>
      <c r="K32" s="6" t="n">
        <v>1</v>
      </c>
      <c r="L32" s="6" t="n">
        <v>1</v>
      </c>
      <c r="M32" s="6" t="n">
        <v>1</v>
      </c>
    </row>
    <row r="33">
      <c r="A33" t="inlineStr">
        <is>
          <t>NFGC.TO</t>
        </is>
      </c>
      <c r="B33" t="inlineStr">
        <is>
          <t>New Found Gold Corp</t>
        </is>
      </c>
      <c r="C33" t="inlineStr">
        <is>
          <t>CAD</t>
        </is>
      </c>
      <c r="D33" t="inlineStr">
        <is>
          <t>31 Dec</t>
        </is>
      </c>
      <c r="J33" s="6" t="n">
        <v>1.301362</v>
      </c>
      <c r="K33" s="6" t="n">
        <v>1.349446</v>
      </c>
      <c r="L33" s="6" t="n">
        <v>1.369498</v>
      </c>
      <c r="M33" s="6" t="n">
        <v>1.397511</v>
      </c>
    </row>
    <row r="34">
      <c r="A34" t="inlineStr">
        <is>
          <t>OBM.AX</t>
        </is>
      </c>
      <c r="B34" t="inlineStr">
        <is>
          <t>Ora Banda Mining Ltd</t>
        </is>
      </c>
      <c r="C34" t="inlineStr">
        <is>
          <t>AUD</t>
        </is>
      </c>
      <c r="D34" t="inlineStr">
        <is>
          <t>30 Jun</t>
        </is>
      </c>
      <c r="J34" s="6" t="n">
        <v>1.37833</v>
      </c>
      <c r="K34" s="6" t="n">
        <v>1.486223</v>
      </c>
      <c r="L34" s="6" t="n">
        <v>1.525354</v>
      </c>
      <c r="M34" s="6" t="n">
        <v>1.544349</v>
      </c>
      <c r="N34" s="6" t="n">
        <v>1.475568</v>
      </c>
    </row>
    <row r="35">
      <c r="A35" t="inlineStr">
        <is>
          <t>OGC.TO</t>
        </is>
      </c>
      <c r="B35" t="inlineStr">
        <is>
          <t>OceanaGold Corp</t>
        </is>
      </c>
      <c r="C35" t="inlineStr">
        <is>
          <t>USD</t>
        </is>
      </c>
      <c r="D35" t="inlineStr">
        <is>
          <t>31 Dec</t>
        </is>
      </c>
      <c r="I35" s="6" t="n">
        <v>1</v>
      </c>
      <c r="J35" s="6" t="n">
        <v>1</v>
      </c>
      <c r="K35" s="6" t="n">
        <v>1</v>
      </c>
      <c r="L35" s="6" t="n">
        <v>1</v>
      </c>
      <c r="M35" s="6" t="n">
        <v>1</v>
      </c>
    </row>
    <row r="36">
      <c r="A36" t="inlineStr">
        <is>
          <t>OGG.V</t>
        </is>
      </c>
      <c r="B36" t="inlineStr">
        <is>
          <t>Osisko Gold Group Inc (formerly Osisko Development)</t>
        </is>
      </c>
      <c r="C36" t="inlineStr">
        <is>
          <t>CAD</t>
        </is>
      </c>
      <c r="D36" t="inlineStr">
        <is>
          <t>31 Dec</t>
        </is>
      </c>
      <c r="I36" s="6" t="n">
        <v>1.253474</v>
      </c>
      <c r="J36" s="6" t="n">
        <v>1.301362</v>
      </c>
      <c r="K36" s="6" t="n">
        <v>1.349446</v>
      </c>
      <c r="L36" s="6" t="n">
        <v>1.369498</v>
      </c>
      <c r="M36" s="6" t="n">
        <v>1.397511</v>
      </c>
    </row>
    <row r="37">
      <c r="A37" t="inlineStr">
        <is>
          <t>OLA.TO</t>
        </is>
      </c>
      <c r="B37" t="inlineStr">
        <is>
          <t>Orla Mining Ltd</t>
        </is>
      </c>
      <c r="C37" t="inlineStr">
        <is>
          <t>USD</t>
        </is>
      </c>
      <c r="D37" t="inlineStr">
        <is>
          <t>31 Dec</t>
        </is>
      </c>
      <c r="I37" s="6" t="n">
        <v>1</v>
      </c>
      <c r="J37" s="6" t="n">
        <v>1</v>
      </c>
      <c r="K37" s="6" t="n">
        <v>1</v>
      </c>
      <c r="L37" s="6" t="n">
        <v>1</v>
      </c>
      <c r="M37" s="6" t="n">
        <v>1</v>
      </c>
    </row>
    <row r="38">
      <c r="A38" t="inlineStr">
        <is>
          <t>PGM.V</t>
        </is>
      </c>
      <c r="B38" t="inlineStr">
        <is>
          <t>Pure Gold Mining Inc</t>
        </is>
      </c>
      <c r="C38" t="inlineStr"/>
      <c r="D38" t="inlineStr"/>
    </row>
    <row r="39">
      <c r="A39" t="inlineStr">
        <is>
          <t>PNR.AX</t>
        </is>
      </c>
      <c r="B39" t="inlineStr">
        <is>
          <t>Pantoro Gold Ltd</t>
        </is>
      </c>
      <c r="C39" t="inlineStr">
        <is>
          <t>AUD</t>
        </is>
      </c>
      <c r="D39" t="inlineStr">
        <is>
          <t>30 Jun</t>
        </is>
      </c>
      <c r="I39" s="6" t="n">
        <v>1.34035</v>
      </c>
      <c r="J39" s="6" t="n">
        <v>1.37833</v>
      </c>
      <c r="K39" s="6" t="n">
        <v>1.486223</v>
      </c>
      <c r="L39" s="6" t="n">
        <v>1.525354</v>
      </c>
      <c r="M39" s="6" t="n">
        <v>1.544349</v>
      </c>
    </row>
    <row r="40">
      <c r="A40" t="inlineStr">
        <is>
          <t>PSAB.JK</t>
        </is>
      </c>
      <c r="B40" t="inlineStr">
        <is>
          <t>PT J Resources Asia Pasifik Tbk</t>
        </is>
      </c>
      <c r="C40" t="inlineStr">
        <is>
          <t>USD</t>
        </is>
      </c>
      <c r="D40" t="inlineStr">
        <is>
          <t>31 Dec</t>
        </is>
      </c>
      <c r="I40" s="6" t="n">
        <v>1</v>
      </c>
      <c r="J40" s="6" t="n">
        <v>1</v>
      </c>
      <c r="K40" s="6" t="n">
        <v>1</v>
      </c>
      <c r="L40" s="6" t="n">
        <v>1</v>
      </c>
      <c r="M40" s="6" t="n">
        <v>1</v>
      </c>
    </row>
    <row r="41">
      <c r="A41" t="inlineStr">
        <is>
          <t>RMS.AX</t>
        </is>
      </c>
      <c r="B41" t="inlineStr">
        <is>
          <t>Ramelius Resources Ltd</t>
        </is>
      </c>
      <c r="C41" t="inlineStr">
        <is>
          <t>AUD</t>
        </is>
      </c>
      <c r="D41" t="inlineStr">
        <is>
          <t>30 Jun</t>
        </is>
      </c>
      <c r="J41" s="6" t="n">
        <v>1.37833</v>
      </c>
      <c r="K41" s="6" t="n">
        <v>1.486223</v>
      </c>
      <c r="L41" s="6" t="n">
        <v>1.525354</v>
      </c>
      <c r="M41" s="6" t="n">
        <v>1.544349</v>
      </c>
      <c r="N41" s="6" t="n">
        <v>1.475568</v>
      </c>
    </row>
    <row r="42">
      <c r="A42" t="inlineStr">
        <is>
          <t>RRL.AX</t>
        </is>
      </c>
      <c r="B42" t="inlineStr">
        <is>
          <t>Regis Resources Ltd</t>
        </is>
      </c>
      <c r="C42" t="inlineStr">
        <is>
          <t>AUD</t>
        </is>
      </c>
      <c r="D42" t="inlineStr">
        <is>
          <t>30 Jun</t>
        </is>
      </c>
      <c r="J42" s="6" t="n">
        <v>1.37833</v>
      </c>
      <c r="K42" s="6" t="n">
        <v>1.486223</v>
      </c>
      <c r="L42" s="6" t="n">
        <v>1.525354</v>
      </c>
      <c r="M42" s="6" t="n">
        <v>1.544349</v>
      </c>
      <c r="N42" s="6" t="n">
        <v>1.475568</v>
      </c>
    </row>
    <row r="43">
      <c r="A43" t="inlineStr">
        <is>
          <t>RSG.AX</t>
        </is>
      </c>
      <c r="B43" t="inlineStr">
        <is>
          <t>Resolute Mining Ltd</t>
        </is>
      </c>
      <c r="C43" t="inlineStr">
        <is>
          <t>USD</t>
        </is>
      </c>
      <c r="D43" t="inlineStr">
        <is>
          <t>31 Dec</t>
        </is>
      </c>
      <c r="I43" s="6" t="n">
        <v>1</v>
      </c>
      <c r="J43" s="6" t="n">
        <v>1</v>
      </c>
      <c r="K43" s="6" t="n">
        <v>1</v>
      </c>
      <c r="L43" s="6" t="n">
        <v>1</v>
      </c>
      <c r="M43" s="6" t="n">
        <v>1</v>
      </c>
    </row>
    <row r="44">
      <c r="A44" t="inlineStr">
        <is>
          <t>SBM.AX</t>
        </is>
      </c>
      <c r="B44" t="inlineStr">
        <is>
          <t>St Barbara Ltd</t>
        </is>
      </c>
      <c r="C44" t="inlineStr">
        <is>
          <t>AUD</t>
        </is>
      </c>
      <c r="D44" t="inlineStr">
        <is>
          <t>30 Jun</t>
        </is>
      </c>
      <c r="J44" s="6" t="n">
        <v>1.37833</v>
      </c>
      <c r="K44" s="6" t="n">
        <v>1.486223</v>
      </c>
      <c r="L44" s="6" t="n">
        <v>1.525354</v>
      </c>
      <c r="M44" s="6" t="n">
        <v>1.544349</v>
      </c>
      <c r="N44" s="6" t="n">
        <v>1.475568</v>
      </c>
    </row>
    <row r="45">
      <c r="A45" t="inlineStr">
        <is>
          <t>SPA.V</t>
        </is>
      </c>
      <c r="B45" t="inlineStr">
        <is>
          <t>Spanish Mountain Gold Ltd</t>
        </is>
      </c>
      <c r="C45" t="inlineStr">
        <is>
          <t>CAD</t>
        </is>
      </c>
      <c r="D45" t="inlineStr">
        <is>
          <t>31 Dec</t>
        </is>
      </c>
      <c r="J45" s="6" t="n">
        <v>1.301362</v>
      </c>
      <c r="K45" s="6" t="n">
        <v>1.349446</v>
      </c>
      <c r="L45" s="6" t="n">
        <v>1.369498</v>
      </c>
      <c r="M45" s="6" t="n">
        <v>1.397511</v>
      </c>
    </row>
    <row r="46">
      <c r="A46" t="inlineStr">
        <is>
          <t>SSRM</t>
        </is>
      </c>
      <c r="B46" t="inlineStr">
        <is>
          <t>SSR Mining Inc</t>
        </is>
      </c>
      <c r="C46" t="inlineStr">
        <is>
          <t>USD</t>
        </is>
      </c>
      <c r="D46" t="inlineStr">
        <is>
          <t>31 Dec</t>
        </is>
      </c>
      <c r="I46" s="6" t="n">
        <v>1</v>
      </c>
      <c r="J46" s="6" t="n">
        <v>1</v>
      </c>
      <c r="K46" s="6" t="n">
        <v>1</v>
      </c>
      <c r="L46" s="6" t="n">
        <v>1</v>
      </c>
      <c r="M46" s="6" t="n">
        <v>1</v>
      </c>
    </row>
    <row r="47">
      <c r="A47" t="inlineStr">
        <is>
          <t>STLR.TO</t>
        </is>
      </c>
      <c r="B47" t="inlineStr">
        <is>
          <t>STLLR Gold Inc</t>
        </is>
      </c>
      <c r="C47" t="inlineStr">
        <is>
          <t>CAD</t>
        </is>
      </c>
      <c r="D47" t="inlineStr">
        <is>
          <t>31 Dec</t>
        </is>
      </c>
      <c r="J47" s="6" t="n">
        <v>1.301362</v>
      </c>
      <c r="K47" s="6" t="n">
        <v>1.349446</v>
      </c>
      <c r="L47" s="6" t="n">
        <v>1.369498</v>
      </c>
      <c r="M47" s="6" t="n">
        <v>1.397511</v>
      </c>
    </row>
    <row r="48">
      <c r="A48" t="inlineStr">
        <is>
          <t>TSK.TO</t>
        </is>
      </c>
      <c r="B48" t="inlineStr">
        <is>
          <t>Talisker Resources Ltd</t>
        </is>
      </c>
      <c r="C48" t="inlineStr">
        <is>
          <t>CAD</t>
        </is>
      </c>
      <c r="D48" t="inlineStr">
        <is>
          <t>31 Dec</t>
        </is>
      </c>
      <c r="J48" s="6" t="n">
        <v>1.301362</v>
      </c>
      <c r="K48" s="6" t="n">
        <v>1.349446</v>
      </c>
      <c r="L48" s="6" t="n">
        <v>1.369498</v>
      </c>
      <c r="M48" s="6" t="n">
        <v>1.397511</v>
      </c>
    </row>
    <row r="49">
      <c r="A49" t="inlineStr">
        <is>
          <t>VAU.AX</t>
        </is>
      </c>
      <c r="B49" t="inlineStr">
        <is>
          <t>Vault Minerals Ltd</t>
        </is>
      </c>
      <c r="C49" t="inlineStr">
        <is>
          <t>AUD</t>
        </is>
      </c>
      <c r="D49" t="inlineStr">
        <is>
          <t>30 Jun</t>
        </is>
      </c>
      <c r="J49" s="6" t="n">
        <v>1.37833</v>
      </c>
      <c r="K49" s="6" t="n">
        <v>1.486223</v>
      </c>
      <c r="L49" s="6" t="n">
        <v>1.525354</v>
      </c>
      <c r="M49" s="6" t="n">
        <v>1.544349</v>
      </c>
      <c r="N49" s="6" t="n">
        <v>1.475568</v>
      </c>
    </row>
    <row r="50">
      <c r="A50" t="inlineStr">
        <is>
          <t>WAF.AX</t>
        </is>
      </c>
      <c r="B50" t="inlineStr">
        <is>
          <t>West African Resources Ltd</t>
        </is>
      </c>
      <c r="C50" t="inlineStr">
        <is>
          <t>AUD</t>
        </is>
      </c>
      <c r="D50" t="inlineStr">
        <is>
          <t>31 Dec</t>
        </is>
      </c>
      <c r="I50" s="6" t="n">
        <v>1.33179</v>
      </c>
      <c r="J50" s="6" t="n">
        <v>1.441982</v>
      </c>
      <c r="K50" s="6" t="n">
        <v>1.505886</v>
      </c>
      <c r="L50" s="6" t="n">
        <v>1.515523</v>
      </c>
      <c r="M50" s="6" t="n">
        <v>1.551124</v>
      </c>
    </row>
    <row r="51">
      <c r="A51" t="inlineStr">
        <is>
          <t>WDO.TO</t>
        </is>
      </c>
      <c r="B51" t="inlineStr">
        <is>
          <t>Wesdome Gold Mines Ltd</t>
        </is>
      </c>
      <c r="C51" t="inlineStr">
        <is>
          <t>CAD</t>
        </is>
      </c>
      <c r="D51" t="inlineStr">
        <is>
          <t>31 Dec</t>
        </is>
      </c>
      <c r="I51" s="6" t="n">
        <v>1.253474</v>
      </c>
      <c r="J51" s="6" t="n">
        <v>1.301362</v>
      </c>
      <c r="K51" s="6" t="n">
        <v>1.349446</v>
      </c>
      <c r="L51" s="6" t="n">
        <v>1.369498</v>
      </c>
      <c r="M51" s="6" t="n">
        <v>1.397511</v>
      </c>
    </row>
    <row r="52">
      <c r="A52" t="inlineStr">
        <is>
          <t>WGX.AX</t>
        </is>
      </c>
      <c r="B52" t="inlineStr">
        <is>
          <t>Westgold Resources Ltd</t>
        </is>
      </c>
      <c r="C52" t="inlineStr">
        <is>
          <t>AUD</t>
        </is>
      </c>
      <c r="D52" t="inlineStr">
        <is>
          <t>30 Jun</t>
        </is>
      </c>
      <c r="J52" s="6" t="n">
        <v>1.37833</v>
      </c>
      <c r="K52" s="6" t="n">
        <v>1.486223</v>
      </c>
      <c r="L52" s="6" t="n">
        <v>1.525354</v>
      </c>
      <c r="M52" s="6" t="n">
        <v>1.544349</v>
      </c>
      <c r="N52" s="6" t="n">
        <v>1.475568</v>
      </c>
    </row>
    <row r="53">
      <c r="A53" t="inlineStr">
        <is>
          <t>WMC.AX</t>
        </is>
      </c>
      <c r="B53" t="inlineStr">
        <is>
          <t>Wiluna Mining Corp Ltd (formerly Blackham Resources)</t>
        </is>
      </c>
      <c r="C53" t="inlineStr"/>
      <c r="D53" t="inlineStr"/>
    </row>
    <row r="54"/>
    <row r="55">
      <c r="A55" s="4" t="inlineStr">
        <is>
          <t>Average units of reporting currency per 1 USD over the 12 months of each fiscal year (Yahoo FX closes).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0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3" max="3"/>
    <col width="16" customWidth="1" min="4" max="4"/>
    <col width="12" customWidth="1" min="5" max="5"/>
    <col width="60" customWidth="1" min="7" max="7"/>
  </cols>
  <sheetData>
    <row r="1">
      <c r="A1" s="7" t="inlineStr">
        <is>
          <t>StockAnalysis vs Yahoo Finance, same fiscal year (millions, reporting currency)</t>
        </is>
      </c>
    </row>
    <row r="2">
      <c r="A2" t="inlineStr">
        <is>
          <t>155 comparisons across 42 tickers: match: 146, DIFFERENT: 5, explained: 2, small difference (1-5%): 2</t>
        </is>
      </c>
    </row>
    <row r="3">
      <c r="A3" t="inlineStr">
        <is>
          <t>DIFFERENT usually means one source restated the year (e.g. a sold mine moved to discontinued operations); the Revenue tab shows StockAnalysis and flags the cell.</t>
        </is>
      </c>
    </row>
    <row r="4"/>
    <row r="5">
      <c r="A5" s="1" t="inlineStr">
        <is>
          <t>ticker</t>
        </is>
      </c>
      <c r="B5" s="1" t="inlineStr">
        <is>
          <t>fiscal_year</t>
        </is>
      </c>
      <c r="C5" s="1" t="inlineStr">
        <is>
          <t>period_end</t>
        </is>
      </c>
      <c r="D5" s="1" t="inlineStr">
        <is>
          <t>stockanalysis_m</t>
        </is>
      </c>
      <c r="E5" s="1" t="inlineStr">
        <is>
          <t>yahoo_m</t>
        </is>
      </c>
      <c r="F5" s="1" t="inlineStr">
        <is>
          <t>difference_%</t>
        </is>
      </c>
      <c r="G5" s="1" t="inlineStr">
        <is>
          <t>status</t>
        </is>
      </c>
    </row>
    <row r="6">
      <c r="A6" s="8" t="inlineStr">
        <is>
          <t>BGL.AX</t>
        </is>
      </c>
      <c r="B6" s="8" t="n">
        <v>2025</v>
      </c>
      <c r="C6" s="8" t="inlineStr">
        <is>
          <t>2025-06-30</t>
        </is>
      </c>
      <c r="D6" s="8" t="n">
        <v>395</v>
      </c>
      <c r="E6" s="8" t="n">
        <v>505.8</v>
      </c>
      <c r="F6" s="8" t="n">
        <v>-21.9</v>
      </c>
      <c r="G6" s="8" t="inlineStr">
        <is>
          <t>DIFFERENT</t>
        </is>
      </c>
    </row>
    <row r="7">
      <c r="A7" s="8" t="inlineStr">
        <is>
          <t>CYL.AX</t>
        </is>
      </c>
      <c r="B7" s="8" t="n">
        <v>2024</v>
      </c>
      <c r="C7" s="8" t="inlineStr">
        <is>
          <t>2024-06-30</t>
        </is>
      </c>
      <c r="D7" s="8" t="n">
        <v>242</v>
      </c>
      <c r="E7" s="8" t="n">
        <v>317</v>
      </c>
      <c r="F7" s="8" t="n">
        <v>-23.7</v>
      </c>
      <c r="G7" s="8" t="inlineStr">
        <is>
          <t>DIFFERENT</t>
        </is>
      </c>
    </row>
    <row r="8">
      <c r="A8" s="8" t="inlineStr">
        <is>
          <t>LYC.AX</t>
        </is>
      </c>
      <c r="B8" s="8" t="n">
        <v>2023</v>
      </c>
      <c r="C8" s="8" t="inlineStr">
        <is>
          <t>2023-06-30</t>
        </is>
      </c>
      <c r="D8" s="8" t="n">
        <v>739.3</v>
      </c>
      <c r="E8" s="8" t="n">
        <v>787.1</v>
      </c>
      <c r="F8" s="8" t="n">
        <v>-6.1</v>
      </c>
      <c r="G8" s="8" t="inlineStr">
        <is>
          <t>DIFFERENT</t>
        </is>
      </c>
    </row>
    <row r="9">
      <c r="A9" s="8" t="inlineStr">
        <is>
          <t>SBM.AX</t>
        </is>
      </c>
      <c r="B9" s="8" t="n">
        <v>2022</v>
      </c>
      <c r="C9" s="8" t="inlineStr">
        <is>
          <t>2022-06-30</t>
        </is>
      </c>
      <c r="D9" s="8" t="n">
        <v>201.3</v>
      </c>
      <c r="E9" s="8" t="n">
        <v>680.3</v>
      </c>
      <c r="F9" s="8" t="n">
        <v>-70.40000000000001</v>
      </c>
      <c r="G9" s="8" t="inlineStr">
        <is>
          <t>DIFFERENT</t>
        </is>
      </c>
    </row>
    <row r="10">
      <c r="A10" s="8" t="inlineStr">
        <is>
          <t>SBM.AX</t>
        </is>
      </c>
      <c r="B10" s="8" t="n">
        <v>2024</v>
      </c>
      <c r="C10" s="8" t="inlineStr">
        <is>
          <t>2024-06-30</t>
        </is>
      </c>
      <c r="D10" s="8" t="n">
        <v>197.7</v>
      </c>
      <c r="E10" s="8" t="n">
        <v>223.6</v>
      </c>
      <c r="F10" s="8" t="n">
        <v>-11.6</v>
      </c>
      <c r="G10" s="8" t="inlineStr">
        <is>
          <t>DIFFERENT</t>
        </is>
      </c>
    </row>
    <row r="11">
      <c r="A11" t="inlineStr">
        <is>
          <t>AAUC.TO</t>
        </is>
      </c>
      <c r="B11" t="n">
        <v>2024</v>
      </c>
      <c r="C11" t="inlineStr">
        <is>
          <t>2024-12-31</t>
        </is>
      </c>
      <c r="D11" t="n">
        <v>730.4</v>
      </c>
      <c r="E11" t="n">
        <v>1331.8</v>
      </c>
      <c r="F11" t="n">
        <v>-45.2</v>
      </c>
      <c r="G11" t="inlineStr">
        <is>
          <t>explained: Yahoo has 2024 and 2025 swapped; StockAnalysis matches Allied Gold's reported figures.</t>
        </is>
      </c>
    </row>
    <row r="12">
      <c r="A12" t="inlineStr">
        <is>
          <t>AAUC.TO</t>
        </is>
      </c>
      <c r="B12" t="n">
        <v>2025</v>
      </c>
      <c r="C12" t="inlineStr">
        <is>
          <t>2025-12-31</t>
        </is>
      </c>
      <c r="D12" t="n">
        <v>1331.8</v>
      </c>
      <c r="E12" t="n">
        <v>730.4</v>
      </c>
      <c r="F12" t="n">
        <v>82.3</v>
      </c>
      <c r="G12" t="inlineStr">
        <is>
          <t>explained: Yahoo has 2024 and 2025 swapped; StockAnalysis matches Allied Gold's reported figures.</t>
        </is>
      </c>
    </row>
    <row r="13">
      <c r="A13" t="inlineStr">
        <is>
          <t>2259.HK</t>
        </is>
      </c>
      <c r="B13" t="n">
        <v>2022</v>
      </c>
      <c r="C13" t="inlineStr">
        <is>
          <t>2022-12-31</t>
        </is>
      </c>
      <c r="D13" t="n">
        <v>1818</v>
      </c>
      <c r="E13" t="n">
        <v>1818</v>
      </c>
      <c r="F13" t="n">
        <v>0</v>
      </c>
      <c r="G13" t="inlineStr">
        <is>
          <t>match</t>
        </is>
      </c>
    </row>
    <row r="14">
      <c r="A14" t="inlineStr">
        <is>
          <t>2259.HK</t>
        </is>
      </c>
      <c r="B14" t="n">
        <v>2023</v>
      </c>
      <c r="C14" t="inlineStr">
        <is>
          <t>2023-12-31</t>
        </is>
      </c>
      <c r="D14" t="n">
        <v>2262.4</v>
      </c>
      <c r="E14" t="n">
        <v>2262.4</v>
      </c>
      <c r="F14" t="n">
        <v>0</v>
      </c>
      <c r="G14" t="inlineStr">
        <is>
          <t>match</t>
        </is>
      </c>
    </row>
    <row r="15">
      <c r="A15" t="inlineStr">
        <is>
          <t>2259.HK</t>
        </is>
      </c>
      <c r="B15" t="n">
        <v>2024</v>
      </c>
      <c r="C15" t="inlineStr">
        <is>
          <t>2024-12-31</t>
        </is>
      </c>
      <c r="D15" t="n">
        <v>2989.9</v>
      </c>
      <c r="E15" t="n">
        <v>2989.9</v>
      </c>
      <c r="F15" t="n">
        <v>0</v>
      </c>
      <c r="G15" t="inlineStr">
        <is>
          <t>match</t>
        </is>
      </c>
    </row>
    <row r="16">
      <c r="A16" t="inlineStr">
        <is>
          <t>2259.HK</t>
        </is>
      </c>
      <c r="B16" t="n">
        <v>2025</v>
      </c>
      <c r="C16" t="inlineStr">
        <is>
          <t>2025-12-31</t>
        </is>
      </c>
      <c r="D16" t="n">
        <v>5383.5</v>
      </c>
      <c r="E16" t="n">
        <v>5383.5</v>
      </c>
      <c r="F16" t="n">
        <v>0</v>
      </c>
      <c r="G16" t="inlineStr">
        <is>
          <t>match</t>
        </is>
      </c>
    </row>
    <row r="17">
      <c r="A17" t="inlineStr">
        <is>
          <t>600988.SS</t>
        </is>
      </c>
      <c r="B17" t="n">
        <v>2022</v>
      </c>
      <c r="C17" t="inlineStr">
        <is>
          <t>2022-12-31</t>
        </is>
      </c>
      <c r="D17" t="n">
        <v>6266.8</v>
      </c>
      <c r="E17" t="n">
        <v>6266.8</v>
      </c>
      <c r="F17" t="n">
        <v>-0</v>
      </c>
      <c r="G17" t="inlineStr">
        <is>
          <t>match</t>
        </is>
      </c>
    </row>
    <row r="18">
      <c r="A18" t="inlineStr">
        <is>
          <t>600988.SS</t>
        </is>
      </c>
      <c r="B18" t="n">
        <v>2023</v>
      </c>
      <c r="C18" t="inlineStr">
        <is>
          <t>2023-12-31</t>
        </is>
      </c>
      <c r="D18" t="n">
        <v>7221</v>
      </c>
      <c r="E18" t="n">
        <v>7221</v>
      </c>
      <c r="F18" t="n">
        <v>-0</v>
      </c>
      <c r="G18" t="inlineStr">
        <is>
          <t>match</t>
        </is>
      </c>
    </row>
    <row r="19">
      <c r="A19" t="inlineStr">
        <is>
          <t>600988.SS</t>
        </is>
      </c>
      <c r="B19" t="n">
        <v>2024</v>
      </c>
      <c r="C19" t="inlineStr">
        <is>
          <t>2024-12-31</t>
        </is>
      </c>
      <c r="D19" t="n">
        <v>9025.799999999999</v>
      </c>
      <c r="E19" t="n">
        <v>9025.799999999999</v>
      </c>
      <c r="F19" t="n">
        <v>-0</v>
      </c>
      <c r="G19" t="inlineStr">
        <is>
          <t>match</t>
        </is>
      </c>
    </row>
    <row r="20">
      <c r="A20" t="inlineStr">
        <is>
          <t>600988.SS</t>
        </is>
      </c>
      <c r="B20" t="n">
        <v>2025</v>
      </c>
      <c r="C20" t="inlineStr">
        <is>
          <t>2025-12-31</t>
        </is>
      </c>
      <c r="D20" t="n">
        <v>12638.5</v>
      </c>
      <c r="E20" t="n">
        <v>12638.5</v>
      </c>
      <c r="F20" t="n">
        <v>-0</v>
      </c>
      <c r="G20" t="inlineStr">
        <is>
          <t>match</t>
        </is>
      </c>
    </row>
    <row r="21">
      <c r="A21" t="inlineStr">
        <is>
          <t>AAUC.TO</t>
        </is>
      </c>
      <c r="B21" t="n">
        <v>2022</v>
      </c>
      <c r="C21" t="inlineStr">
        <is>
          <t>2022-12-31</t>
        </is>
      </c>
      <c r="D21" t="n">
        <v>669.6</v>
      </c>
      <c r="E21" t="n">
        <v>669.6</v>
      </c>
      <c r="F21" t="n">
        <v>0</v>
      </c>
      <c r="G21" t="inlineStr">
        <is>
          <t>match</t>
        </is>
      </c>
    </row>
    <row r="22">
      <c r="A22" t="inlineStr">
        <is>
          <t>AAUC.TO</t>
        </is>
      </c>
      <c r="B22" t="n">
        <v>2023</v>
      </c>
      <c r="C22" t="inlineStr">
        <is>
          <t>2023-12-31</t>
        </is>
      </c>
      <c r="D22" t="n">
        <v>655.7</v>
      </c>
      <c r="E22" t="n">
        <v>655.7</v>
      </c>
      <c r="F22" t="n">
        <v>0</v>
      </c>
      <c r="G22" t="inlineStr">
        <is>
          <t>match</t>
        </is>
      </c>
    </row>
    <row r="23">
      <c r="A23" t="inlineStr">
        <is>
          <t>AGI.TO</t>
        </is>
      </c>
      <c r="B23" t="n">
        <v>2022</v>
      </c>
      <c r="C23" t="inlineStr">
        <is>
          <t>2022-12-31</t>
        </is>
      </c>
      <c r="D23" t="n">
        <v>821.2</v>
      </c>
      <c r="E23" t="n">
        <v>821.2</v>
      </c>
      <c r="F23" t="n">
        <v>0</v>
      </c>
      <c r="G23" t="inlineStr">
        <is>
          <t>match</t>
        </is>
      </c>
    </row>
    <row r="24">
      <c r="A24" t="inlineStr">
        <is>
          <t>AGI.TO</t>
        </is>
      </c>
      <c r="B24" t="n">
        <v>2023</v>
      </c>
      <c r="C24" t="inlineStr">
        <is>
          <t>2023-12-31</t>
        </is>
      </c>
      <c r="D24" t="n">
        <v>1023.3</v>
      </c>
      <c r="E24" t="n">
        <v>1023.3</v>
      </c>
      <c r="F24" t="n">
        <v>0</v>
      </c>
      <c r="G24" t="inlineStr">
        <is>
          <t>match</t>
        </is>
      </c>
    </row>
    <row r="25">
      <c r="A25" t="inlineStr">
        <is>
          <t>AGI.TO</t>
        </is>
      </c>
      <c r="B25" t="n">
        <v>2024</v>
      </c>
      <c r="C25" t="inlineStr">
        <is>
          <t>2024-12-31</t>
        </is>
      </c>
      <c r="D25" t="n">
        <v>1346.9</v>
      </c>
      <c r="E25" t="n">
        <v>1346.9</v>
      </c>
      <c r="F25" t="n">
        <v>0</v>
      </c>
      <c r="G25" t="inlineStr">
        <is>
          <t>match</t>
        </is>
      </c>
    </row>
    <row r="26">
      <c r="A26" t="inlineStr">
        <is>
          <t>AGI.TO</t>
        </is>
      </c>
      <c r="B26" t="n">
        <v>2025</v>
      </c>
      <c r="C26" t="inlineStr">
        <is>
          <t>2025-12-31</t>
        </is>
      </c>
      <c r="D26" t="n">
        <v>1808.8</v>
      </c>
      <c r="E26" t="n">
        <v>1808.8</v>
      </c>
      <c r="F26" t="n">
        <v>0</v>
      </c>
      <c r="G26" t="inlineStr">
        <is>
          <t>match</t>
        </is>
      </c>
    </row>
    <row r="27">
      <c r="A27" t="inlineStr">
        <is>
          <t>ALK.AX</t>
        </is>
      </c>
      <c r="B27" t="n">
        <v>2022</v>
      </c>
      <c r="C27" t="inlineStr">
        <is>
          <t>2022-06-30</t>
        </is>
      </c>
      <c r="D27" t="n">
        <v>165</v>
      </c>
      <c r="E27" t="n">
        <v>165</v>
      </c>
      <c r="F27" t="n">
        <v>0</v>
      </c>
      <c r="G27" t="inlineStr">
        <is>
          <t>match</t>
        </is>
      </c>
    </row>
    <row r="28">
      <c r="A28" t="inlineStr">
        <is>
          <t>ALK.AX</t>
        </is>
      </c>
      <c r="B28" t="n">
        <v>2023</v>
      </c>
      <c r="C28" t="inlineStr">
        <is>
          <t>2023-06-30</t>
        </is>
      </c>
      <c r="D28" t="n">
        <v>190.5</v>
      </c>
      <c r="E28" t="n">
        <v>190.5</v>
      </c>
      <c r="F28" t="n">
        <v>0</v>
      </c>
      <c r="G28" t="inlineStr">
        <is>
          <t>match</t>
        </is>
      </c>
    </row>
    <row r="29">
      <c r="A29" t="inlineStr">
        <is>
          <t>ALK.AX</t>
        </is>
      </c>
      <c r="B29" t="n">
        <v>2024</v>
      </c>
      <c r="C29" t="inlineStr">
        <is>
          <t>2024-06-30</t>
        </is>
      </c>
      <c r="D29" t="n">
        <v>173</v>
      </c>
      <c r="E29" t="n">
        <v>173</v>
      </c>
      <c r="F29" t="n">
        <v>0</v>
      </c>
      <c r="G29" t="inlineStr">
        <is>
          <t>match</t>
        </is>
      </c>
    </row>
    <row r="30">
      <c r="A30" t="inlineStr">
        <is>
          <t>ASE.V</t>
        </is>
      </c>
      <c r="B30" t="n">
        <v>2022</v>
      </c>
      <c r="C30" t="inlineStr">
        <is>
          <t>2023-01-31</t>
        </is>
      </c>
      <c r="D30" t="n">
        <v>206</v>
      </c>
      <c r="E30" t="n">
        <v>205.2</v>
      </c>
      <c r="F30" t="n">
        <v>0.4</v>
      </c>
      <c r="G30" t="inlineStr">
        <is>
          <t>match</t>
        </is>
      </c>
    </row>
    <row r="31">
      <c r="A31" t="inlineStr">
        <is>
          <t>ASE.V</t>
        </is>
      </c>
      <c r="B31" t="n">
        <v>2023</v>
      </c>
      <c r="C31" t="inlineStr">
        <is>
          <t>2024-01-31</t>
        </is>
      </c>
      <c r="D31" t="n">
        <v>426.1</v>
      </c>
      <c r="E31" t="n">
        <v>426.1</v>
      </c>
      <c r="F31" t="n">
        <v>0</v>
      </c>
      <c r="G31" t="inlineStr">
        <is>
          <t>match</t>
        </is>
      </c>
    </row>
    <row r="32">
      <c r="A32" t="inlineStr">
        <is>
          <t>ASE.V</t>
        </is>
      </c>
      <c r="B32" t="n">
        <v>2024</v>
      </c>
      <c r="C32" t="inlineStr">
        <is>
          <t>2025-01-31</t>
        </is>
      </c>
      <c r="D32" t="n">
        <v>458.9</v>
      </c>
      <c r="E32" t="n">
        <v>458.9</v>
      </c>
      <c r="F32" t="n">
        <v>0</v>
      </c>
      <c r="G32" t="inlineStr">
        <is>
          <t>match</t>
        </is>
      </c>
    </row>
    <row r="33">
      <c r="A33" t="inlineStr">
        <is>
          <t>AU</t>
        </is>
      </c>
      <c r="B33" t="n">
        <v>2022</v>
      </c>
      <c r="C33" t="inlineStr">
        <is>
          <t>2022-12-31</t>
        </is>
      </c>
      <c r="D33" t="n">
        <v>4501</v>
      </c>
      <c r="E33" t="n">
        <v>4501</v>
      </c>
      <c r="F33" t="n">
        <v>0</v>
      </c>
      <c r="G33" t="inlineStr">
        <is>
          <t>match</t>
        </is>
      </c>
    </row>
    <row r="34">
      <c r="A34" t="inlineStr">
        <is>
          <t>AU</t>
        </is>
      </c>
      <c r="B34" t="n">
        <v>2023</v>
      </c>
      <c r="C34" t="inlineStr">
        <is>
          <t>2023-12-31</t>
        </is>
      </c>
      <c r="D34" t="n">
        <v>4582</v>
      </c>
      <c r="E34" t="n">
        <v>4582</v>
      </c>
      <c r="F34" t="n">
        <v>0</v>
      </c>
      <c r="G34" t="inlineStr">
        <is>
          <t>match</t>
        </is>
      </c>
    </row>
    <row r="35">
      <c r="A35" t="inlineStr">
        <is>
          <t>AU</t>
        </is>
      </c>
      <c r="B35" t="n">
        <v>2024</v>
      </c>
      <c r="C35" t="inlineStr">
        <is>
          <t>2024-12-31</t>
        </is>
      </c>
      <c r="D35" t="n">
        <v>5793</v>
      </c>
      <c r="E35" t="n">
        <v>5793</v>
      </c>
      <c r="F35" t="n">
        <v>0</v>
      </c>
      <c r="G35" t="inlineStr">
        <is>
          <t>match</t>
        </is>
      </c>
    </row>
    <row r="36">
      <c r="A36" t="inlineStr">
        <is>
          <t>AU</t>
        </is>
      </c>
      <c r="B36" t="n">
        <v>2025</v>
      </c>
      <c r="C36" t="inlineStr">
        <is>
          <t>2025-12-31</t>
        </is>
      </c>
      <c r="D36" t="n">
        <v>9893</v>
      </c>
      <c r="E36" t="n">
        <v>9893</v>
      </c>
      <c r="F36" t="n">
        <v>0</v>
      </c>
      <c r="G36" t="inlineStr">
        <is>
          <t>match</t>
        </is>
      </c>
    </row>
    <row r="37">
      <c r="A37" t="inlineStr">
        <is>
          <t>AUMB.V</t>
        </is>
      </c>
      <c r="B37" t="n">
        <v>2022</v>
      </c>
      <c r="C37" t="inlineStr">
        <is>
          <t>2022-12-31</t>
        </is>
      </c>
      <c r="D37" t="n">
        <v>5.9</v>
      </c>
      <c r="E37" t="n">
        <v>5.9</v>
      </c>
      <c r="F37" t="n">
        <v>0</v>
      </c>
      <c r="G37" t="inlineStr">
        <is>
          <t>match</t>
        </is>
      </c>
    </row>
    <row r="38">
      <c r="A38" t="inlineStr">
        <is>
          <t>AUMB.V</t>
        </is>
      </c>
      <c r="B38" t="n">
        <v>2023</v>
      </c>
      <c r="C38" t="inlineStr">
        <is>
          <t>2023-12-31</t>
        </is>
      </c>
      <c r="D38" t="n">
        <v>0.7</v>
      </c>
      <c r="E38" t="n">
        <v>0.7</v>
      </c>
      <c r="F38" t="n">
        <v>0</v>
      </c>
      <c r="G38" t="inlineStr">
        <is>
          <t>match</t>
        </is>
      </c>
    </row>
    <row r="39">
      <c r="A39" t="inlineStr">
        <is>
          <t>BGL.AX</t>
        </is>
      </c>
      <c r="B39" t="n">
        <v>2024</v>
      </c>
      <c r="C39" t="inlineStr">
        <is>
          <t>2024-06-30</t>
        </is>
      </c>
      <c r="D39" t="n">
        <v>298.4</v>
      </c>
      <c r="E39" t="n">
        <v>298.4</v>
      </c>
      <c r="F39" t="n">
        <v>0</v>
      </c>
      <c r="G39" t="inlineStr">
        <is>
          <t>match</t>
        </is>
      </c>
    </row>
    <row r="40">
      <c r="A40" t="inlineStr">
        <is>
          <t>BGL.AX</t>
        </is>
      </c>
      <c r="B40" t="n">
        <v>2026</v>
      </c>
      <c r="C40" t="inlineStr">
        <is>
          <t>2026-06-30</t>
        </is>
      </c>
      <c r="D40" t="n">
        <v>576.3</v>
      </c>
      <c r="E40" t="n">
        <v>576.3</v>
      </c>
      <c r="F40" t="n">
        <v>0</v>
      </c>
      <c r="G40" t="inlineStr">
        <is>
          <t>match</t>
        </is>
      </c>
    </row>
    <row r="41">
      <c r="A41" t="inlineStr">
        <is>
          <t>BTO.TO</t>
        </is>
      </c>
      <c r="B41" t="n">
        <v>2022</v>
      </c>
      <c r="C41" t="inlineStr">
        <is>
          <t>2022-12-31</t>
        </is>
      </c>
      <c r="D41" t="n">
        <v>1732.6</v>
      </c>
      <c r="E41" t="n">
        <v>1732.6</v>
      </c>
      <c r="F41" t="n">
        <v>0</v>
      </c>
      <c r="G41" t="inlineStr">
        <is>
          <t>match</t>
        </is>
      </c>
    </row>
    <row r="42">
      <c r="A42" t="inlineStr">
        <is>
          <t>BTO.TO</t>
        </is>
      </c>
      <c r="B42" t="n">
        <v>2023</v>
      </c>
      <c r="C42" t="inlineStr">
        <is>
          <t>2023-12-31</t>
        </is>
      </c>
      <c r="D42" t="n">
        <v>1934.3</v>
      </c>
      <c r="E42" t="n">
        <v>1934.3</v>
      </c>
      <c r="F42" t="n">
        <v>0</v>
      </c>
      <c r="G42" t="inlineStr">
        <is>
          <t>match</t>
        </is>
      </c>
    </row>
    <row r="43">
      <c r="A43" t="inlineStr">
        <is>
          <t>BTO.TO</t>
        </is>
      </c>
      <c r="B43" t="n">
        <v>2024</v>
      </c>
      <c r="C43" t="inlineStr">
        <is>
          <t>2024-12-31</t>
        </is>
      </c>
      <c r="D43" t="n">
        <v>1902</v>
      </c>
      <c r="E43" t="n">
        <v>1902</v>
      </c>
      <c r="F43" t="n">
        <v>0</v>
      </c>
      <c r="G43" t="inlineStr">
        <is>
          <t>match</t>
        </is>
      </c>
    </row>
    <row r="44">
      <c r="A44" t="inlineStr">
        <is>
          <t>BTO.TO</t>
        </is>
      </c>
      <c r="B44" t="n">
        <v>2025</v>
      </c>
      <c r="C44" t="inlineStr">
        <is>
          <t>2025-12-31</t>
        </is>
      </c>
      <c r="D44" t="n">
        <v>3061.2</v>
      </c>
      <c r="E44" t="n">
        <v>3061.2</v>
      </c>
      <c r="F44" t="n">
        <v>0</v>
      </c>
      <c r="G44" t="inlineStr">
        <is>
          <t>match</t>
        </is>
      </c>
    </row>
    <row r="45">
      <c r="A45" t="inlineStr">
        <is>
          <t>CERT.V</t>
        </is>
      </c>
      <c r="B45" t="n">
        <v>2022</v>
      </c>
      <c r="C45" t="inlineStr">
        <is>
          <t>2022-12-31</t>
        </is>
      </c>
      <c r="D45" t="n">
        <v>90.40000000000001</v>
      </c>
      <c r="E45" t="n">
        <v>90.40000000000001</v>
      </c>
      <c r="F45" t="n">
        <v>0</v>
      </c>
      <c r="G45" t="inlineStr">
        <is>
          <t>match</t>
        </is>
      </c>
    </row>
    <row r="46">
      <c r="A46" t="inlineStr">
        <is>
          <t>CERT.V</t>
        </is>
      </c>
      <c r="B46" t="n">
        <v>2023</v>
      </c>
      <c r="C46" t="inlineStr">
        <is>
          <t>2023-12-31</t>
        </is>
      </c>
      <c r="D46" t="n">
        <v>100.1</v>
      </c>
      <c r="E46" t="n">
        <v>100.1</v>
      </c>
      <c r="F46" t="n">
        <v>0</v>
      </c>
      <c r="G46" t="inlineStr">
        <is>
          <t>match</t>
        </is>
      </c>
    </row>
    <row r="47">
      <c r="A47" t="inlineStr">
        <is>
          <t>CERT.V</t>
        </is>
      </c>
      <c r="B47" t="n">
        <v>2024</v>
      </c>
      <c r="C47" t="inlineStr">
        <is>
          <t>2024-12-31</t>
        </is>
      </c>
      <c r="D47" t="n">
        <v>116.2</v>
      </c>
      <c r="E47" t="n">
        <v>116.2</v>
      </c>
      <c r="F47" t="n">
        <v>0</v>
      </c>
      <c r="G47" t="inlineStr">
        <is>
          <t>match</t>
        </is>
      </c>
    </row>
    <row r="48">
      <c r="A48" t="inlineStr">
        <is>
          <t>CERT.V</t>
        </is>
      </c>
      <c r="B48" t="n">
        <v>2025</v>
      </c>
      <c r="C48" t="inlineStr">
        <is>
          <t>2025-12-31</t>
        </is>
      </c>
      <c r="D48" t="n">
        <v>147.1</v>
      </c>
      <c r="E48" t="n">
        <v>147.1</v>
      </c>
      <c r="F48" t="n">
        <v>0</v>
      </c>
      <c r="G48" t="inlineStr">
        <is>
          <t>match</t>
        </is>
      </c>
    </row>
    <row r="49">
      <c r="A49" t="inlineStr">
        <is>
          <t>CG.TO</t>
        </is>
      </c>
      <c r="B49" t="n">
        <v>2022</v>
      </c>
      <c r="C49" t="inlineStr">
        <is>
          <t>2022-12-31</t>
        </is>
      </c>
      <c r="D49" t="n">
        <v>850.2</v>
      </c>
      <c r="E49" t="n">
        <v>850.2</v>
      </c>
      <c r="F49" t="n">
        <v>0</v>
      </c>
      <c r="G49" t="inlineStr">
        <is>
          <t>match</t>
        </is>
      </c>
    </row>
    <row r="50">
      <c r="A50" t="inlineStr">
        <is>
          <t>CG.TO</t>
        </is>
      </c>
      <c r="B50" t="n">
        <v>2023</v>
      </c>
      <c r="C50" t="inlineStr">
        <is>
          <t>2023-12-31</t>
        </is>
      </c>
      <c r="D50" t="n">
        <v>1094.9</v>
      </c>
      <c r="E50" t="n">
        <v>1094.9</v>
      </c>
      <c r="F50" t="n">
        <v>0</v>
      </c>
      <c r="G50" t="inlineStr">
        <is>
          <t>match</t>
        </is>
      </c>
    </row>
    <row r="51">
      <c r="A51" t="inlineStr">
        <is>
          <t>CG.TO</t>
        </is>
      </c>
      <c r="B51" t="n">
        <v>2024</v>
      </c>
      <c r="C51" t="inlineStr">
        <is>
          <t>2024-12-31</t>
        </is>
      </c>
      <c r="D51" t="n">
        <v>1214.5</v>
      </c>
      <c r="E51" t="n">
        <v>1214.5</v>
      </c>
      <c r="F51" t="n">
        <v>0</v>
      </c>
      <c r="G51" t="inlineStr">
        <is>
          <t>match</t>
        </is>
      </c>
    </row>
    <row r="52">
      <c r="A52" t="inlineStr">
        <is>
          <t>CG.TO</t>
        </is>
      </c>
      <c r="B52" t="n">
        <v>2025</v>
      </c>
      <c r="C52" t="inlineStr">
        <is>
          <t>2025-12-31</t>
        </is>
      </c>
      <c r="D52" t="n">
        <v>1384.6</v>
      </c>
      <c r="E52" t="n">
        <v>1384.6</v>
      </c>
      <c r="F52" t="n">
        <v>0</v>
      </c>
      <c r="G52" t="inlineStr">
        <is>
          <t>match</t>
        </is>
      </c>
    </row>
    <row r="53">
      <c r="A53" t="inlineStr">
        <is>
          <t>CYL.AX</t>
        </is>
      </c>
      <c r="B53" t="n">
        <v>2022</v>
      </c>
      <c r="C53" t="inlineStr">
        <is>
          <t>2022-06-30</t>
        </is>
      </c>
      <c r="D53" t="n">
        <v>63.3</v>
      </c>
      <c r="E53" t="n">
        <v>63.3</v>
      </c>
      <c r="F53" t="n">
        <v>-0</v>
      </c>
      <c r="G53" t="inlineStr">
        <is>
          <t>match</t>
        </is>
      </c>
    </row>
    <row r="54">
      <c r="A54" t="inlineStr">
        <is>
          <t>CYL.AX</t>
        </is>
      </c>
      <c r="B54" t="n">
        <v>2023</v>
      </c>
      <c r="C54" t="inlineStr">
        <is>
          <t>2023-06-30</t>
        </is>
      </c>
      <c r="D54" t="n">
        <v>63.9</v>
      </c>
      <c r="E54" t="n">
        <v>63.9</v>
      </c>
      <c r="F54" t="n">
        <v>0</v>
      </c>
      <c r="G54" t="inlineStr">
        <is>
          <t>match</t>
        </is>
      </c>
    </row>
    <row r="55">
      <c r="A55" t="inlineStr">
        <is>
          <t>ELD.TO</t>
        </is>
      </c>
      <c r="B55" t="n">
        <v>2022</v>
      </c>
      <c r="C55" t="inlineStr">
        <is>
          <t>2022-12-31</t>
        </is>
      </c>
      <c r="D55" t="n">
        <v>872</v>
      </c>
      <c r="E55" t="n">
        <v>871.5</v>
      </c>
      <c r="F55" t="n">
        <v>0.1</v>
      </c>
      <c r="G55" t="inlineStr">
        <is>
          <t>match</t>
        </is>
      </c>
    </row>
    <row r="56">
      <c r="A56" t="inlineStr">
        <is>
          <t>ELD.TO</t>
        </is>
      </c>
      <c r="B56" t="n">
        <v>2023</v>
      </c>
      <c r="C56" t="inlineStr">
        <is>
          <t>2023-12-31</t>
        </is>
      </c>
      <c r="D56" t="n">
        <v>1008.5</v>
      </c>
      <c r="E56" t="n">
        <v>1010.1</v>
      </c>
      <c r="F56" t="n">
        <v>-0.2</v>
      </c>
      <c r="G56" t="inlineStr">
        <is>
          <t>match</t>
        </is>
      </c>
    </row>
    <row r="57">
      <c r="A57" t="inlineStr">
        <is>
          <t>ELD.TO</t>
        </is>
      </c>
      <c r="B57" t="n">
        <v>2024</v>
      </c>
      <c r="C57" t="inlineStr">
        <is>
          <t>2024-12-31</t>
        </is>
      </c>
      <c r="D57" t="n">
        <v>1322.6</v>
      </c>
      <c r="E57" t="n">
        <v>1323.5</v>
      </c>
      <c r="F57" t="n">
        <v>-0.1</v>
      </c>
      <c r="G57" t="inlineStr">
        <is>
          <t>match</t>
        </is>
      </c>
    </row>
    <row r="58">
      <c r="A58" t="inlineStr">
        <is>
          <t>ELD.TO</t>
        </is>
      </c>
      <c r="B58" t="n">
        <v>2025</v>
      </c>
      <c r="C58" t="inlineStr">
        <is>
          <t>2025-12-31</t>
        </is>
      </c>
      <c r="D58" t="n">
        <v>1818.9</v>
      </c>
      <c r="E58" t="n">
        <v>1803.4</v>
      </c>
      <c r="F58" t="n">
        <v>0.9</v>
      </c>
      <c r="G58" t="inlineStr">
        <is>
          <t>match</t>
        </is>
      </c>
    </row>
    <row r="59">
      <c r="A59" t="inlineStr">
        <is>
          <t>EQX.TO</t>
        </is>
      </c>
      <c r="B59" t="n">
        <v>2022</v>
      </c>
      <c r="C59" t="inlineStr">
        <is>
          <t>2022-12-31</t>
        </is>
      </c>
      <c r="D59" t="n">
        <v>952.2</v>
      </c>
      <c r="E59" t="n">
        <v>952.2</v>
      </c>
      <c r="F59" t="n">
        <v>0</v>
      </c>
      <c r="G59" t="inlineStr">
        <is>
          <t>match</t>
        </is>
      </c>
    </row>
    <row r="60">
      <c r="A60" t="inlineStr">
        <is>
          <t>EQX.TO</t>
        </is>
      </c>
      <c r="B60" t="n">
        <v>2023</v>
      </c>
      <c r="C60" t="inlineStr">
        <is>
          <t>2023-12-31</t>
        </is>
      </c>
      <c r="D60" t="n">
        <v>1088.2</v>
      </c>
      <c r="E60" t="n">
        <v>1088.2</v>
      </c>
      <c r="F60" t="n">
        <v>0</v>
      </c>
      <c r="G60" t="inlineStr">
        <is>
          <t>match</t>
        </is>
      </c>
    </row>
    <row r="61">
      <c r="A61" t="inlineStr">
        <is>
          <t>EQX.TO</t>
        </is>
      </c>
      <c r="B61" t="n">
        <v>2024</v>
      </c>
      <c r="C61" t="inlineStr">
        <is>
          <t>2024-12-31</t>
        </is>
      </c>
      <c r="D61" t="n">
        <v>912.8</v>
      </c>
      <c r="E61" t="n">
        <v>912.8</v>
      </c>
      <c r="F61" t="n">
        <v>0</v>
      </c>
      <c r="G61" t="inlineStr">
        <is>
          <t>match</t>
        </is>
      </c>
    </row>
    <row r="62">
      <c r="A62" t="inlineStr">
        <is>
          <t>EQX.TO</t>
        </is>
      </c>
      <c r="B62" t="n">
        <v>2025</v>
      </c>
      <c r="C62" t="inlineStr">
        <is>
          <t>2025-12-31</t>
        </is>
      </c>
      <c r="D62" t="n">
        <v>1817.2</v>
      </c>
      <c r="E62" t="n">
        <v>1817.2</v>
      </c>
      <c r="F62" t="n">
        <v>0</v>
      </c>
      <c r="G62" t="inlineStr">
        <is>
          <t>match</t>
        </is>
      </c>
    </row>
    <row r="63">
      <c r="A63" t="inlineStr">
        <is>
          <t>FVI.TO</t>
        </is>
      </c>
      <c r="B63" t="n">
        <v>2022</v>
      </c>
      <c r="C63" t="inlineStr">
        <is>
          <t>2022-12-31</t>
        </is>
      </c>
      <c r="D63" t="n">
        <v>681.5</v>
      </c>
      <c r="E63" t="n">
        <v>681.5</v>
      </c>
      <c r="F63" t="n">
        <v>0</v>
      </c>
      <c r="G63" t="inlineStr">
        <is>
          <t>match</t>
        </is>
      </c>
    </row>
    <row r="64">
      <c r="A64" t="inlineStr">
        <is>
          <t>FVI.TO</t>
        </is>
      </c>
      <c r="B64" t="n">
        <v>2023</v>
      </c>
      <c r="C64" t="inlineStr">
        <is>
          <t>2023-12-31</t>
        </is>
      </c>
      <c r="D64" t="n">
        <v>842.4</v>
      </c>
      <c r="E64" t="n">
        <v>842.4</v>
      </c>
      <c r="F64" t="n">
        <v>0</v>
      </c>
      <c r="G64" t="inlineStr">
        <is>
          <t>match</t>
        </is>
      </c>
    </row>
    <row r="65">
      <c r="A65" t="inlineStr">
        <is>
          <t>FVI.TO</t>
        </is>
      </c>
      <c r="B65" t="n">
        <v>2024</v>
      </c>
      <c r="C65" t="inlineStr">
        <is>
          <t>2024-12-31</t>
        </is>
      </c>
      <c r="D65" t="n">
        <v>677.2</v>
      </c>
      <c r="E65" t="n">
        <v>677.2</v>
      </c>
      <c r="F65" t="n">
        <v>0</v>
      </c>
      <c r="G65" t="inlineStr">
        <is>
          <t>match</t>
        </is>
      </c>
    </row>
    <row r="66">
      <c r="A66" t="inlineStr">
        <is>
          <t>FVI.TO</t>
        </is>
      </c>
      <c r="B66" t="n">
        <v>2025</v>
      </c>
      <c r="C66" t="inlineStr">
        <is>
          <t>2025-12-31</t>
        </is>
      </c>
      <c r="D66" t="n">
        <v>947.1</v>
      </c>
      <c r="E66" t="n">
        <v>947.1</v>
      </c>
      <c r="F66" t="n">
        <v>0</v>
      </c>
      <c r="G66" t="inlineStr">
        <is>
          <t>match</t>
        </is>
      </c>
    </row>
    <row r="67">
      <c r="A67" t="inlineStr">
        <is>
          <t>GFI</t>
        </is>
      </c>
      <c r="B67" t="n">
        <v>2022</v>
      </c>
      <c r="C67" t="inlineStr">
        <is>
          <t>2022-12-31</t>
        </is>
      </c>
      <c r="D67" t="n">
        <v>4286.7</v>
      </c>
      <c r="E67" t="n">
        <v>4286.7</v>
      </c>
      <c r="F67" t="n">
        <v>0</v>
      </c>
      <c r="G67" t="inlineStr">
        <is>
          <t>match</t>
        </is>
      </c>
    </row>
    <row r="68">
      <c r="A68" t="inlineStr">
        <is>
          <t>GFI</t>
        </is>
      </c>
      <c r="B68" t="n">
        <v>2023</v>
      </c>
      <c r="C68" t="inlineStr">
        <is>
          <t>2023-12-31</t>
        </is>
      </c>
      <c r="D68" t="n">
        <v>4500.7</v>
      </c>
      <c r="E68" t="n">
        <v>4500.7</v>
      </c>
      <c r="F68" t="n">
        <v>0</v>
      </c>
      <c r="G68" t="inlineStr">
        <is>
          <t>match</t>
        </is>
      </c>
    </row>
    <row r="69">
      <c r="A69" t="inlineStr">
        <is>
          <t>GFI</t>
        </is>
      </c>
      <c r="B69" t="n">
        <v>2024</v>
      </c>
      <c r="C69" t="inlineStr">
        <is>
          <t>2024-12-31</t>
        </is>
      </c>
      <c r="D69" t="n">
        <v>5201.6</v>
      </c>
      <c r="E69" t="n">
        <v>5201.6</v>
      </c>
      <c r="F69" t="n">
        <v>0</v>
      </c>
      <c r="G69" t="inlineStr">
        <is>
          <t>match</t>
        </is>
      </c>
    </row>
    <row r="70">
      <c r="A70" t="inlineStr">
        <is>
          <t>GFI</t>
        </is>
      </c>
      <c r="B70" t="n">
        <v>2025</v>
      </c>
      <c r="C70" t="inlineStr">
        <is>
          <t>2025-12-31</t>
        </is>
      </c>
      <c r="D70" t="n">
        <v>8751.299999999999</v>
      </c>
      <c r="E70" t="n">
        <v>8751.299999999999</v>
      </c>
      <c r="F70" t="n">
        <v>0</v>
      </c>
      <c r="G70" t="inlineStr">
        <is>
          <t>match</t>
        </is>
      </c>
    </row>
    <row r="71">
      <c r="A71" t="inlineStr">
        <is>
          <t>GMD.AX</t>
        </is>
      </c>
      <c r="B71" t="n">
        <v>2023</v>
      </c>
      <c r="C71" t="inlineStr">
        <is>
          <t>2023-06-30</t>
        </is>
      </c>
      <c r="D71" t="n">
        <v>77</v>
      </c>
      <c r="E71" t="n">
        <v>77</v>
      </c>
      <c r="F71" t="n">
        <v>0</v>
      </c>
      <c r="G71" t="inlineStr">
        <is>
          <t>match</t>
        </is>
      </c>
    </row>
    <row r="72">
      <c r="A72" t="inlineStr">
        <is>
          <t>GMD.AX</t>
        </is>
      </c>
      <c r="B72" t="n">
        <v>2024</v>
      </c>
      <c r="C72" t="inlineStr">
        <is>
          <t>2024-06-30</t>
        </is>
      </c>
      <c r="D72" t="n">
        <v>438.6</v>
      </c>
      <c r="E72" t="n">
        <v>438.6</v>
      </c>
      <c r="F72" t="n">
        <v>0</v>
      </c>
      <c r="G72" t="inlineStr">
        <is>
          <t>match</t>
        </is>
      </c>
    </row>
    <row r="73">
      <c r="A73" t="inlineStr">
        <is>
          <t>GMD.AX</t>
        </is>
      </c>
      <c r="B73" t="n">
        <v>2025</v>
      </c>
      <c r="C73" t="inlineStr">
        <is>
          <t>2025-06-30</t>
        </is>
      </c>
      <c r="D73" t="n">
        <v>920.1</v>
      </c>
      <c r="E73" t="n">
        <v>920.1</v>
      </c>
      <c r="F73" t="n">
        <v>0</v>
      </c>
      <c r="G73" t="inlineStr">
        <is>
          <t>match</t>
        </is>
      </c>
    </row>
    <row r="74">
      <c r="A74" t="inlineStr">
        <is>
          <t>GMD.AX</t>
        </is>
      </c>
      <c r="B74" t="n">
        <v>2026</v>
      </c>
      <c r="C74" t="inlineStr">
        <is>
          <t>2026-06-30</t>
        </is>
      </c>
      <c r="D74" t="n">
        <v>1742.3</v>
      </c>
      <c r="E74" t="n">
        <v>1742.3</v>
      </c>
      <c r="F74" t="n">
        <v>0</v>
      </c>
      <c r="G74" t="inlineStr">
        <is>
          <t>match</t>
        </is>
      </c>
    </row>
    <row r="75">
      <c r="A75" t="inlineStr">
        <is>
          <t>HMY</t>
        </is>
      </c>
      <c r="B75" t="n">
        <v>2022</v>
      </c>
      <c r="C75" t="inlineStr">
        <is>
          <t>2022-06-30</t>
        </is>
      </c>
      <c r="D75" t="n">
        <v>42645</v>
      </c>
      <c r="E75" t="n">
        <v>42645</v>
      </c>
      <c r="F75" t="n">
        <v>0</v>
      </c>
      <c r="G75" t="inlineStr">
        <is>
          <t>match</t>
        </is>
      </c>
    </row>
    <row r="76">
      <c r="A76" t="inlineStr">
        <is>
          <t>HMY</t>
        </is>
      </c>
      <c r="B76" t="n">
        <v>2023</v>
      </c>
      <c r="C76" t="inlineStr">
        <is>
          <t>2023-06-30</t>
        </is>
      </c>
      <c r="D76" t="n">
        <v>49275</v>
      </c>
      <c r="E76" t="n">
        <v>49275</v>
      </c>
      <c r="F76" t="n">
        <v>0</v>
      </c>
      <c r="G76" t="inlineStr">
        <is>
          <t>match</t>
        </is>
      </c>
    </row>
    <row r="77">
      <c r="A77" t="inlineStr">
        <is>
          <t>HMY</t>
        </is>
      </c>
      <c r="B77" t="n">
        <v>2024</v>
      </c>
      <c r="C77" t="inlineStr">
        <is>
          <t>2024-06-30</t>
        </is>
      </c>
      <c r="D77" t="n">
        <v>61379</v>
      </c>
      <c r="E77" t="n">
        <v>61379</v>
      </c>
      <c r="F77" t="n">
        <v>0</v>
      </c>
      <c r="G77" t="inlineStr">
        <is>
          <t>match</t>
        </is>
      </c>
    </row>
    <row r="78">
      <c r="A78" t="inlineStr">
        <is>
          <t>IAU.TO</t>
        </is>
      </c>
      <c r="B78" t="n">
        <v>2022</v>
      </c>
      <c r="C78" t="inlineStr">
        <is>
          <t>2022-12-31</t>
        </is>
      </c>
      <c r="D78" t="n">
        <v>37</v>
      </c>
      <c r="E78" t="n">
        <v>37</v>
      </c>
      <c r="F78" t="n">
        <v>0</v>
      </c>
      <c r="G78" t="inlineStr">
        <is>
          <t>match</t>
        </is>
      </c>
    </row>
    <row r="79">
      <c r="A79" t="inlineStr">
        <is>
          <t>IAU.TO</t>
        </is>
      </c>
      <c r="B79" t="n">
        <v>2023</v>
      </c>
      <c r="C79" t="inlineStr">
        <is>
          <t>2023-12-31</t>
        </is>
      </c>
      <c r="D79" t="n">
        <v>54.9</v>
      </c>
      <c r="E79" t="n">
        <v>54.9</v>
      </c>
      <c r="F79" t="n">
        <v>0</v>
      </c>
      <c r="G79" t="inlineStr">
        <is>
          <t>match</t>
        </is>
      </c>
    </row>
    <row r="80">
      <c r="A80" t="inlineStr">
        <is>
          <t>IAU.TO</t>
        </is>
      </c>
      <c r="B80" t="n">
        <v>2024</v>
      </c>
      <c r="C80" t="inlineStr">
        <is>
          <t>2024-12-31</t>
        </is>
      </c>
      <c r="D80" t="n">
        <v>50.3</v>
      </c>
      <c r="E80" t="n">
        <v>50.3</v>
      </c>
      <c r="F80" t="n">
        <v>0</v>
      </c>
      <c r="G80" t="inlineStr">
        <is>
          <t>match</t>
        </is>
      </c>
    </row>
    <row r="81">
      <c r="A81" t="inlineStr">
        <is>
          <t>IAU.TO</t>
        </is>
      </c>
      <c r="B81" t="n">
        <v>2025</v>
      </c>
      <c r="C81" t="inlineStr">
        <is>
          <t>2025-12-31</t>
        </is>
      </c>
      <c r="D81" t="n">
        <v>95.2</v>
      </c>
      <c r="E81" t="n">
        <v>95.2</v>
      </c>
      <c r="F81" t="n">
        <v>0</v>
      </c>
      <c r="G81" t="inlineStr">
        <is>
          <t>match</t>
        </is>
      </c>
    </row>
    <row r="82">
      <c r="A82" t="inlineStr">
        <is>
          <t>IMG.TO</t>
        </is>
      </c>
      <c r="B82" t="n">
        <v>2022</v>
      </c>
      <c r="C82" t="inlineStr">
        <is>
          <t>2022-12-31</t>
        </is>
      </c>
      <c r="D82" t="n">
        <v>958.8</v>
      </c>
      <c r="E82" t="n">
        <v>958.8</v>
      </c>
      <c r="F82" t="n">
        <v>0</v>
      </c>
      <c r="G82" t="inlineStr">
        <is>
          <t>match</t>
        </is>
      </c>
    </row>
    <row r="83">
      <c r="A83" t="inlineStr">
        <is>
          <t>IMG.TO</t>
        </is>
      </c>
      <c r="B83" t="n">
        <v>2023</v>
      </c>
      <c r="C83" t="inlineStr">
        <is>
          <t>2023-12-31</t>
        </is>
      </c>
      <c r="D83" t="n">
        <v>987.1</v>
      </c>
      <c r="E83" t="n">
        <v>987.1</v>
      </c>
      <c r="F83" t="n">
        <v>0</v>
      </c>
      <c r="G83" t="inlineStr">
        <is>
          <t>match</t>
        </is>
      </c>
    </row>
    <row r="84">
      <c r="A84" t="inlineStr">
        <is>
          <t>IMG.TO</t>
        </is>
      </c>
      <c r="B84" t="n">
        <v>2024</v>
      </c>
      <c r="C84" t="inlineStr">
        <is>
          <t>2024-12-31</t>
        </is>
      </c>
      <c r="D84" t="n">
        <v>1633</v>
      </c>
      <c r="E84" t="n">
        <v>1633</v>
      </c>
      <c r="F84" t="n">
        <v>0</v>
      </c>
      <c r="G84" t="inlineStr">
        <is>
          <t>match</t>
        </is>
      </c>
    </row>
    <row r="85">
      <c r="A85" t="inlineStr">
        <is>
          <t>IMG.TO</t>
        </is>
      </c>
      <c r="B85" t="n">
        <v>2025</v>
      </c>
      <c r="C85" t="inlineStr">
        <is>
          <t>2025-12-31</t>
        </is>
      </c>
      <c r="D85" t="n">
        <v>2852.8</v>
      </c>
      <c r="E85" t="n">
        <v>2852.8</v>
      </c>
      <c r="F85" t="n">
        <v>0</v>
      </c>
      <c r="G85" t="inlineStr">
        <is>
          <t>match</t>
        </is>
      </c>
    </row>
    <row r="86">
      <c r="A86" t="inlineStr">
        <is>
          <t>K.TO</t>
        </is>
      </c>
      <c r="B86" t="n">
        <v>2022</v>
      </c>
      <c r="C86" t="inlineStr">
        <is>
          <t>2022-12-31</t>
        </is>
      </c>
      <c r="D86" t="n">
        <v>3455.1</v>
      </c>
      <c r="E86" t="n">
        <v>3455.1</v>
      </c>
      <c r="F86" t="n">
        <v>0</v>
      </c>
      <c r="G86" t="inlineStr">
        <is>
          <t>match</t>
        </is>
      </c>
    </row>
    <row r="87">
      <c r="A87" t="inlineStr">
        <is>
          <t>K.TO</t>
        </is>
      </c>
      <c r="B87" t="n">
        <v>2023</v>
      </c>
      <c r="C87" t="inlineStr">
        <is>
          <t>2023-12-31</t>
        </is>
      </c>
      <c r="D87" t="n">
        <v>4239.7</v>
      </c>
      <c r="E87" t="n">
        <v>4239.7</v>
      </c>
      <c r="F87" t="n">
        <v>0</v>
      </c>
      <c r="G87" t="inlineStr">
        <is>
          <t>match</t>
        </is>
      </c>
    </row>
    <row r="88">
      <c r="A88" t="inlineStr">
        <is>
          <t>K.TO</t>
        </is>
      </c>
      <c r="B88" t="n">
        <v>2024</v>
      </c>
      <c r="C88" t="inlineStr">
        <is>
          <t>2024-12-31</t>
        </is>
      </c>
      <c r="D88" t="n">
        <v>5148.8</v>
      </c>
      <c r="E88" t="n">
        <v>5148.8</v>
      </c>
      <c r="F88" t="n">
        <v>0</v>
      </c>
      <c r="G88" t="inlineStr">
        <is>
          <t>match</t>
        </is>
      </c>
    </row>
    <row r="89">
      <c r="A89" t="inlineStr">
        <is>
          <t>K.TO</t>
        </is>
      </c>
      <c r="B89" t="n">
        <v>2025</v>
      </c>
      <c r="C89" t="inlineStr">
        <is>
          <t>2025-12-31</t>
        </is>
      </c>
      <c r="D89" t="n">
        <v>7051.1</v>
      </c>
      <c r="E89" t="n">
        <v>7051.1</v>
      </c>
      <c r="F89" t="n">
        <v>0</v>
      </c>
      <c r="G89" t="inlineStr">
        <is>
          <t>match</t>
        </is>
      </c>
    </row>
    <row r="90">
      <c r="A90" t="inlineStr">
        <is>
          <t>KNT.TO</t>
        </is>
      </c>
      <c r="B90" t="n">
        <v>2022</v>
      </c>
      <c r="C90" t="inlineStr">
        <is>
          <t>2022-12-31</t>
        </is>
      </c>
      <c r="D90" t="n">
        <v>188.2</v>
      </c>
      <c r="E90" t="n">
        <v>188.2</v>
      </c>
      <c r="F90" t="n">
        <v>0</v>
      </c>
      <c r="G90" t="inlineStr">
        <is>
          <t>match</t>
        </is>
      </c>
    </row>
    <row r="91">
      <c r="A91" t="inlineStr">
        <is>
          <t>KNT.TO</t>
        </is>
      </c>
      <c r="B91" t="n">
        <v>2023</v>
      </c>
      <c r="C91" t="inlineStr">
        <is>
          <t>2023-12-31</t>
        </is>
      </c>
      <c r="D91" t="n">
        <v>200.3</v>
      </c>
      <c r="E91" t="n">
        <v>200.3</v>
      </c>
      <c r="F91" t="n">
        <v>0</v>
      </c>
      <c r="G91" t="inlineStr">
        <is>
          <t>match</t>
        </is>
      </c>
    </row>
    <row r="92">
      <c r="A92" t="inlineStr">
        <is>
          <t>KNT.TO</t>
        </is>
      </c>
      <c r="B92" t="n">
        <v>2024</v>
      </c>
      <c r="C92" t="inlineStr">
        <is>
          <t>2024-12-31</t>
        </is>
      </c>
      <c r="D92" t="n">
        <v>350.6</v>
      </c>
      <c r="E92" t="n">
        <v>350.6</v>
      </c>
      <c r="F92" t="n">
        <v>0</v>
      </c>
      <c r="G92" t="inlineStr">
        <is>
          <t>match</t>
        </is>
      </c>
    </row>
    <row r="93">
      <c r="A93" t="inlineStr">
        <is>
          <t>KNT.TO</t>
        </is>
      </c>
      <c r="B93" t="n">
        <v>2025</v>
      </c>
      <c r="C93" t="inlineStr">
        <is>
          <t>2025-12-31</t>
        </is>
      </c>
      <c r="D93" t="n">
        <v>595.2</v>
      </c>
      <c r="E93" t="n">
        <v>595.2</v>
      </c>
      <c r="F93" t="n">
        <v>0</v>
      </c>
      <c r="G93" t="inlineStr">
        <is>
          <t>match</t>
        </is>
      </c>
    </row>
    <row r="94">
      <c r="A94" t="inlineStr">
        <is>
          <t>LYC.AX</t>
        </is>
      </c>
      <c r="B94" t="n">
        <v>2024</v>
      </c>
      <c r="C94" t="inlineStr">
        <is>
          <t>2024-06-30</t>
        </is>
      </c>
      <c r="D94" t="n">
        <v>463.3</v>
      </c>
      <c r="E94" t="n">
        <v>464.4</v>
      </c>
      <c r="F94" t="n">
        <v>-0.2</v>
      </c>
      <c r="G94" t="inlineStr">
        <is>
          <t>match</t>
        </is>
      </c>
    </row>
    <row r="95">
      <c r="A95" t="inlineStr">
        <is>
          <t>LYC.AX</t>
        </is>
      </c>
      <c r="B95" t="n">
        <v>2026</v>
      </c>
      <c r="C95" t="inlineStr">
        <is>
          <t>2026-06-30</t>
        </is>
      </c>
      <c r="D95" t="n">
        <v>977.9</v>
      </c>
      <c r="E95" t="n">
        <v>977.9</v>
      </c>
      <c r="F95" t="n">
        <v>0</v>
      </c>
      <c r="G95" t="inlineStr">
        <is>
          <t>match</t>
        </is>
      </c>
    </row>
    <row r="96">
      <c r="A96" t="inlineStr">
        <is>
          <t>MSA.TO</t>
        </is>
      </c>
      <c r="B96" t="n">
        <v>2022</v>
      </c>
      <c r="C96" t="inlineStr">
        <is>
          <t>2022-12-31</t>
        </is>
      </c>
      <c r="D96" t="n">
        <v>414.9</v>
      </c>
      <c r="E96" t="n">
        <v>414.9</v>
      </c>
      <c r="F96" t="n">
        <v>0</v>
      </c>
      <c r="G96" t="inlineStr">
        <is>
          <t>match</t>
        </is>
      </c>
    </row>
    <row r="97">
      <c r="A97" t="inlineStr">
        <is>
          <t>MSA.TO</t>
        </is>
      </c>
      <c r="B97" t="n">
        <v>2023</v>
      </c>
      <c r="C97" t="inlineStr">
        <is>
          <t>2023-12-31</t>
        </is>
      </c>
      <c r="D97" t="n">
        <v>447.3</v>
      </c>
      <c r="E97" t="n">
        <v>447.3</v>
      </c>
      <c r="F97" t="n">
        <v>0</v>
      </c>
      <c r="G97" t="inlineStr">
        <is>
          <t>match</t>
        </is>
      </c>
    </row>
    <row r="98">
      <c r="A98" t="inlineStr">
        <is>
          <t>MSA.TO</t>
        </is>
      </c>
      <c r="B98" t="n">
        <v>2024</v>
      </c>
      <c r="C98" t="inlineStr">
        <is>
          <t>2024-12-31</t>
        </is>
      </c>
      <c r="D98" t="n">
        <v>538.6</v>
      </c>
      <c r="E98" t="n">
        <v>538.6</v>
      </c>
      <c r="F98" t="n">
        <v>0</v>
      </c>
      <c r="G98" t="inlineStr">
        <is>
          <t>match</t>
        </is>
      </c>
    </row>
    <row r="99">
      <c r="A99" t="inlineStr">
        <is>
          <t>MSA.TO</t>
        </is>
      </c>
      <c r="B99" t="n">
        <v>2025</v>
      </c>
      <c r="C99" t="inlineStr">
        <is>
          <t>2025-12-31</t>
        </is>
      </c>
      <c r="D99" t="n">
        <v>799.7</v>
      </c>
      <c r="E99" t="n">
        <v>799.7</v>
      </c>
      <c r="F99" t="n">
        <v>0</v>
      </c>
      <c r="G99" t="inlineStr">
        <is>
          <t>match</t>
        </is>
      </c>
    </row>
    <row r="100">
      <c r="A100" t="inlineStr">
        <is>
          <t>MUX</t>
        </is>
      </c>
      <c r="B100" t="n">
        <v>2022</v>
      </c>
      <c r="C100" t="inlineStr">
        <is>
          <t>2022-12-31</t>
        </is>
      </c>
      <c r="D100" t="n">
        <v>110.4</v>
      </c>
      <c r="E100" t="n">
        <v>110.4</v>
      </c>
      <c r="F100" t="n">
        <v>0</v>
      </c>
      <c r="G100" t="inlineStr">
        <is>
          <t>match</t>
        </is>
      </c>
    </row>
    <row r="101">
      <c r="A101" t="inlineStr">
        <is>
          <t>MUX</t>
        </is>
      </c>
      <c r="B101" t="n">
        <v>2023</v>
      </c>
      <c r="C101" t="inlineStr">
        <is>
          <t>2023-12-31</t>
        </is>
      </c>
      <c r="D101" t="n">
        <v>166.2</v>
      </c>
      <c r="E101" t="n">
        <v>166.2</v>
      </c>
      <c r="F101" t="n">
        <v>0</v>
      </c>
      <c r="G101" t="inlineStr">
        <is>
          <t>match</t>
        </is>
      </c>
    </row>
    <row r="102">
      <c r="A102" t="inlineStr">
        <is>
          <t>MUX</t>
        </is>
      </c>
      <c r="B102" t="n">
        <v>2024</v>
      </c>
      <c r="C102" t="inlineStr">
        <is>
          <t>2024-12-31</t>
        </is>
      </c>
      <c r="D102" t="n">
        <v>174.5</v>
      </c>
      <c r="E102" t="n">
        <v>174.5</v>
      </c>
      <c r="F102" t="n">
        <v>0</v>
      </c>
      <c r="G102" t="inlineStr">
        <is>
          <t>match</t>
        </is>
      </c>
    </row>
    <row r="103">
      <c r="A103" t="inlineStr">
        <is>
          <t>MUX</t>
        </is>
      </c>
      <c r="B103" t="n">
        <v>2025</v>
      </c>
      <c r="C103" t="inlineStr">
        <is>
          <t>2025-12-31</t>
        </is>
      </c>
      <c r="D103" t="n">
        <v>197.6</v>
      </c>
      <c r="E103" t="n">
        <v>197.6</v>
      </c>
      <c r="F103" t="n">
        <v>0</v>
      </c>
      <c r="G103" t="inlineStr">
        <is>
          <t>match</t>
        </is>
      </c>
    </row>
    <row r="104">
      <c r="A104" t="inlineStr">
        <is>
          <t>NFGC.TO</t>
        </is>
      </c>
      <c r="B104" t="n">
        <v>2025</v>
      </c>
      <c r="C104" t="inlineStr">
        <is>
          <t>2025-12-31</t>
        </is>
      </c>
      <c r="D104" t="n">
        <v>5.8</v>
      </c>
      <c r="E104" t="n">
        <v>5.8</v>
      </c>
      <c r="F104" t="n">
        <v>0</v>
      </c>
      <c r="G104" t="inlineStr">
        <is>
          <t>match</t>
        </is>
      </c>
    </row>
    <row r="105">
      <c r="A105" t="inlineStr">
        <is>
          <t>OBM.AX</t>
        </is>
      </c>
      <c r="B105" t="n">
        <v>2022</v>
      </c>
      <c r="C105" t="inlineStr">
        <is>
          <t>2022-06-30</t>
        </is>
      </c>
      <c r="D105" t="n">
        <v>154.3</v>
      </c>
      <c r="E105" t="n">
        <v>154.3</v>
      </c>
      <c r="F105" t="n">
        <v>0</v>
      </c>
      <c r="G105" t="inlineStr">
        <is>
          <t>match</t>
        </is>
      </c>
    </row>
    <row r="106">
      <c r="A106" t="inlineStr">
        <is>
          <t>OBM.AX</t>
        </is>
      </c>
      <c r="B106" t="n">
        <v>2023</v>
      </c>
      <c r="C106" t="inlineStr">
        <is>
          <t>2023-06-30</t>
        </is>
      </c>
      <c r="D106" t="n">
        <v>135.9</v>
      </c>
      <c r="E106" t="n">
        <v>135.9</v>
      </c>
      <c r="F106" t="n">
        <v>0</v>
      </c>
      <c r="G106" t="inlineStr">
        <is>
          <t>match</t>
        </is>
      </c>
    </row>
    <row r="107">
      <c r="A107" t="inlineStr">
        <is>
          <t>OBM.AX</t>
        </is>
      </c>
      <c r="B107" t="n">
        <v>2024</v>
      </c>
      <c r="C107" t="inlineStr">
        <is>
          <t>2024-06-30</t>
        </is>
      </c>
      <c r="D107" t="n">
        <v>214.2</v>
      </c>
      <c r="E107" t="n">
        <v>214.2</v>
      </c>
      <c r="F107" t="n">
        <v>0</v>
      </c>
      <c r="G107" t="inlineStr">
        <is>
          <t>match</t>
        </is>
      </c>
    </row>
    <row r="108">
      <c r="A108" t="inlineStr">
        <is>
          <t>OBM.AX</t>
        </is>
      </c>
      <c r="B108" t="n">
        <v>2026</v>
      </c>
      <c r="C108" t="inlineStr">
        <is>
          <t>2026-06-30</t>
        </is>
      </c>
      <c r="D108" t="n">
        <v>807.5</v>
      </c>
      <c r="E108" t="n">
        <v>807.5</v>
      </c>
      <c r="F108" t="n">
        <v>0</v>
      </c>
      <c r="G108" t="inlineStr">
        <is>
          <t>match</t>
        </is>
      </c>
    </row>
    <row r="109">
      <c r="A109" t="inlineStr">
        <is>
          <t>OGC.TO</t>
        </is>
      </c>
      <c r="B109" t="n">
        <v>2022</v>
      </c>
      <c r="C109" t="inlineStr">
        <is>
          <t>2022-12-31</t>
        </is>
      </c>
      <c r="D109" t="n">
        <v>967.4</v>
      </c>
      <c r="E109" t="n">
        <v>967.4</v>
      </c>
      <c r="F109" t="n">
        <v>0</v>
      </c>
      <c r="G109" t="inlineStr">
        <is>
          <t>match</t>
        </is>
      </c>
    </row>
    <row r="110">
      <c r="A110" t="inlineStr">
        <is>
          <t>OGC.TO</t>
        </is>
      </c>
      <c r="B110" t="n">
        <v>2023</v>
      </c>
      <c r="C110" t="inlineStr">
        <is>
          <t>2023-12-31</t>
        </is>
      </c>
      <c r="D110" t="n">
        <v>1026.3</v>
      </c>
      <c r="E110" t="n">
        <v>1026.3</v>
      </c>
      <c r="F110" t="n">
        <v>0</v>
      </c>
      <c r="G110" t="inlineStr">
        <is>
          <t>match</t>
        </is>
      </c>
    </row>
    <row r="111">
      <c r="A111" t="inlineStr">
        <is>
          <t>OGC.TO</t>
        </is>
      </c>
      <c r="B111" t="n">
        <v>2024</v>
      </c>
      <c r="C111" t="inlineStr">
        <is>
          <t>2024-12-31</t>
        </is>
      </c>
      <c r="D111" t="n">
        <v>1294</v>
      </c>
      <c r="E111" t="n">
        <v>1294</v>
      </c>
      <c r="F111" t="n">
        <v>0</v>
      </c>
      <c r="G111" t="inlineStr">
        <is>
          <t>match</t>
        </is>
      </c>
    </row>
    <row r="112">
      <c r="A112" t="inlineStr">
        <is>
          <t>OGC.TO</t>
        </is>
      </c>
      <c r="B112" t="n">
        <v>2025</v>
      </c>
      <c r="C112" t="inlineStr">
        <is>
          <t>2025-12-31</t>
        </is>
      </c>
      <c r="D112" t="n">
        <v>1893.2</v>
      </c>
      <c r="E112" t="n">
        <v>1893.2</v>
      </c>
      <c r="F112" t="n">
        <v>0</v>
      </c>
      <c r="G112" t="inlineStr">
        <is>
          <t>match</t>
        </is>
      </c>
    </row>
    <row r="113">
      <c r="A113" t="inlineStr">
        <is>
          <t>OGG.V</t>
        </is>
      </c>
      <c r="B113" t="n">
        <v>2022</v>
      </c>
      <c r="C113" t="inlineStr">
        <is>
          <t>2022-12-31</t>
        </is>
      </c>
      <c r="D113" t="n">
        <v>64</v>
      </c>
      <c r="E113" t="n">
        <v>64</v>
      </c>
      <c r="F113" t="n">
        <v>0</v>
      </c>
      <c r="G113" t="inlineStr">
        <is>
          <t>match</t>
        </is>
      </c>
    </row>
    <row r="114">
      <c r="A114" t="inlineStr">
        <is>
          <t>OGG.V</t>
        </is>
      </c>
      <c r="B114" t="n">
        <v>2023</v>
      </c>
      <c r="C114" t="inlineStr">
        <is>
          <t>2023-12-31</t>
        </is>
      </c>
      <c r="D114" t="n">
        <v>31.6</v>
      </c>
      <c r="E114" t="n">
        <v>31.6</v>
      </c>
      <c r="F114" t="n">
        <v>0</v>
      </c>
      <c r="G114" t="inlineStr">
        <is>
          <t>match</t>
        </is>
      </c>
    </row>
    <row r="115">
      <c r="A115" t="inlineStr">
        <is>
          <t>OGG.V</t>
        </is>
      </c>
      <c r="B115" t="n">
        <v>2024</v>
      </c>
      <c r="C115" t="inlineStr">
        <is>
          <t>2024-12-31</t>
        </is>
      </c>
      <c r="D115" t="n">
        <v>4.6</v>
      </c>
      <c r="E115" t="n">
        <v>4.6</v>
      </c>
      <c r="F115" t="n">
        <v>0</v>
      </c>
      <c r="G115" t="inlineStr">
        <is>
          <t>match</t>
        </is>
      </c>
    </row>
    <row r="116">
      <c r="A116" t="inlineStr">
        <is>
          <t>OGG.V</t>
        </is>
      </c>
      <c r="B116" t="n">
        <v>2025</v>
      </c>
      <c r="C116" t="inlineStr">
        <is>
          <t>2025-12-31</t>
        </is>
      </c>
      <c r="D116" t="n">
        <v>35.5</v>
      </c>
      <c r="E116" t="n">
        <v>35.5</v>
      </c>
      <c r="F116" t="n">
        <v>0</v>
      </c>
      <c r="G116" t="inlineStr">
        <is>
          <t>match</t>
        </is>
      </c>
    </row>
    <row r="117">
      <c r="A117" t="inlineStr">
        <is>
          <t>OLA.TO</t>
        </is>
      </c>
      <c r="B117" t="n">
        <v>2022</v>
      </c>
      <c r="C117" t="inlineStr">
        <is>
          <t>2022-12-31</t>
        </is>
      </c>
      <c r="D117" t="n">
        <v>193.2</v>
      </c>
      <c r="E117" t="n">
        <v>193.2</v>
      </c>
      <c r="F117" t="n">
        <v>0</v>
      </c>
      <c r="G117" t="inlineStr">
        <is>
          <t>match</t>
        </is>
      </c>
    </row>
    <row r="118">
      <c r="A118" t="inlineStr">
        <is>
          <t>OLA.TO</t>
        </is>
      </c>
      <c r="B118" t="n">
        <v>2023</v>
      </c>
      <c r="C118" t="inlineStr">
        <is>
          <t>2023-12-31</t>
        </is>
      </c>
      <c r="D118" t="n">
        <v>233.6</v>
      </c>
      <c r="E118" t="n">
        <v>233.6</v>
      </c>
      <c r="F118" t="n">
        <v>0</v>
      </c>
      <c r="G118" t="inlineStr">
        <is>
          <t>match</t>
        </is>
      </c>
    </row>
    <row r="119">
      <c r="A119" t="inlineStr">
        <is>
          <t>OLA.TO</t>
        </is>
      </c>
      <c r="B119" t="n">
        <v>2024</v>
      </c>
      <c r="C119" t="inlineStr">
        <is>
          <t>2024-12-31</t>
        </is>
      </c>
      <c r="D119" t="n">
        <v>343.9</v>
      </c>
      <c r="E119" t="n">
        <v>343.9</v>
      </c>
      <c r="F119" t="n">
        <v>0</v>
      </c>
      <c r="G119" t="inlineStr">
        <is>
          <t>match</t>
        </is>
      </c>
    </row>
    <row r="120">
      <c r="A120" t="inlineStr">
        <is>
          <t>OLA.TO</t>
        </is>
      </c>
      <c r="B120" t="n">
        <v>2025</v>
      </c>
      <c r="C120" t="inlineStr">
        <is>
          <t>2025-12-31</t>
        </is>
      </c>
      <c r="D120" t="n">
        <v>1057.9</v>
      </c>
      <c r="E120" t="n">
        <v>1057.9</v>
      </c>
      <c r="F120" t="n">
        <v>0</v>
      </c>
      <c r="G120" t="inlineStr">
        <is>
          <t>match</t>
        </is>
      </c>
    </row>
    <row r="121">
      <c r="A121" t="inlineStr">
        <is>
          <t>PNR.AX</t>
        </is>
      </c>
      <c r="B121" t="n">
        <v>2022</v>
      </c>
      <c r="C121" t="inlineStr">
        <is>
          <t>2022-06-30</t>
        </is>
      </c>
      <c r="D121" t="n">
        <v>73.5</v>
      </c>
      <c r="E121" t="n">
        <v>73.5</v>
      </c>
      <c r="F121" t="n">
        <v>0</v>
      </c>
      <c r="G121" t="inlineStr">
        <is>
          <t>match</t>
        </is>
      </c>
    </row>
    <row r="122">
      <c r="A122" t="inlineStr">
        <is>
          <t>PNR.AX</t>
        </is>
      </c>
      <c r="B122" t="n">
        <v>2023</v>
      </c>
      <c r="C122" t="inlineStr">
        <is>
          <t>2023-06-30</t>
        </is>
      </c>
      <c r="D122" t="n">
        <v>98.5</v>
      </c>
      <c r="E122" t="n">
        <v>98.5</v>
      </c>
      <c r="F122" t="n">
        <v>0</v>
      </c>
      <c r="G122" t="inlineStr">
        <is>
          <t>match</t>
        </is>
      </c>
    </row>
    <row r="123">
      <c r="A123" t="inlineStr">
        <is>
          <t>PNR.AX</t>
        </is>
      </c>
      <c r="B123" t="n">
        <v>2024</v>
      </c>
      <c r="C123" t="inlineStr">
        <is>
          <t>2024-06-30</t>
        </is>
      </c>
      <c r="D123" t="n">
        <v>229.4</v>
      </c>
      <c r="E123" t="n">
        <v>229.4</v>
      </c>
      <c r="F123" t="n">
        <v>0</v>
      </c>
      <c r="G123" t="inlineStr">
        <is>
          <t>match</t>
        </is>
      </c>
    </row>
    <row r="124">
      <c r="A124" t="inlineStr">
        <is>
          <t>PNR.AX</t>
        </is>
      </c>
      <c r="B124" t="n">
        <v>2025</v>
      </c>
      <c r="C124" t="inlineStr">
        <is>
          <t>2025-06-30</t>
        </is>
      </c>
      <c r="D124" t="n">
        <v>357.3</v>
      </c>
      <c r="E124" t="n">
        <v>357.3</v>
      </c>
      <c r="F124" t="n">
        <v>0</v>
      </c>
      <c r="G124" t="inlineStr">
        <is>
          <t>match</t>
        </is>
      </c>
    </row>
    <row r="125">
      <c r="A125" t="inlineStr">
        <is>
          <t>PSAB.JK</t>
        </is>
      </c>
      <c r="B125" t="n">
        <v>2022</v>
      </c>
      <c r="C125" t="inlineStr">
        <is>
          <t>2022-12-31</t>
        </is>
      </c>
      <c r="D125" t="n">
        <v>100.3</v>
      </c>
      <c r="E125" t="n">
        <v>100.3</v>
      </c>
      <c r="F125" t="n">
        <v>0</v>
      </c>
      <c r="G125" t="inlineStr">
        <is>
          <t>match</t>
        </is>
      </c>
    </row>
    <row r="126">
      <c r="A126" t="inlineStr">
        <is>
          <t>PSAB.JK</t>
        </is>
      </c>
      <c r="B126" t="n">
        <v>2023</v>
      </c>
      <c r="C126" t="inlineStr">
        <is>
          <t>2023-12-31</t>
        </is>
      </c>
      <c r="D126" t="n">
        <v>170.1</v>
      </c>
      <c r="E126" t="n">
        <v>170.1</v>
      </c>
      <c r="F126" t="n">
        <v>0</v>
      </c>
      <c r="G126" t="inlineStr">
        <is>
          <t>match</t>
        </is>
      </c>
    </row>
    <row r="127">
      <c r="A127" t="inlineStr">
        <is>
          <t>PSAB.JK</t>
        </is>
      </c>
      <c r="B127" t="n">
        <v>2024</v>
      </c>
      <c r="C127" t="inlineStr">
        <is>
          <t>2024-12-31</t>
        </is>
      </c>
      <c r="D127" t="n">
        <v>236</v>
      </c>
      <c r="E127" t="n">
        <v>236</v>
      </c>
      <c r="F127" t="n">
        <v>0</v>
      </c>
      <c r="G127" t="inlineStr">
        <is>
          <t>match</t>
        </is>
      </c>
    </row>
    <row r="128">
      <c r="A128" t="inlineStr">
        <is>
          <t>PSAB.JK</t>
        </is>
      </c>
      <c r="B128" t="n">
        <v>2025</v>
      </c>
      <c r="C128" t="inlineStr">
        <is>
          <t>2025-12-31</t>
        </is>
      </c>
      <c r="D128" t="n">
        <v>288.8</v>
      </c>
      <c r="E128" t="n">
        <v>288.8</v>
      </c>
      <c r="F128" t="n">
        <v>0</v>
      </c>
      <c r="G128" t="inlineStr">
        <is>
          <t>match</t>
        </is>
      </c>
    </row>
    <row r="129">
      <c r="A129" t="inlineStr">
        <is>
          <t>RMS.AX</t>
        </is>
      </c>
      <c r="B129" t="n">
        <v>2022</v>
      </c>
      <c r="C129" t="inlineStr">
        <is>
          <t>2022-06-30</t>
        </is>
      </c>
      <c r="D129" t="n">
        <v>603.9</v>
      </c>
      <c r="E129" t="n">
        <v>603.6</v>
      </c>
      <c r="F129" t="n">
        <v>0.1</v>
      </c>
      <c r="G129" t="inlineStr">
        <is>
          <t>match</t>
        </is>
      </c>
    </row>
    <row r="130">
      <c r="A130" t="inlineStr">
        <is>
          <t>RMS.AX</t>
        </is>
      </c>
      <c r="B130" t="n">
        <v>2023</v>
      </c>
      <c r="C130" t="inlineStr">
        <is>
          <t>2023-06-30</t>
        </is>
      </c>
      <c r="D130" t="n">
        <v>631.3</v>
      </c>
      <c r="E130" t="n">
        <v>631.2</v>
      </c>
      <c r="F130" t="n">
        <v>0</v>
      </c>
      <c r="G130" t="inlineStr">
        <is>
          <t>match</t>
        </is>
      </c>
    </row>
    <row r="131">
      <c r="A131" t="inlineStr">
        <is>
          <t>RMS.AX</t>
        </is>
      </c>
      <c r="B131" t="n">
        <v>2024</v>
      </c>
      <c r="C131" t="inlineStr">
        <is>
          <t>2024-06-30</t>
        </is>
      </c>
      <c r="D131" t="n">
        <v>882.6</v>
      </c>
      <c r="E131" t="n">
        <v>882.5</v>
      </c>
      <c r="F131" t="n">
        <v>0</v>
      </c>
      <c r="G131" t="inlineStr">
        <is>
          <t>match</t>
        </is>
      </c>
    </row>
    <row r="132">
      <c r="A132" t="inlineStr">
        <is>
          <t>RRL.AX</t>
        </is>
      </c>
      <c r="B132" t="n">
        <v>2023</v>
      </c>
      <c r="C132" t="inlineStr">
        <is>
          <t>2023-06-30</t>
        </is>
      </c>
      <c r="D132" t="n">
        <v>1133.7</v>
      </c>
      <c r="E132" t="n">
        <v>1133.7</v>
      </c>
      <c r="F132" t="n">
        <v>0</v>
      </c>
      <c r="G132" t="inlineStr">
        <is>
          <t>match</t>
        </is>
      </c>
    </row>
    <row r="133">
      <c r="A133" t="inlineStr">
        <is>
          <t>RRL.AX</t>
        </is>
      </c>
      <c r="B133" t="n">
        <v>2024</v>
      </c>
      <c r="C133" t="inlineStr">
        <is>
          <t>2024-06-30</t>
        </is>
      </c>
      <c r="D133" t="n">
        <v>1262.8</v>
      </c>
      <c r="E133" t="n">
        <v>1262.8</v>
      </c>
      <c r="F133" t="n">
        <v>0</v>
      </c>
      <c r="G133" t="inlineStr">
        <is>
          <t>match</t>
        </is>
      </c>
    </row>
    <row r="134">
      <c r="A134" t="inlineStr">
        <is>
          <t>RRL.AX</t>
        </is>
      </c>
      <c r="B134" t="n">
        <v>2025</v>
      </c>
      <c r="C134" t="inlineStr">
        <is>
          <t>2025-06-30</t>
        </is>
      </c>
      <c r="D134" t="n">
        <v>1647.4</v>
      </c>
      <c r="E134" t="n">
        <v>1647.4</v>
      </c>
      <c r="F134" t="n">
        <v>0</v>
      </c>
      <c r="G134" t="inlineStr">
        <is>
          <t>match</t>
        </is>
      </c>
    </row>
    <row r="135">
      <c r="A135" t="inlineStr">
        <is>
          <t>RRL.AX</t>
        </is>
      </c>
      <c r="B135" t="n">
        <v>2026</v>
      </c>
      <c r="C135" t="inlineStr">
        <is>
          <t>2026-06-30</t>
        </is>
      </c>
      <c r="D135" t="n">
        <v>2349.1</v>
      </c>
      <c r="E135" t="n">
        <v>2349.1</v>
      </c>
      <c r="F135" t="n">
        <v>0</v>
      </c>
      <c r="G135" t="inlineStr">
        <is>
          <t>match</t>
        </is>
      </c>
    </row>
    <row r="136">
      <c r="A136" t="inlineStr">
        <is>
          <t>RSG.AX</t>
        </is>
      </c>
      <c r="B136" t="n">
        <v>2022</v>
      </c>
      <c r="C136" t="inlineStr">
        <is>
          <t>2022-12-31</t>
        </is>
      </c>
      <c r="D136" t="n">
        <v>651.1</v>
      </c>
      <c r="E136" t="n">
        <v>651.1</v>
      </c>
      <c r="F136" t="n">
        <v>0</v>
      </c>
      <c r="G136" t="inlineStr">
        <is>
          <t>match</t>
        </is>
      </c>
    </row>
    <row r="137">
      <c r="A137" t="inlineStr">
        <is>
          <t>RSG.AX</t>
        </is>
      </c>
      <c r="B137" t="n">
        <v>2023</v>
      </c>
      <c r="C137" t="inlineStr">
        <is>
          <t>2023-12-31</t>
        </is>
      </c>
      <c r="D137" t="n">
        <v>631.1</v>
      </c>
      <c r="E137" t="n">
        <v>631.1</v>
      </c>
      <c r="F137" t="n">
        <v>0</v>
      </c>
      <c r="G137" t="inlineStr">
        <is>
          <t>match</t>
        </is>
      </c>
    </row>
    <row r="138">
      <c r="A138" t="inlineStr">
        <is>
          <t>RSG.AX</t>
        </is>
      </c>
      <c r="B138" t="n">
        <v>2024</v>
      </c>
      <c r="C138" t="inlineStr">
        <is>
          <t>2024-12-31</t>
        </is>
      </c>
      <c r="D138" t="n">
        <v>801</v>
      </c>
      <c r="E138" t="n">
        <v>801</v>
      </c>
      <c r="F138" t="n">
        <v>0</v>
      </c>
      <c r="G138" t="inlineStr">
        <is>
          <t>match</t>
        </is>
      </c>
    </row>
    <row r="139">
      <c r="A139" t="inlineStr">
        <is>
          <t>RSG.AX</t>
        </is>
      </c>
      <c r="B139" t="n">
        <v>2025</v>
      </c>
      <c r="C139" t="inlineStr">
        <is>
          <t>2025-12-31</t>
        </is>
      </c>
      <c r="D139" t="n">
        <v>865.6</v>
      </c>
      <c r="E139" t="n">
        <v>865.6</v>
      </c>
      <c r="F139" t="n">
        <v>0</v>
      </c>
      <c r="G139" t="inlineStr">
        <is>
          <t>match</t>
        </is>
      </c>
    </row>
    <row r="140">
      <c r="A140" t="inlineStr">
        <is>
          <t>SBM.AX</t>
        </is>
      </c>
      <c r="B140" t="n">
        <v>2023</v>
      </c>
      <c r="C140" t="inlineStr">
        <is>
          <t>2023-06-30</t>
        </is>
      </c>
      <c r="D140" t="n">
        <v>323.9</v>
      </c>
      <c r="E140" t="n">
        <v>323.9</v>
      </c>
      <c r="F140" t="n">
        <v>0</v>
      </c>
      <c r="G140" t="inlineStr">
        <is>
          <t>match</t>
        </is>
      </c>
    </row>
    <row r="141">
      <c r="A141" t="inlineStr">
        <is>
          <t>SSRM</t>
        </is>
      </c>
      <c r="B141" t="n">
        <v>2022</v>
      </c>
      <c r="C141" t="inlineStr">
        <is>
          <t>2022-12-31</t>
        </is>
      </c>
      <c r="D141" t="n">
        <v>1148</v>
      </c>
      <c r="E141" t="n">
        <v>1148</v>
      </c>
      <c r="F141" t="n">
        <v>0</v>
      </c>
      <c r="G141" t="inlineStr">
        <is>
          <t>match</t>
        </is>
      </c>
    </row>
    <row r="142">
      <c r="A142" t="inlineStr">
        <is>
          <t>SSRM</t>
        </is>
      </c>
      <c r="B142" t="n">
        <v>2023</v>
      </c>
      <c r="C142" t="inlineStr">
        <is>
          <t>2023-12-31</t>
        </is>
      </c>
      <c r="D142" t="n">
        <v>1426.9</v>
      </c>
      <c r="E142" t="n">
        <v>1426.9</v>
      </c>
      <c r="F142" t="n">
        <v>0</v>
      </c>
      <c r="G142" t="inlineStr">
        <is>
          <t>match</t>
        </is>
      </c>
    </row>
    <row r="143">
      <c r="A143" t="inlineStr">
        <is>
          <t>SSRM</t>
        </is>
      </c>
      <c r="B143" t="n">
        <v>2024</v>
      </c>
      <c r="C143" t="inlineStr">
        <is>
          <t>2024-12-31</t>
        </is>
      </c>
      <c r="D143" t="n">
        <v>995.6</v>
      </c>
      <c r="E143" t="n">
        <v>995.6</v>
      </c>
      <c r="F143" t="n">
        <v>0</v>
      </c>
      <c r="G143" t="inlineStr">
        <is>
          <t>match</t>
        </is>
      </c>
    </row>
    <row r="144">
      <c r="A144" t="inlineStr">
        <is>
          <t>SSRM</t>
        </is>
      </c>
      <c r="B144" t="n">
        <v>2025</v>
      </c>
      <c r="C144" t="inlineStr">
        <is>
          <t>2025-12-31</t>
        </is>
      </c>
      <c r="D144" t="n">
        <v>1629.6</v>
      </c>
      <c r="E144" t="n">
        <v>1629.6</v>
      </c>
      <c r="F144" t="n">
        <v>0</v>
      </c>
      <c r="G144" t="inlineStr">
        <is>
          <t>match</t>
        </is>
      </c>
    </row>
    <row r="145">
      <c r="A145" t="inlineStr">
        <is>
          <t>VAU.AX</t>
        </is>
      </c>
      <c r="B145" t="n">
        <v>2023</v>
      </c>
      <c r="C145" t="inlineStr">
        <is>
          <t>2023-06-30</t>
        </is>
      </c>
      <c r="D145" t="n">
        <v>422.7</v>
      </c>
      <c r="E145" t="n">
        <v>422.7</v>
      </c>
      <c r="F145" t="n">
        <v>0</v>
      </c>
      <c r="G145" t="inlineStr">
        <is>
          <t>match</t>
        </is>
      </c>
    </row>
    <row r="146">
      <c r="A146" t="inlineStr">
        <is>
          <t>VAU.AX</t>
        </is>
      </c>
      <c r="B146" t="n">
        <v>2024</v>
      </c>
      <c r="C146" t="inlineStr">
        <is>
          <t>2024-06-30</t>
        </is>
      </c>
      <c r="D146" t="n">
        <v>620</v>
      </c>
      <c r="E146" t="n">
        <v>620</v>
      </c>
      <c r="F146" t="n">
        <v>0</v>
      </c>
      <c r="G146" t="inlineStr">
        <is>
          <t>match</t>
        </is>
      </c>
    </row>
    <row r="147">
      <c r="A147" t="inlineStr">
        <is>
          <t>VAU.AX</t>
        </is>
      </c>
      <c r="B147" t="n">
        <v>2026</v>
      </c>
      <c r="C147" t="inlineStr">
        <is>
          <t>2026-06-30</t>
        </is>
      </c>
      <c r="D147" t="n">
        <v>1926.6</v>
      </c>
      <c r="E147" t="n">
        <v>1926.6</v>
      </c>
      <c r="F147" t="n">
        <v>0</v>
      </c>
      <c r="G147" t="inlineStr">
        <is>
          <t>match</t>
        </is>
      </c>
    </row>
    <row r="148">
      <c r="A148" t="inlineStr">
        <is>
          <t>WAF.AX</t>
        </is>
      </c>
      <c r="B148" t="n">
        <v>2022</v>
      </c>
      <c r="C148" t="inlineStr">
        <is>
          <t>2022-12-31</t>
        </is>
      </c>
      <c r="D148" t="n">
        <v>608.2</v>
      </c>
      <c r="E148" t="n">
        <v>606.1</v>
      </c>
      <c r="F148" t="n">
        <v>0.3</v>
      </c>
      <c r="G148" t="inlineStr">
        <is>
          <t>match</t>
        </is>
      </c>
    </row>
    <row r="149">
      <c r="A149" t="inlineStr">
        <is>
          <t>WAF.AX</t>
        </is>
      </c>
      <c r="B149" t="n">
        <v>2023</v>
      </c>
      <c r="C149" t="inlineStr">
        <is>
          <t>2023-12-31</t>
        </is>
      </c>
      <c r="D149" t="n">
        <v>661.2</v>
      </c>
      <c r="E149" t="n">
        <v>658.8</v>
      </c>
      <c r="F149" t="n">
        <v>0.4</v>
      </c>
      <c r="G149" t="inlineStr">
        <is>
          <t>match</t>
        </is>
      </c>
    </row>
    <row r="150">
      <c r="A150" t="inlineStr">
        <is>
          <t>WAF.AX</t>
        </is>
      </c>
      <c r="B150" t="n">
        <v>2024</v>
      </c>
      <c r="C150" t="inlineStr">
        <is>
          <t>2024-12-31</t>
        </is>
      </c>
      <c r="D150" t="n">
        <v>730</v>
      </c>
      <c r="E150" t="n">
        <v>724.4</v>
      </c>
      <c r="F150" t="n">
        <v>0.8</v>
      </c>
      <c r="G150" t="inlineStr">
        <is>
          <t>match</t>
        </is>
      </c>
    </row>
    <row r="151">
      <c r="A151" t="inlineStr">
        <is>
          <t>WAF.AX</t>
        </is>
      </c>
      <c r="B151" t="n">
        <v>2025</v>
      </c>
      <c r="C151" t="inlineStr">
        <is>
          <t>2025-12-31</t>
        </is>
      </c>
      <c r="D151" t="n">
        <v>1543</v>
      </c>
      <c r="E151" t="n">
        <v>1533.8</v>
      </c>
      <c r="F151" t="n">
        <v>0.6</v>
      </c>
      <c r="G151" t="inlineStr">
        <is>
          <t>match</t>
        </is>
      </c>
    </row>
    <row r="152">
      <c r="A152" t="inlineStr">
        <is>
          <t>WDO.TO</t>
        </is>
      </c>
      <c r="B152" t="n">
        <v>2022</v>
      </c>
      <c r="C152" t="inlineStr">
        <is>
          <t>2022-12-31</t>
        </is>
      </c>
      <c r="D152" t="n">
        <v>265.5</v>
      </c>
      <c r="E152" t="n">
        <v>265.5</v>
      </c>
      <c r="F152" t="n">
        <v>0</v>
      </c>
      <c r="G152" t="inlineStr">
        <is>
          <t>match</t>
        </is>
      </c>
    </row>
    <row r="153">
      <c r="A153" t="inlineStr">
        <is>
          <t>WDO.TO</t>
        </is>
      </c>
      <c r="B153" t="n">
        <v>2023</v>
      </c>
      <c r="C153" t="inlineStr">
        <is>
          <t>2023-12-31</t>
        </is>
      </c>
      <c r="D153" t="n">
        <v>333.2</v>
      </c>
      <c r="E153" t="n">
        <v>333.2</v>
      </c>
      <c r="F153" t="n">
        <v>0</v>
      </c>
      <c r="G153" t="inlineStr">
        <is>
          <t>match</t>
        </is>
      </c>
    </row>
    <row r="154">
      <c r="A154" t="inlineStr">
        <is>
          <t>WDO.TO</t>
        </is>
      </c>
      <c r="B154" t="n">
        <v>2024</v>
      </c>
      <c r="C154" t="inlineStr">
        <is>
          <t>2024-12-31</t>
        </is>
      </c>
      <c r="D154" t="n">
        <v>558.2</v>
      </c>
      <c r="E154" t="n">
        <v>558.2</v>
      </c>
      <c r="F154" t="n">
        <v>0</v>
      </c>
      <c r="G154" t="inlineStr">
        <is>
          <t>match</t>
        </is>
      </c>
    </row>
    <row r="155">
      <c r="A155" t="inlineStr">
        <is>
          <t>WDO.TO</t>
        </is>
      </c>
      <c r="B155" t="n">
        <v>2025</v>
      </c>
      <c r="C155" t="inlineStr">
        <is>
          <t>2025-12-31</t>
        </is>
      </c>
      <c r="D155" t="n">
        <v>914.3</v>
      </c>
      <c r="E155" t="n">
        <v>914.3</v>
      </c>
      <c r="F155" t="n">
        <v>0</v>
      </c>
      <c r="G155" t="inlineStr">
        <is>
          <t>match</t>
        </is>
      </c>
    </row>
    <row r="156">
      <c r="A156" t="inlineStr">
        <is>
          <t>WGX.AX</t>
        </is>
      </c>
      <c r="B156" t="n">
        <v>2022</v>
      </c>
      <c r="C156" t="inlineStr">
        <is>
          <t>2022-06-30</t>
        </is>
      </c>
      <c r="D156" t="n">
        <v>647.6</v>
      </c>
      <c r="E156" t="n">
        <v>647.6</v>
      </c>
      <c r="F156" t="n">
        <v>0</v>
      </c>
      <c r="G156" t="inlineStr">
        <is>
          <t>match</t>
        </is>
      </c>
    </row>
    <row r="157">
      <c r="A157" t="inlineStr">
        <is>
          <t>WGX.AX</t>
        </is>
      </c>
      <c r="B157" t="n">
        <v>2023</v>
      </c>
      <c r="C157" t="inlineStr">
        <is>
          <t>2023-06-30</t>
        </is>
      </c>
      <c r="D157" t="n">
        <v>656.7</v>
      </c>
      <c r="E157" t="n">
        <v>654.4</v>
      </c>
      <c r="F157" t="n">
        <v>0.3</v>
      </c>
      <c r="G157" t="inlineStr">
        <is>
          <t>match</t>
        </is>
      </c>
    </row>
    <row r="158">
      <c r="A158" t="inlineStr">
        <is>
          <t>WGX.AX</t>
        </is>
      </c>
      <c r="B158" t="n">
        <v>2024</v>
      </c>
      <c r="C158" t="inlineStr">
        <is>
          <t>2024-06-30</t>
        </is>
      </c>
      <c r="D158" t="n">
        <v>716.5</v>
      </c>
      <c r="E158" t="n">
        <v>716.5</v>
      </c>
      <c r="F158" t="n">
        <v>0</v>
      </c>
      <c r="G158" t="inlineStr">
        <is>
          <t>match</t>
        </is>
      </c>
    </row>
    <row r="159">
      <c r="A159" t="inlineStr">
        <is>
          <t>LYC.AX</t>
        </is>
      </c>
      <c r="B159" t="n">
        <v>2025</v>
      </c>
      <c r="C159" t="inlineStr">
        <is>
          <t>2025-06-30</t>
        </is>
      </c>
      <c r="D159" t="n">
        <v>556.5</v>
      </c>
      <c r="E159" t="n">
        <v>542.7</v>
      </c>
      <c r="F159" t="n">
        <v>2.6</v>
      </c>
      <c r="G159" t="inlineStr">
        <is>
          <t>small difference (1-5%)</t>
        </is>
      </c>
    </row>
    <row r="160">
      <c r="A160" t="inlineStr">
        <is>
          <t>VAU.AX</t>
        </is>
      </c>
      <c r="B160" t="n">
        <v>2022</v>
      </c>
      <c r="C160" t="inlineStr">
        <is>
          <t>2022-06-30</t>
        </is>
      </c>
      <c r="D160" t="n">
        <v>165</v>
      </c>
      <c r="E160" t="n">
        <v>162.9</v>
      </c>
      <c r="F160" t="n">
        <v>1.3</v>
      </c>
      <c r="G160" t="inlineStr">
        <is>
          <t>small difference (1-5%)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2026-09-27T22:46:36Z</dcterms:created>
  <dcterms:modified xmlns:dcterms="http://purl.org/dc/terms/" xmlns:xsi="http://www.w3.org/2001/XMLSchema-instance" xsi:type="dcterms:W3CDTF">2026-09-27T22:46:36Z</dcterms:modified>
</cp:coreProperties>
</file>