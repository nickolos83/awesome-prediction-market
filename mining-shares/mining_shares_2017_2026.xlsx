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Year-end close" sheetId="2" state="visible" r:id="rId2"/>
    <sheet xmlns:r="http://schemas.openxmlformats.org/officeDocument/2006/relationships" name="Year-end close USD" sheetId="3" state="visible" r:id="rId3"/>
    <sheet xmlns:r="http://schemas.openxmlformats.org/officeDocument/2006/relationships" name="2y forward" sheetId="4" state="visible" r:id="rId4"/>
    <sheet xmlns:r="http://schemas.openxmlformats.org/officeDocument/2006/relationships" name="2y forward USD" sheetId="5" state="visible" r:id="rId5"/>
    <sheet xmlns:r="http://schemas.openxmlformats.org/officeDocument/2006/relationships" name="Dividend yield" sheetId="6" state="visible" r:id="rId6"/>
    <sheet xmlns:r="http://schemas.openxmlformats.org/officeDocument/2006/relationships" name="Rates 2y" sheetId="7" state="visible" r:id="rId7"/>
    <sheet xmlns:r="http://schemas.openxmlformats.org/officeDocument/2006/relationships" name="FX year-end" sheetId="8" state="visible" r:id="rId8"/>
    <sheet xmlns:r="http://schemas.openxmlformats.org/officeDocument/2006/relationships" name="FX 2y forward" sheetId="9" state="visible" r:id="rId9"/>
    <sheet xmlns:r="http://schemas.openxmlformats.org/officeDocument/2006/relationships" name="Detail" sheetId="10" state="visible" r:id="rId10"/>
    <sheet xmlns:r="http://schemas.openxmlformats.org/officeDocument/2006/relationships" name="Analyst targets (now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4" fontId="4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1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Claude</author>
  </authors>
  <commentList>
    <comment ref="D4" authorId="0" shapeId="0">
      <text>
        <t>As traded. Yahoo shows 17.3667 (history rescaled after a split / bonus issue / demerger).</t>
      </text>
    </comment>
    <comment ref="E4" authorId="0" shapeId="0">
      <text>
        <t>As traded. Yahoo shows 16.4333 (history rescaled after a split / bonus issue / demerger).</t>
      </text>
    </comment>
    <comment ref="F4" authorId="0" shapeId="0">
      <text>
        <t>As traded. Yahoo shows 14.8000 (history rescaled after a split / bonus issue / demerger).</t>
      </text>
    </comment>
    <comment ref="G4" authorId="0" shapeId="0">
      <text>
        <t>As traded. Yahoo shows 13.5000 (history rescaled after a split / bonus issue / demerger).</t>
      </text>
    </comment>
    <comment ref="H4" authorId="0" shapeId="0">
      <text>
        <t>As traded. Yahoo shows 26.1667 (history rescaled after a split / bonus issue / demerger).</t>
      </text>
    </comment>
    <comment ref="I4" authorId="0" shapeId="0">
      <text>
        <t>As traded. Yahoo shows 43.1333 (history rescaled after a split / bonus issue / demerger).</t>
      </text>
    </comment>
    <comment ref="D6" authorId="0" shapeId="0">
      <text>
        <t>As traded. Yahoo shows 1512.9395 (history rescaled after a split / bonus issue / demerger).</t>
      </text>
    </comment>
    <comment ref="E6" authorId="0" shapeId="0">
      <text>
        <t>As traded. Yahoo shows 1706.5605 (history rescaled after a split / bonus issue / demerger).</t>
      </text>
    </comment>
    <comment ref="F6" authorId="0" shapeId="0">
      <text>
        <t>As traded. Yahoo shows 2121.7280 (history rescaled after a split / bonus issue / demerger).</t>
      </text>
    </comment>
    <comment ref="G6" authorId="0" shapeId="0">
      <text>
        <t>As traded. Yahoo shows 2367.2939 (history rescaled after a split / bonus issue / demerger).</t>
      </text>
    </comment>
    <comment ref="H6" authorId="0" shapeId="0">
      <text>
        <t>As traded. Yahoo shows 2958.4722 (history rescaled after a split / bonus issue / demerger).</t>
      </text>
    </comment>
    <comment ref="I6" authorId="0" shapeId="0">
      <text>
        <t>As traded. Yahoo shows 3174.7661 (history rescaled after a split / bonus issue / demerger).</t>
      </text>
    </comment>
    <comment ref="J6" authorId="0" shapeId="0">
      <text>
        <t>As traded. Yahoo shows 1933.0123 (history rescaled after a split / bonus issue / demerger).</t>
      </text>
    </comment>
    <comment ref="K6" authorId="0" shapeId="0">
      <text>
        <t>As traded. Yahoo shows 2318.9084 (history rescaled after a split / bonus issue / demerger).</t>
      </text>
    </comment>
    <comment ref="D9" authorId="0" shapeId="0">
      <text>
        <t>As traded. Yahoo shows 26.3294 (history rescaled after a split / bonus issue / demerger).</t>
      </text>
    </comment>
    <comment ref="E9" authorId="0" shapeId="0">
      <text>
        <t>As traded. Yahoo shows 30.4787 (history rescaled after a split / bonus issue / demerger).</t>
      </text>
    </comment>
    <comment ref="F9" authorId="0" shapeId="0">
      <text>
        <t>As traded. Yahoo shows 34.6547 (history rescaled after a split / bonus issue / demerger).</t>
      </text>
    </comment>
    <comment ref="G9" authorId="0" shapeId="0">
      <text>
        <t>As traded. Yahoo shows 37.7800 (history rescaled after a split / bonus issue / demerger).</t>
      </text>
    </comment>
    <comment ref="H9" authorId="0" shapeId="0">
      <text>
        <t>As traded. Yahoo shows 36.9519 (history rescaled after a split / bonus issue / demerger).</t>
      </text>
    </comment>
    <comment ref="D16" authorId="0" shapeId="0">
      <text>
        <t>As traded. Yahoo shows 64.5771 (history rescaled after a split / bonus issue / demerger).</t>
      </text>
    </comment>
    <comment ref="E16" authorId="0" shapeId="0">
      <text>
        <t>As traded. Yahoo shows 40.2326 (history rescaled after a split / bonus issue / demerger).</t>
      </text>
    </comment>
    <comment ref="F16" authorId="0" shapeId="0">
      <text>
        <t>As traded. Yahoo shows 51.6239 (history rescaled after a split / bonus issue / demerger).</t>
      </text>
    </comment>
    <comment ref="G16" authorId="0" shapeId="0">
      <text>
        <t>As traded. Yahoo shows 83.6886 (history rescaled after a split / bonus issue / demerger).</t>
      </text>
    </comment>
    <comment ref="H16" authorId="0" shapeId="0">
      <text>
        <t>As traded. Yahoo shows 88.8321 (history rescaled after a split / bonus issue / demerger).</t>
      </text>
    </comment>
    <comment ref="I16" authorId="0" shapeId="0">
      <text>
        <t>As traded. Yahoo shows 68.3477 (history rescaled after a split / bonus issue / demerger).</t>
      </text>
    </comment>
    <comment ref="J16" authorId="0" shapeId="0">
      <text>
        <t>As traded. Yahoo shows 93.8960 (history rescaled after a split / bonus issue / demerger).</t>
      </text>
    </comment>
    <comment ref="K16" authorId="0" shapeId="0">
      <text>
        <t>As traded. Yahoo shows 98.7709 (history rescaled after a split / bonus issue / demerger).</t>
      </text>
    </comment>
    <comment ref="L16" authorId="0" shapeId="0">
      <text>
        <t>As traded. Yahoo shows 169.3272 (history rescaled after a split / bonus issue / demerger).</t>
      </text>
    </comment>
    <comment ref="D25" authorId="0" shapeId="0">
      <text>
        <t>As traded. Yahoo shows 44.3442 (history rescaled after a split / bonus issue / demerger).</t>
      </text>
    </comment>
    <comment ref="E25" authorId="0" shapeId="0">
      <text>
        <t>As traded. Yahoo shows 28.7560 (history rescaled after a split / bonus issue / demerger).</t>
      </text>
    </comment>
    <comment ref="F25" authorId="0" shapeId="0">
      <text>
        <t>As traded. Yahoo shows 39.6995 (history rescaled after a split / bonus issue / demerger).</t>
      </text>
    </comment>
    <comment ref="G25" authorId="0" shapeId="0">
      <text>
        <t>As traded. Yahoo shows 60.8576 (history rescaled after a split / bonus issue / demerger).</t>
      </text>
    </comment>
    <comment ref="H25" authorId="0" shapeId="0">
      <text>
        <t>As traded. Yahoo shows 57.6708 (history rescaled after a split / bonus issue / demerger).</t>
      </text>
    </comment>
    <comment ref="I25" authorId="0" shapeId="0">
      <text>
        <t>As traded. Yahoo shows 56.4372 (history rescaled after a split / bonus issue / demerger).</t>
      </text>
    </comment>
    <comment ref="J25" authorId="0" shapeId="0">
      <text>
        <t>As traded. Yahoo shows 80.4363 (history rescaled after a split / bonus issue / demerger).</t>
      </text>
    </comment>
    <comment ref="K25" authorId="0" shapeId="0">
      <text>
        <t>As traded. Yahoo shows 86.1045 (history rescaled after a split / bonus issue / demerger).</t>
      </text>
    </comment>
    <comment ref="L25" authorId="0" shapeId="0">
      <text>
        <t>As traded. Yahoo shows 139.2511 (history rescaled after a split / bonus issue / demerger).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3" customWidth="1" min="3" max="3"/>
    <col width="14" customWidth="1" min="4" max="4"/>
    <col width="9" customWidth="1" min="5" max="5"/>
    <col width="60" customWidth="1" min="6" max="6"/>
  </cols>
  <sheetData>
    <row r="1">
      <c r="A1" s="1" t="inlineStr">
        <is>
          <t>entity</t>
        </is>
      </c>
      <c r="B1" s="1" t="inlineStr">
        <is>
          <t>listed_parent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note</t>
        </is>
      </c>
    </row>
    <row r="2">
      <c r="A2" t="inlineStr">
        <is>
          <t>Agnico Eagle Mexico SA de CV</t>
        </is>
      </c>
      <c r="B2" t="inlineStr">
        <is>
          <t>Agnico Eagle Mines Ltd</t>
        </is>
      </c>
      <c r="C2" t="inlineStr">
        <is>
          <t>AEM</t>
        </is>
      </c>
      <c r="D2" t="inlineStr">
        <is>
          <t>NYSE</t>
        </is>
      </c>
      <c r="E2" t="inlineStr">
        <is>
          <t>USD</t>
        </is>
      </c>
      <c r="F2" t="inlineStr">
        <is>
          <t>Wholly owned subsidiary</t>
        </is>
      </c>
    </row>
    <row r="3">
      <c r="A3" t="inlineStr">
        <is>
          <t>Agnico-Eagle Mines Limited</t>
        </is>
      </c>
      <c r="B3" t="inlineStr">
        <is>
          <t>Agnico Eagle Mines Ltd</t>
        </is>
      </c>
      <c r="C3" t="inlineStr">
        <is>
          <t>AEM</t>
        </is>
      </c>
      <c r="D3" t="inlineStr">
        <is>
          <t>NYSE</t>
        </is>
      </c>
      <c r="E3" t="inlineStr">
        <is>
          <t>USD</t>
        </is>
      </c>
    </row>
    <row r="4">
      <c r="A4" t="inlineStr">
        <is>
          <t>Anglo Corporate Services South Africa</t>
        </is>
      </c>
      <c r="B4" t="inlineStr">
        <is>
          <t>Anglo American plc</t>
        </is>
      </c>
      <c r="C4" t="inlineStr">
        <is>
          <t>AAL.L</t>
        </is>
      </c>
      <c r="D4" t="inlineStr">
        <is>
          <t>LSE</t>
        </is>
      </c>
      <c r="E4" t="inlineStr">
        <is>
          <t>GBp</t>
        </is>
      </c>
      <c r="F4" t="inlineStr">
        <is>
          <t>Wholly owned subsidiary</t>
        </is>
      </c>
    </row>
    <row r="5">
      <c r="A5" t="inlineStr">
        <is>
          <t>ArcelorMittal Mining UK Ltd</t>
        </is>
      </c>
      <c r="B5" t="inlineStr">
        <is>
          <t>ArcelorMittal SA</t>
        </is>
      </c>
      <c r="C5" t="inlineStr">
        <is>
          <t>MT</t>
        </is>
      </c>
      <c r="D5" t="inlineStr">
        <is>
          <t>NYSE</t>
        </is>
      </c>
      <c r="E5" t="inlineStr">
        <is>
          <t>USD</t>
        </is>
      </c>
      <c r="F5" t="inlineStr">
        <is>
          <t>Wholly owned subsidiary</t>
        </is>
      </c>
    </row>
    <row r="6">
      <c r="A6" t="inlineStr">
        <is>
          <t>ASARCO, LLC</t>
        </is>
      </c>
      <c r="B6" t="inlineStr">
        <is>
          <t>Grupo Mexico SAB de CV</t>
        </is>
      </c>
      <c r="C6" t="inlineStr">
        <is>
          <t>GMEXICOB.MX</t>
        </is>
      </c>
      <c r="D6" t="inlineStr">
        <is>
          <t>BMV</t>
        </is>
      </c>
      <c r="E6" t="inlineStr">
        <is>
          <t>MXN</t>
        </is>
      </c>
      <c r="F6" t="inlineStr">
        <is>
          <t>Owned via Americas Mining Corp</t>
        </is>
      </c>
    </row>
    <row r="7">
      <c r="A7" t="inlineStr">
        <is>
          <t>Barrick Gold of North America, Inc.</t>
        </is>
      </c>
      <c r="B7" t="inlineStr">
        <is>
          <t>Barrick Mining Corp</t>
        </is>
      </c>
      <c r="C7" t="inlineStr">
        <is>
          <t>B</t>
        </is>
      </c>
      <c r="D7" t="inlineStr">
        <is>
          <t>NYSE</t>
        </is>
      </c>
      <c r="E7" t="inlineStr">
        <is>
          <t>USD</t>
        </is>
      </c>
      <c r="F7" t="inlineStr">
        <is>
          <t>NYSE ticker was GOLD until May 2025</t>
        </is>
      </c>
    </row>
    <row r="8">
      <c r="A8" t="inlineStr">
        <is>
          <t>BHP Billiton Iron Ore Pty Ltd</t>
        </is>
      </c>
      <c r="B8" t="inlineStr">
        <is>
          <t>BHP Group Ltd</t>
        </is>
      </c>
      <c r="C8" t="inlineStr">
        <is>
          <t>BHP.AX</t>
        </is>
      </c>
      <c r="D8" t="inlineStr">
        <is>
          <t>ASX</t>
        </is>
      </c>
      <c r="E8" t="inlineStr">
        <is>
          <t>AUD</t>
        </is>
      </c>
      <c r="F8" t="inlineStr">
        <is>
          <t>Wholly owned subsidiary</t>
        </is>
      </c>
    </row>
    <row r="9">
      <c r="A9" t="inlineStr">
        <is>
          <t>BHP Canada Inc.</t>
        </is>
      </c>
      <c r="B9" t="inlineStr">
        <is>
          <t>BHP Group Ltd</t>
        </is>
      </c>
      <c r="C9" t="inlineStr">
        <is>
          <t>BHP.AX</t>
        </is>
      </c>
      <c r="D9" t="inlineStr">
        <is>
          <t>ASX</t>
        </is>
      </c>
      <c r="E9" t="inlineStr">
        <is>
          <t>AUD</t>
        </is>
      </c>
      <c r="F9" t="inlineStr">
        <is>
          <t>Wholly owned subsidiary</t>
        </is>
      </c>
    </row>
    <row r="10">
      <c r="A10" t="inlineStr">
        <is>
          <t>Codelco Chile</t>
        </is>
      </c>
      <c r="F10" t="inlineStr">
        <is>
          <t>State-owned (Chile) - no listed shares</t>
        </is>
      </c>
    </row>
    <row r="11">
      <c r="A11" t="inlineStr">
        <is>
          <t>Evolution Mining</t>
        </is>
      </c>
      <c r="B11" t="inlineStr">
        <is>
          <t>Evolution Mining Ltd</t>
        </is>
      </c>
      <c r="C11" t="inlineStr">
        <is>
          <t>EVN.AX</t>
        </is>
      </c>
      <c r="D11" t="inlineStr">
        <is>
          <t>ASX</t>
        </is>
      </c>
      <c r="E11" t="inlineStr">
        <is>
          <t>AUD</t>
        </is>
      </c>
    </row>
    <row r="12">
      <c r="A12" t="inlineStr">
        <is>
          <t>FMG Procurement Services Pty Ltd</t>
        </is>
      </c>
      <c r="B12" t="inlineStr">
        <is>
          <t>Fortescue Ltd</t>
        </is>
      </c>
      <c r="C12" t="inlineStr">
        <is>
          <t>FMG.AX</t>
        </is>
      </c>
      <c r="D12" t="inlineStr">
        <is>
          <t>ASX</t>
        </is>
      </c>
      <c r="E12" t="inlineStr">
        <is>
          <t>AUD</t>
        </is>
      </c>
      <c r="F12" t="inlineStr">
        <is>
          <t>Wholly owned subsidiary</t>
        </is>
      </c>
    </row>
    <row r="13">
      <c r="A13" t="inlineStr">
        <is>
          <t>Freeport McMoRan Inc. - Corporate Acc.</t>
        </is>
      </c>
      <c r="B13" t="inlineStr">
        <is>
          <t>Freeport-McMoRan Inc</t>
        </is>
      </c>
      <c r="C13" t="inlineStr">
        <is>
          <t>FCX</t>
        </is>
      </c>
      <c r="D13" t="inlineStr">
        <is>
          <t>NYSE</t>
        </is>
      </c>
      <c r="E13" t="inlineStr">
        <is>
          <t>USD</t>
        </is>
      </c>
    </row>
    <row r="14">
      <c r="A14" t="inlineStr">
        <is>
          <t>Fresnillo Chile SPA</t>
        </is>
      </c>
      <c r="B14" t="inlineStr">
        <is>
          <t>Fresnillo plc</t>
        </is>
      </c>
      <c r="C14" t="inlineStr">
        <is>
          <t>FRES.L</t>
        </is>
      </c>
      <c r="D14" t="inlineStr">
        <is>
          <t>LSE</t>
        </is>
      </c>
      <c r="E14" t="inlineStr">
        <is>
          <t>GBp</t>
        </is>
      </c>
      <c r="F14" t="inlineStr">
        <is>
          <t>Wholly owned subsidiary</t>
        </is>
      </c>
    </row>
    <row r="15">
      <c r="A15" t="inlineStr">
        <is>
          <t>Greenstone Gold Mines</t>
        </is>
      </c>
      <c r="B15" t="inlineStr">
        <is>
          <t>Equinox Gold Corp</t>
        </is>
      </c>
      <c r="C15" t="inlineStr">
        <is>
          <t>EQX</t>
        </is>
      </c>
      <c r="D15" t="inlineStr">
        <is>
          <t>NYSE American</t>
        </is>
      </c>
      <c r="E15" t="inlineStr">
        <is>
          <t>USD</t>
        </is>
      </c>
      <c r="F15" t="inlineStr">
        <is>
          <t>Equinox 100% since 2024 (earlier Premier Gold/Centerra/Orion JV)</t>
        </is>
      </c>
    </row>
    <row r="16">
      <c r="A16" t="inlineStr">
        <is>
          <t>Industrial Minera Mexico S.A. de C.V.</t>
        </is>
      </c>
      <c r="B16" t="inlineStr">
        <is>
          <t>Southern Copper Corp</t>
        </is>
      </c>
      <c r="C16" t="inlineStr">
        <is>
          <t>SCCO</t>
        </is>
      </c>
      <c r="D16" t="inlineStr">
        <is>
          <t>NYSE</t>
        </is>
      </c>
      <c r="E16" t="inlineStr">
        <is>
          <t>USD</t>
        </is>
      </c>
      <c r="F16" t="inlineStr">
        <is>
          <t>Part of Minera Mexico (Southern Copper / Grupo Mexico)</t>
        </is>
      </c>
    </row>
    <row r="17">
      <c r="A17" t="inlineStr">
        <is>
          <t>Lundin Mining Corporation</t>
        </is>
      </c>
      <c r="B17" t="inlineStr">
        <is>
          <t>Lundin Mining Corp</t>
        </is>
      </c>
      <c r="C17" t="inlineStr">
        <is>
          <t>LUN.TO</t>
        </is>
      </c>
      <c r="D17" t="inlineStr">
        <is>
          <t>TSX</t>
        </is>
      </c>
      <c r="E17" t="inlineStr">
        <is>
          <t>CAD</t>
        </is>
      </c>
    </row>
    <row r="18">
      <c r="A18" t="inlineStr">
        <is>
          <t>Luossavaara-Kiirunavaara AB</t>
        </is>
      </c>
      <c r="F18" t="inlineStr">
        <is>
          <t>LKAB - state-owned (Sweden) - no listed shares</t>
        </is>
      </c>
    </row>
    <row r="19">
      <c r="A19" t="inlineStr">
        <is>
          <t>Maaden - Exploration</t>
        </is>
      </c>
      <c r="B19" t="inlineStr">
        <is>
          <t>Saudi Arabian Mining Co (Maaden)</t>
        </is>
      </c>
      <c r="C19" t="inlineStr">
        <is>
          <t>1211.SR</t>
        </is>
      </c>
      <c r="D19" t="inlineStr">
        <is>
          <t>Tadawul</t>
        </is>
      </c>
      <c r="E19" t="inlineStr">
        <is>
          <t>SAR</t>
        </is>
      </c>
    </row>
    <row r="20">
      <c r="A20" t="inlineStr">
        <is>
          <t>MIM - a Glencore Company</t>
        </is>
      </c>
      <c r="B20" t="inlineStr">
        <is>
          <t>Glencore plc</t>
        </is>
      </c>
      <c r="C20" t="inlineStr">
        <is>
          <t>GLEN.L</t>
        </is>
      </c>
      <c r="D20" t="inlineStr">
        <is>
          <t>LSE</t>
        </is>
      </c>
      <c r="E20" t="inlineStr">
        <is>
          <t>GBp</t>
        </is>
      </c>
      <c r="F20" t="inlineStr">
        <is>
          <t>Mount Isa Mines - wholly owned</t>
        </is>
      </c>
    </row>
    <row r="21">
      <c r="A21" t="inlineStr">
        <is>
          <t>Minera Escondida Ltda</t>
        </is>
      </c>
      <c r="B21" t="inlineStr">
        <is>
          <t>BHP Group Ltd</t>
        </is>
      </c>
      <c r="C21" t="inlineStr">
        <is>
          <t>BHP.AX</t>
        </is>
      </c>
      <c r="D21" t="inlineStr">
        <is>
          <t>ASX</t>
        </is>
      </c>
      <c r="E21" t="inlineStr">
        <is>
          <t>AUD</t>
        </is>
      </c>
      <c r="F21" t="inlineStr">
        <is>
          <t>BHP 57.5% / Rio Tinto 30% / JECO 12.5%</t>
        </is>
      </c>
    </row>
    <row r="22">
      <c r="A22" t="inlineStr">
        <is>
          <t>Mineral Resources Limited</t>
        </is>
      </c>
      <c r="B22" t="inlineStr">
        <is>
          <t>Mineral Resources Ltd</t>
        </is>
      </c>
      <c r="C22" t="inlineStr">
        <is>
          <t>MIN.AX</t>
        </is>
      </c>
      <c r="D22" t="inlineStr">
        <is>
          <t>ASX</t>
        </is>
      </c>
      <c r="E22" t="inlineStr">
        <is>
          <t>AUD</t>
        </is>
      </c>
    </row>
    <row r="23">
      <c r="A23" t="inlineStr">
        <is>
          <t>MMG</t>
        </is>
      </c>
      <c r="B23" t="inlineStr">
        <is>
          <t>MMG Ltd</t>
        </is>
      </c>
      <c r="C23" t="inlineStr">
        <is>
          <t>1208.HK</t>
        </is>
      </c>
      <c r="D23" t="inlineStr">
        <is>
          <t>HKEX</t>
        </is>
      </c>
      <c r="E23" t="inlineStr">
        <is>
          <t>HKD</t>
        </is>
      </c>
    </row>
    <row r="24">
      <c r="A24" t="inlineStr">
        <is>
          <t>Newmont Goldcorp Services Pty Ltd</t>
        </is>
      </c>
      <c r="B24" t="inlineStr">
        <is>
          <t>Newmont Corp</t>
        </is>
      </c>
      <c r="C24" t="inlineStr">
        <is>
          <t>NEM</t>
        </is>
      </c>
      <c r="D24" t="inlineStr">
        <is>
          <t>NYSE</t>
        </is>
      </c>
      <c r="E24" t="inlineStr">
        <is>
          <t>USD</t>
        </is>
      </c>
      <c r="F24" t="inlineStr">
        <is>
          <t>Wholly owned subsidiary</t>
        </is>
      </c>
    </row>
    <row r="25">
      <c r="A25" t="inlineStr">
        <is>
          <t>NEXA RECURSOS MINERAIS S/A</t>
        </is>
      </c>
      <c r="B25" t="inlineStr">
        <is>
          <t>Nexa Resources SA</t>
        </is>
      </c>
      <c r="C25" t="inlineStr">
        <is>
          <t>NEXA</t>
        </is>
      </c>
      <c r="D25" t="inlineStr">
        <is>
          <t>NYSE</t>
        </is>
      </c>
      <c r="E25" t="inlineStr">
        <is>
          <t>USD</t>
        </is>
      </c>
      <c r="F25" t="inlineStr">
        <is>
          <t>Listed Oct 2017</t>
        </is>
      </c>
    </row>
    <row r="26">
      <c r="A26" t="inlineStr">
        <is>
          <t>Northern Star Resources Limited</t>
        </is>
      </c>
      <c r="B26" t="inlineStr">
        <is>
          <t>Northern Star Resources Ltd</t>
        </is>
      </c>
      <c r="C26" t="inlineStr">
        <is>
          <t>NST.AX</t>
        </is>
      </c>
      <c r="D26" t="inlineStr">
        <is>
          <t>ASX</t>
        </is>
      </c>
      <c r="E26" t="inlineStr">
        <is>
          <t>AUD</t>
        </is>
      </c>
    </row>
    <row r="27">
      <c r="A27" t="inlineStr">
        <is>
          <t>PT Vale Indonesia TBK</t>
        </is>
      </c>
      <c r="B27" t="inlineStr">
        <is>
          <t>PT Vale Indonesia Tbk</t>
        </is>
      </c>
      <c r="C27" t="inlineStr">
        <is>
          <t>INCO.JK</t>
        </is>
      </c>
      <c r="D27" t="inlineStr">
        <is>
          <t>IDX</t>
        </is>
      </c>
      <c r="E27" t="inlineStr">
        <is>
          <t>IDR</t>
        </is>
      </c>
    </row>
    <row r="28">
      <c r="A28" t="inlineStr">
        <is>
          <t>PT Vale Indonesia TBK, OPG Tech Dept.</t>
        </is>
      </c>
      <c r="B28" t="inlineStr">
        <is>
          <t>PT Vale Indonesia Tbk</t>
        </is>
      </c>
      <c r="C28" t="inlineStr">
        <is>
          <t>INCO.JK</t>
        </is>
      </c>
      <c r="D28" t="inlineStr">
        <is>
          <t>IDX</t>
        </is>
      </c>
      <c r="E28" t="inlineStr">
        <is>
          <t>IDR</t>
        </is>
      </c>
    </row>
    <row r="29">
      <c r="A29" t="inlineStr">
        <is>
          <t>Rio Tinto IS&amp;T Asia Pacific</t>
        </is>
      </c>
      <c r="B29" t="inlineStr">
        <is>
          <t>Rio Tinto plc</t>
        </is>
      </c>
      <c r="C29" t="inlineStr">
        <is>
          <t>RIO.L</t>
        </is>
      </c>
      <c r="D29" t="inlineStr">
        <is>
          <t>LSE</t>
        </is>
      </c>
      <c r="E29" t="inlineStr">
        <is>
          <t>GBp</t>
        </is>
      </c>
      <c r="F29" t="inlineStr">
        <is>
          <t>Wholly owned subsidiary</t>
        </is>
      </c>
    </row>
    <row r="30">
      <c r="A30" t="inlineStr">
        <is>
          <t>SGC - Servicio Geologico da Colombia</t>
        </is>
      </c>
      <c r="F30" t="inlineStr">
        <is>
          <t>Government agency (Colombia) - no shares</t>
        </is>
      </c>
    </row>
    <row r="31">
      <c r="A31" t="inlineStr">
        <is>
          <t>VALE S.A.</t>
        </is>
      </c>
      <c r="B31" t="inlineStr">
        <is>
          <t>Vale SA</t>
        </is>
      </c>
      <c r="C31" t="inlineStr">
        <is>
          <t>VALE3.SA</t>
        </is>
      </c>
      <c r="D31" t="inlineStr">
        <is>
          <t>B3</t>
        </is>
      </c>
      <c r="E31" t="inlineStr">
        <is>
          <t>BRL</t>
        </is>
      </c>
    </row>
    <row r="32">
      <c r="A32" t="inlineStr">
        <is>
          <t>Vale S/A</t>
        </is>
      </c>
      <c r="B32" t="inlineStr">
        <is>
          <t>Vale SA</t>
        </is>
      </c>
      <c r="C32" t="inlineStr">
        <is>
          <t>VALE3.SA</t>
        </is>
      </c>
      <c r="D32" t="inlineStr">
        <is>
          <t>B3</t>
        </is>
      </c>
      <c r="E32" t="inlineStr">
        <is>
          <t>BRL</t>
        </is>
      </c>
    </row>
    <row r="33">
      <c r="A33" t="inlineStr">
        <is>
          <t>Zangge Mining Co., Ltd</t>
        </is>
      </c>
      <c r="B33" t="inlineStr">
        <is>
          <t>Zangge Mining Co Ltd</t>
        </is>
      </c>
      <c r="C33" t="inlineStr">
        <is>
          <t>000408.SZ</t>
        </is>
      </c>
      <c r="D33" t="inlineStr">
        <is>
          <t>SZSE</t>
        </is>
      </c>
      <c r="E33" t="inlineStr">
        <is>
          <t>CNY</t>
        </is>
      </c>
    </row>
    <row r="34">
      <c r="A34" t="inlineStr">
        <is>
          <t>Zijin Mining Corporation Co.,Ltd</t>
        </is>
      </c>
      <c r="B34" t="inlineStr">
        <is>
          <t>Zijin Mining Group Co Ltd</t>
        </is>
      </c>
      <c r="C34" t="inlineStr">
        <is>
          <t>2899.HK</t>
        </is>
      </c>
      <c r="D34" t="inlineStr">
        <is>
          <t>HKEX</t>
        </is>
      </c>
      <c r="E34" t="inlineStr">
        <is>
          <t>HKD</t>
        </is>
      </c>
      <c r="F34" t="inlineStr">
        <is>
          <t>H-shares; A-shares are 601899.SS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000408.SZ</t>
        </is>
      </c>
      <c r="B2" s="2" t="inlineStr">
        <is>
          <t>Zangge Mining Co Ltd</t>
        </is>
      </c>
      <c r="C2" s="2" t="inlineStr">
        <is>
          <t>CNY</t>
        </is>
      </c>
      <c r="D2" s="3" t="n">
        <v>17.7</v>
      </c>
      <c r="E2" s="3" t="n">
        <v>11.22</v>
      </c>
      <c r="F2" s="3" t="n">
        <v>7.38</v>
      </c>
      <c r="G2" s="3" t="n">
        <v>8.01</v>
      </c>
      <c r="H2" s="3" t="n">
        <v>41</v>
      </c>
      <c r="I2" s="3" t="n">
        <v>25.97</v>
      </c>
      <c r="J2" s="3" t="n">
        <v>25.34</v>
      </c>
      <c r="K2" s="3" t="n">
        <v>27.73</v>
      </c>
      <c r="L2" s="3" t="n">
        <v>84.40000000000001</v>
      </c>
      <c r="M2" s="3" t="n">
        <v>71.45999999999999</v>
      </c>
    </row>
    <row r="3">
      <c r="A3" s="2" t="inlineStr">
        <is>
          <t>1208.HK</t>
        </is>
      </c>
      <c r="B3" s="2" t="inlineStr">
        <is>
          <t>MMG Ltd</t>
        </is>
      </c>
      <c r="C3" s="2" t="inlineStr">
        <is>
          <t>HKD</t>
        </is>
      </c>
      <c r="D3" s="3" t="n">
        <v>3.88</v>
      </c>
      <c r="E3" s="3" t="n">
        <v>3.37</v>
      </c>
      <c r="F3" s="3" t="n">
        <v>2.34</v>
      </c>
      <c r="G3" s="3" t="n">
        <v>3.35</v>
      </c>
      <c r="H3" s="3" t="n">
        <v>2.5</v>
      </c>
      <c r="I3" s="3" t="n">
        <v>2</v>
      </c>
      <c r="J3" s="3" t="n">
        <v>2.31</v>
      </c>
      <c r="K3" s="3" t="n">
        <v>2.57</v>
      </c>
      <c r="L3" s="3" t="n">
        <v>8.81</v>
      </c>
      <c r="M3" s="3" t="n">
        <v>8.545</v>
      </c>
    </row>
    <row r="4">
      <c r="A4" s="2" t="inlineStr">
        <is>
          <t>1211.SR</t>
        </is>
      </c>
      <c r="B4" s="2" t="inlineStr">
        <is>
          <t>Saudi Arabian Mining Co (Maaden)</t>
        </is>
      </c>
      <c r="C4" s="2" t="inlineStr">
        <is>
          <t>SAR</t>
        </is>
      </c>
      <c r="D4" s="4" t="n">
        <v>52.1</v>
      </c>
      <c r="E4" s="4" t="n">
        <v>49.3</v>
      </c>
      <c r="F4" s="4" t="n">
        <v>44.4</v>
      </c>
      <c r="G4" s="4" t="n">
        <v>40.5</v>
      </c>
      <c r="H4" s="4" t="n">
        <v>78.5</v>
      </c>
      <c r="I4" s="4" t="n">
        <v>64.7</v>
      </c>
      <c r="J4" s="3" t="n">
        <v>48.55</v>
      </c>
      <c r="K4" s="3" t="n">
        <v>50.3</v>
      </c>
      <c r="L4" s="3" t="n">
        <v>60.95</v>
      </c>
      <c r="M4" s="3" t="n">
        <v>61.1</v>
      </c>
    </row>
    <row r="5">
      <c r="A5" s="2" t="inlineStr">
        <is>
          <t>2899.HK</t>
        </is>
      </c>
      <c r="B5" s="2" t="inlineStr">
        <is>
          <t>Zijin Mining Group Co Ltd</t>
        </is>
      </c>
      <c r="C5" s="2" t="inlineStr">
        <is>
          <t>HKD</t>
        </is>
      </c>
      <c r="D5" s="3" t="n">
        <v>2.95</v>
      </c>
      <c r="E5" s="3" t="n">
        <v>2.97</v>
      </c>
      <c r="F5" s="3" t="n">
        <v>3.88</v>
      </c>
      <c r="G5" s="3" t="n">
        <v>8.77</v>
      </c>
      <c r="H5" s="3" t="n">
        <v>9.279999999999999</v>
      </c>
      <c r="I5" s="3" t="n">
        <v>10.58</v>
      </c>
      <c r="J5" s="3" t="n">
        <v>12.72</v>
      </c>
      <c r="K5" s="3" t="n">
        <v>14.16</v>
      </c>
      <c r="L5" s="3" t="n">
        <v>35.66</v>
      </c>
      <c r="M5" s="3" t="n">
        <v>32.5</v>
      </c>
    </row>
    <row r="6">
      <c r="A6" s="2" t="inlineStr">
        <is>
          <t>AAL.L</t>
        </is>
      </c>
      <c r="B6" s="2" t="inlineStr">
        <is>
          <t>Anglo American plc</t>
        </is>
      </c>
      <c r="C6" s="2" t="inlineStr">
        <is>
          <t>GBp</t>
        </is>
      </c>
      <c r="D6" s="4" t="n">
        <v>1549.5078</v>
      </c>
      <c r="E6" s="4" t="n">
        <v>1747.8088</v>
      </c>
      <c r="F6" s="4" t="n">
        <v>2173.0111</v>
      </c>
      <c r="G6" s="4" t="n">
        <v>2424.5124</v>
      </c>
      <c r="H6" s="4" t="n">
        <v>3015.987</v>
      </c>
      <c r="I6" s="4" t="n">
        <v>3236.4859</v>
      </c>
      <c r="J6" s="4" t="n">
        <v>1970.5915</v>
      </c>
      <c r="K6" s="4" t="n">
        <v>2363.9897</v>
      </c>
      <c r="L6" s="3" t="n">
        <v>3085</v>
      </c>
      <c r="M6" s="3" t="n">
        <v>4042</v>
      </c>
    </row>
    <row r="7">
      <c r="A7" s="2" t="inlineStr">
        <is>
          <t>AEM</t>
        </is>
      </c>
      <c r="B7" s="2" t="inlineStr">
        <is>
          <t>Agnico Eagle Mines Ltd</t>
        </is>
      </c>
      <c r="C7" s="2" t="inlineStr">
        <is>
          <t>USD</t>
        </is>
      </c>
      <c r="D7" s="3" t="n">
        <v>46.18</v>
      </c>
      <c r="E7" s="3" t="n">
        <v>40.4</v>
      </c>
      <c r="F7" s="3" t="n">
        <v>61.61</v>
      </c>
      <c r="G7" s="3" t="n">
        <v>70.51000000000001</v>
      </c>
      <c r="H7" s="3" t="n">
        <v>53.14</v>
      </c>
      <c r="I7" s="3" t="n">
        <v>51.99</v>
      </c>
      <c r="J7" s="3" t="n">
        <v>54.85</v>
      </c>
      <c r="K7" s="3" t="n">
        <v>78.20999999999999</v>
      </c>
      <c r="L7" s="3" t="n">
        <v>169.53</v>
      </c>
      <c r="M7" s="3" t="n">
        <v>194.48</v>
      </c>
    </row>
    <row r="8">
      <c r="A8" s="2" t="inlineStr">
        <is>
          <t>B</t>
        </is>
      </c>
      <c r="B8" s="2" t="inlineStr">
        <is>
          <t>Barrick Mining Corp</t>
        </is>
      </c>
      <c r="C8" s="2" t="inlineStr">
        <is>
          <t>USD</t>
        </is>
      </c>
      <c r="D8" s="3" t="n">
        <v>14.47</v>
      </c>
      <c r="E8" s="3" t="n">
        <v>13.54</v>
      </c>
      <c r="F8" s="3" t="n">
        <v>18.59</v>
      </c>
      <c r="G8" s="3" t="n">
        <v>22.78</v>
      </c>
      <c r="H8" s="3" t="n">
        <v>19</v>
      </c>
      <c r="I8" s="3" t="n">
        <v>17.18</v>
      </c>
      <c r="J8" s="3" t="n">
        <v>18.09</v>
      </c>
      <c r="K8" s="3" t="n">
        <v>15.5</v>
      </c>
      <c r="L8" s="3" t="n">
        <v>43.55</v>
      </c>
      <c r="M8" s="3" t="n">
        <v>42.88</v>
      </c>
    </row>
    <row r="9">
      <c r="A9" s="2" t="inlineStr">
        <is>
          <t>BHP.AX</t>
        </is>
      </c>
      <c r="B9" s="2" t="inlineStr">
        <is>
          <t>BHP Group Ltd</t>
        </is>
      </c>
      <c r="C9" s="2" t="inlineStr">
        <is>
          <t>AUD</t>
        </is>
      </c>
      <c r="D9" s="4" t="n">
        <v>29.5699</v>
      </c>
      <c r="E9" s="4" t="n">
        <v>34.2299</v>
      </c>
      <c r="F9" s="4" t="n">
        <v>38.9199</v>
      </c>
      <c r="G9" s="4" t="n">
        <v>42.4299</v>
      </c>
      <c r="H9" s="4" t="n">
        <v>41.4999</v>
      </c>
      <c r="I9" s="3" t="n">
        <v>45.63</v>
      </c>
      <c r="J9" s="3" t="n">
        <v>50.41</v>
      </c>
      <c r="K9" s="3" t="n">
        <v>39.55</v>
      </c>
      <c r="L9" s="3" t="n">
        <v>45.49</v>
      </c>
      <c r="M9" s="3" t="n">
        <v>60.72</v>
      </c>
    </row>
    <row r="10">
      <c r="A10" s="2" t="inlineStr">
        <is>
          <t>EQX</t>
        </is>
      </c>
      <c r="B10" s="2" t="inlineStr">
        <is>
          <t>Equinox Gold Corp</t>
        </is>
      </c>
      <c r="C10" s="2" t="inlineStr">
        <is>
          <t>USD</t>
        </is>
      </c>
      <c r="D10" s="3" t="n"/>
      <c r="E10" s="3" t="n"/>
      <c r="F10" s="3" t="n">
        <v>7.7</v>
      </c>
      <c r="G10" s="3" t="n">
        <v>10.34</v>
      </c>
      <c r="H10" s="3" t="n">
        <v>6.76</v>
      </c>
      <c r="I10" s="3" t="n">
        <v>3.28</v>
      </c>
      <c r="J10" s="3" t="n">
        <v>4.89</v>
      </c>
      <c r="K10" s="3" t="n">
        <v>5.02</v>
      </c>
      <c r="L10" s="3" t="n">
        <v>14.04</v>
      </c>
      <c r="M10" s="3" t="n">
        <v>11.94</v>
      </c>
    </row>
    <row r="11">
      <c r="A11" s="2" t="inlineStr">
        <is>
          <t>EVN.AX</t>
        </is>
      </c>
      <c r="B11" s="2" t="inlineStr">
        <is>
          <t>Evolution Mining Ltd</t>
        </is>
      </c>
      <c r="C11" s="2" t="inlineStr">
        <is>
          <t>AUD</t>
        </is>
      </c>
      <c r="D11" s="3" t="n">
        <v>2.65</v>
      </c>
      <c r="E11" s="3" t="n">
        <v>3.69</v>
      </c>
      <c r="F11" s="3" t="n">
        <v>3.8</v>
      </c>
      <c r="G11" s="3" t="n">
        <v>4.99</v>
      </c>
      <c r="H11" s="3" t="n">
        <v>4.06</v>
      </c>
      <c r="I11" s="3" t="n">
        <v>2.98</v>
      </c>
      <c r="J11" s="3" t="n">
        <v>3.96</v>
      </c>
      <c r="K11" s="3" t="n">
        <v>4.81</v>
      </c>
      <c r="L11" s="3" t="n">
        <v>12.68</v>
      </c>
      <c r="M11" s="3" t="n">
        <v>13.71</v>
      </c>
    </row>
    <row r="12">
      <c r="A12" s="2" t="inlineStr">
        <is>
          <t>FCX</t>
        </is>
      </c>
      <c r="B12" s="2" t="inlineStr">
        <is>
          <t>Freeport-McMoRan Inc</t>
        </is>
      </c>
      <c r="C12" s="2" t="inlineStr">
        <is>
          <t>USD</t>
        </is>
      </c>
      <c r="D12" s="3" t="n">
        <v>18.96</v>
      </c>
      <c r="E12" s="3" t="n">
        <v>10.31</v>
      </c>
      <c r="F12" s="3" t="n">
        <v>13.12</v>
      </c>
      <c r="G12" s="3" t="n">
        <v>26.02</v>
      </c>
      <c r="H12" s="3" t="n">
        <v>41.73</v>
      </c>
      <c r="I12" s="3" t="n">
        <v>38</v>
      </c>
      <c r="J12" s="3" t="n">
        <v>42.57</v>
      </c>
      <c r="K12" s="3" t="n">
        <v>38.08</v>
      </c>
      <c r="L12" s="3" t="n">
        <v>50.79</v>
      </c>
      <c r="M12" s="3" t="n">
        <v>72.31</v>
      </c>
    </row>
    <row r="13">
      <c r="A13" s="2" t="inlineStr">
        <is>
          <t>FMG.AX</t>
        </is>
      </c>
      <c r="B13" s="2" t="inlineStr">
        <is>
          <t>Fortescue Ltd</t>
        </is>
      </c>
      <c r="C13" s="2" t="inlineStr">
        <is>
          <t>AUD</t>
        </is>
      </c>
      <c r="D13" s="3" t="n">
        <v>4.88</v>
      </c>
      <c r="E13" s="3" t="n">
        <v>4.19</v>
      </c>
      <c r="F13" s="3" t="n">
        <v>10.69</v>
      </c>
      <c r="G13" s="3" t="n">
        <v>23.43</v>
      </c>
      <c r="H13" s="3" t="n">
        <v>19.21</v>
      </c>
      <c r="I13" s="3" t="n">
        <v>20.51</v>
      </c>
      <c r="J13" s="3" t="n">
        <v>29.02</v>
      </c>
      <c r="K13" s="3" t="n">
        <v>18.25</v>
      </c>
      <c r="L13" s="3" t="n">
        <v>22.01</v>
      </c>
      <c r="M13" s="3" t="n">
        <v>16.37</v>
      </c>
    </row>
    <row r="14">
      <c r="A14" s="2" t="inlineStr">
        <is>
          <t>FRES.L</t>
        </is>
      </c>
      <c r="B14" s="2" t="inlineStr">
        <is>
          <t>Fresnillo plc</t>
        </is>
      </c>
      <c r="C14" s="2" t="inlineStr">
        <is>
          <t>GBp</t>
        </is>
      </c>
      <c r="D14" s="3" t="n">
        <v>1429</v>
      </c>
      <c r="E14" s="3" t="n">
        <v>860</v>
      </c>
      <c r="F14" s="3" t="n">
        <v>640.2</v>
      </c>
      <c r="G14" s="3" t="n">
        <v>1129.5</v>
      </c>
      <c r="H14" s="3" t="n">
        <v>892.8</v>
      </c>
      <c r="I14" s="3" t="n">
        <v>901.8</v>
      </c>
      <c r="J14" s="3" t="n">
        <v>594.4</v>
      </c>
      <c r="K14" s="3" t="n">
        <v>621.5</v>
      </c>
      <c r="L14" s="3" t="n">
        <v>3334</v>
      </c>
      <c r="M14" s="3" t="n">
        <v>2890</v>
      </c>
    </row>
    <row r="15">
      <c r="A15" s="2" t="inlineStr">
        <is>
          <t>GLEN.L</t>
        </is>
      </c>
      <c r="B15" s="2" t="inlineStr">
        <is>
          <t>Glencore plc</t>
        </is>
      </c>
      <c r="C15" s="2" t="inlineStr">
        <is>
          <t>GBp</t>
        </is>
      </c>
      <c r="D15" s="3" t="n">
        <v>390</v>
      </c>
      <c r="E15" s="3" t="n">
        <v>291.35</v>
      </c>
      <c r="F15" s="3" t="n">
        <v>235.35</v>
      </c>
      <c r="G15" s="3" t="n">
        <v>233</v>
      </c>
      <c r="H15" s="3" t="n">
        <v>374.95</v>
      </c>
      <c r="I15" s="3" t="n">
        <v>552.4</v>
      </c>
      <c r="J15" s="3" t="n">
        <v>472.1</v>
      </c>
      <c r="K15" s="3" t="n">
        <v>353.4</v>
      </c>
      <c r="L15" s="3" t="n">
        <v>406.55</v>
      </c>
      <c r="M15" s="3" t="n">
        <v>561.1</v>
      </c>
    </row>
    <row r="16">
      <c r="A16" s="2" t="inlineStr">
        <is>
          <t>GMEXICOB.MX</t>
        </is>
      </c>
      <c r="B16" s="2" t="inlineStr">
        <is>
          <t>Grupo Mexico SAB de CV</t>
        </is>
      </c>
      <c r="C16" s="2" t="inlineStr">
        <is>
          <t>MXN</t>
        </is>
      </c>
      <c r="D16" s="4" t="n">
        <v>64.91</v>
      </c>
      <c r="E16" s="4" t="n">
        <v>40.44</v>
      </c>
      <c r="F16" s="4" t="n">
        <v>51.89</v>
      </c>
      <c r="G16" s="4" t="n">
        <v>84.12</v>
      </c>
      <c r="H16" s="4" t="n">
        <v>89.29000000000001</v>
      </c>
      <c r="I16" s="4" t="n">
        <v>68.7</v>
      </c>
      <c r="J16" s="4" t="n">
        <v>94.38</v>
      </c>
      <c r="K16" s="4" t="n">
        <v>99.28</v>
      </c>
      <c r="L16" s="4" t="n">
        <v>170.2001</v>
      </c>
      <c r="M16" s="3" t="n">
        <v>224.11</v>
      </c>
    </row>
    <row r="17">
      <c r="A17" s="2" t="inlineStr">
        <is>
          <t>INCO.JK</t>
        </is>
      </c>
      <c r="B17" s="2" t="inlineStr">
        <is>
          <t>PT Vale Indonesia Tbk</t>
        </is>
      </c>
      <c r="C17" s="2" t="inlineStr">
        <is>
          <t>IDR</t>
        </is>
      </c>
      <c r="D17" s="3" t="n">
        <v>2890</v>
      </c>
      <c r="E17" s="3" t="n">
        <v>3260</v>
      </c>
      <c r="F17" s="3" t="n">
        <v>3640</v>
      </c>
      <c r="G17" s="3" t="n">
        <v>5100</v>
      </c>
      <c r="H17" s="3" t="n">
        <v>4680</v>
      </c>
      <c r="I17" s="3" t="n">
        <v>7100</v>
      </c>
      <c r="J17" s="3" t="n">
        <v>4310</v>
      </c>
      <c r="K17" s="3" t="n">
        <v>3620</v>
      </c>
      <c r="L17" s="3" t="n">
        <v>5175</v>
      </c>
      <c r="M17" s="3" t="n">
        <v>4680</v>
      </c>
    </row>
    <row r="18">
      <c r="A18" s="2" t="inlineStr">
        <is>
          <t>LUN.TO</t>
        </is>
      </c>
      <c r="B18" s="2" t="inlineStr">
        <is>
          <t>Lundin Mining Corp</t>
        </is>
      </c>
      <c r="C18" s="2" t="inlineStr">
        <is>
          <t>CAD</t>
        </is>
      </c>
      <c r="D18" s="3" t="n">
        <v>8.359999999999999</v>
      </c>
      <c r="E18" s="3" t="n">
        <v>5.64</v>
      </c>
      <c r="F18" s="3" t="n">
        <v>7.76</v>
      </c>
      <c r="G18" s="3" t="n">
        <v>11.3</v>
      </c>
      <c r="H18" s="3" t="n">
        <v>9.880000000000001</v>
      </c>
      <c r="I18" s="3" t="n">
        <v>8.31</v>
      </c>
      <c r="J18" s="3" t="n">
        <v>10.84</v>
      </c>
      <c r="K18" s="3" t="n">
        <v>12.37</v>
      </c>
      <c r="L18" s="3" t="n">
        <v>29.5</v>
      </c>
      <c r="M18" s="3" t="n">
        <v>34.98</v>
      </c>
    </row>
    <row r="19">
      <c r="A19" s="2" t="inlineStr">
        <is>
          <t>MIN.AX</t>
        </is>
      </c>
      <c r="B19" s="2" t="inlineStr">
        <is>
          <t>Mineral Resources Ltd</t>
        </is>
      </c>
      <c r="C19" s="2" t="inlineStr">
        <is>
          <t>AUD</t>
        </is>
      </c>
      <c r="D19" s="3" t="n">
        <v>21.14</v>
      </c>
      <c r="E19" s="3" t="n">
        <v>15.47</v>
      </c>
      <c r="F19" s="3" t="n">
        <v>16.5</v>
      </c>
      <c r="G19" s="3" t="n">
        <v>37.45</v>
      </c>
      <c r="H19" s="3" t="n">
        <v>56</v>
      </c>
      <c r="I19" s="3" t="n">
        <v>77.2</v>
      </c>
      <c r="J19" s="3" t="n">
        <v>70</v>
      </c>
      <c r="K19" s="3" t="n">
        <v>34.25</v>
      </c>
      <c r="L19" s="3" t="n">
        <v>54.38</v>
      </c>
      <c r="M19" s="3" t="n">
        <v>52.41</v>
      </c>
    </row>
    <row r="20">
      <c r="A20" s="2" t="inlineStr">
        <is>
          <t>MT</t>
        </is>
      </c>
      <c r="B20" s="2" t="inlineStr">
        <is>
          <t>ArcelorMittal SA</t>
        </is>
      </c>
      <c r="C20" s="2" t="inlineStr">
        <is>
          <t>USD</t>
        </is>
      </c>
      <c r="D20" s="3" t="n">
        <v>32.31</v>
      </c>
      <c r="E20" s="3" t="n">
        <v>20.67</v>
      </c>
      <c r="F20" s="3" t="n">
        <v>17.54</v>
      </c>
      <c r="G20" s="3" t="n">
        <v>22.9</v>
      </c>
      <c r="H20" s="3" t="n">
        <v>31.83</v>
      </c>
      <c r="I20" s="3" t="n">
        <v>26.22</v>
      </c>
      <c r="J20" s="3" t="n">
        <v>28.39</v>
      </c>
      <c r="K20" s="3" t="n">
        <v>23.13</v>
      </c>
      <c r="L20" s="3" t="n">
        <v>45.57</v>
      </c>
      <c r="M20" s="3" t="n">
        <v>70.7</v>
      </c>
    </row>
    <row r="21">
      <c r="A21" s="2" t="inlineStr">
        <is>
          <t>NEM</t>
        </is>
      </c>
      <c r="B21" s="2" t="inlineStr">
        <is>
          <t>Newmont Corp</t>
        </is>
      </c>
      <c r="C21" s="2" t="inlineStr">
        <is>
          <t>USD</t>
        </is>
      </c>
      <c r="D21" s="3" t="n">
        <v>37.52</v>
      </c>
      <c r="E21" s="3" t="n">
        <v>34.65</v>
      </c>
      <c r="F21" s="3" t="n">
        <v>43.45</v>
      </c>
      <c r="G21" s="3" t="n">
        <v>59.89</v>
      </c>
      <c r="H21" s="3" t="n">
        <v>62.02</v>
      </c>
      <c r="I21" s="3" t="n">
        <v>47.2</v>
      </c>
      <c r="J21" s="3" t="n">
        <v>41.39</v>
      </c>
      <c r="K21" s="3" t="n">
        <v>37.22</v>
      </c>
      <c r="L21" s="3" t="n">
        <v>99.84999999999999</v>
      </c>
      <c r="M21" s="3" t="n">
        <v>121.43</v>
      </c>
    </row>
    <row r="22">
      <c r="A22" s="2" t="inlineStr">
        <is>
          <t>NEXA</t>
        </is>
      </c>
      <c r="B22" s="2" t="inlineStr">
        <is>
          <t>Nexa Resources SA</t>
        </is>
      </c>
      <c r="C22" s="2" t="inlineStr">
        <is>
          <t>USD</t>
        </is>
      </c>
      <c r="D22" s="3" t="n">
        <v>19.61</v>
      </c>
      <c r="E22" s="3" t="n">
        <v>11.9</v>
      </c>
      <c r="F22" s="3" t="n">
        <v>8.140000000000001</v>
      </c>
      <c r="G22" s="3" t="n">
        <v>9.640000000000001</v>
      </c>
      <c r="H22" s="3" t="n">
        <v>7.86</v>
      </c>
      <c r="I22" s="3" t="n">
        <v>6.03</v>
      </c>
      <c r="J22" s="3" t="n">
        <v>7.14</v>
      </c>
      <c r="K22" s="3" t="n">
        <v>8.800000000000001</v>
      </c>
      <c r="L22" s="3" t="n">
        <v>8.85</v>
      </c>
      <c r="M22" s="3" t="n">
        <v>12.44</v>
      </c>
    </row>
    <row r="23">
      <c r="A23" s="2" t="inlineStr">
        <is>
          <t>NST.AX</t>
        </is>
      </c>
      <c r="B23" s="2" t="inlineStr">
        <is>
          <t>Northern Star Resources Ltd</t>
        </is>
      </c>
      <c r="C23" s="2" t="inlineStr">
        <is>
          <t>AUD</t>
        </is>
      </c>
      <c r="D23" s="3" t="n">
        <v>6.1</v>
      </c>
      <c r="E23" s="3" t="n">
        <v>9.24</v>
      </c>
      <c r="F23" s="3" t="n">
        <v>11.31</v>
      </c>
      <c r="G23" s="3" t="n">
        <v>12.69</v>
      </c>
      <c r="H23" s="3" t="n">
        <v>9.41</v>
      </c>
      <c r="I23" s="3" t="n">
        <v>10.91</v>
      </c>
      <c r="J23" s="3" t="n">
        <v>13.65</v>
      </c>
      <c r="K23" s="3" t="n">
        <v>15.44</v>
      </c>
      <c r="L23" s="3" t="n">
        <v>26.73</v>
      </c>
      <c r="M23" s="3" t="n">
        <v>22.11</v>
      </c>
    </row>
    <row r="24">
      <c r="A24" s="2" t="inlineStr">
        <is>
          <t>RIO.L</t>
        </is>
      </c>
      <c r="B24" s="2" t="inlineStr">
        <is>
          <t>Rio Tinto plc</t>
        </is>
      </c>
      <c r="C24" s="2" t="inlineStr">
        <is>
          <t>GBp</t>
        </is>
      </c>
      <c r="D24" s="3" t="n">
        <v>3942</v>
      </c>
      <c r="E24" s="3" t="n">
        <v>3730</v>
      </c>
      <c r="F24" s="3" t="n">
        <v>4503</v>
      </c>
      <c r="G24" s="3" t="n">
        <v>5470</v>
      </c>
      <c r="H24" s="3" t="n">
        <v>4892</v>
      </c>
      <c r="I24" s="3" t="n">
        <v>5798</v>
      </c>
      <c r="J24" s="3" t="n">
        <v>5842</v>
      </c>
      <c r="K24" s="3" t="n">
        <v>4723</v>
      </c>
      <c r="L24" s="3" t="n">
        <v>5994</v>
      </c>
      <c r="M24" s="3" t="n">
        <v>7088</v>
      </c>
    </row>
    <row r="25">
      <c r="A25" s="2" t="inlineStr">
        <is>
          <t>SCCO</t>
        </is>
      </c>
      <c r="B25" s="2" t="inlineStr">
        <is>
          <t>Southern Copper Corp</t>
        </is>
      </c>
      <c r="C25" s="2" t="inlineStr">
        <is>
          <t>USD</t>
        </is>
      </c>
      <c r="D25" s="4" t="n">
        <v>47.45</v>
      </c>
      <c r="E25" s="4" t="n">
        <v>30.77</v>
      </c>
      <c r="F25" s="4" t="n">
        <v>42.48</v>
      </c>
      <c r="G25" s="4" t="n">
        <v>65.12</v>
      </c>
      <c r="H25" s="4" t="n">
        <v>61.71</v>
      </c>
      <c r="I25" s="4" t="n">
        <v>60.39</v>
      </c>
      <c r="J25" s="4" t="n">
        <v>86.06999999999999</v>
      </c>
      <c r="K25" s="4" t="n">
        <v>91.13</v>
      </c>
      <c r="L25" s="4" t="n">
        <v>143.47</v>
      </c>
      <c r="M25" s="3" t="n">
        <v>203.92</v>
      </c>
    </row>
    <row r="26">
      <c r="A26" s="2" t="inlineStr">
        <is>
          <t>VALE3.SA</t>
        </is>
      </c>
      <c r="B26" s="2" t="inlineStr">
        <is>
          <t>Vale SA</t>
        </is>
      </c>
      <c r="C26" s="2" t="inlineStr">
        <is>
          <t>BRL</t>
        </is>
      </c>
      <c r="D26" s="3" t="n">
        <v>40.26</v>
      </c>
      <c r="E26" s="3" t="n">
        <v>51</v>
      </c>
      <c r="F26" s="3" t="n">
        <v>53.3</v>
      </c>
      <c r="G26" s="3" t="n">
        <v>87.45</v>
      </c>
      <c r="H26" s="3" t="n">
        <v>77.95999999999999</v>
      </c>
      <c r="I26" s="3" t="n">
        <v>88.88</v>
      </c>
      <c r="J26" s="3" t="n">
        <v>77.2</v>
      </c>
      <c r="K26" s="3" t="n">
        <v>54.55</v>
      </c>
      <c r="L26" s="3" t="n">
        <v>71.95999999999999</v>
      </c>
      <c r="M26" s="3" t="n">
        <v>70.77</v>
      </c>
    </row>
    <row r="27"/>
    <row r="28">
      <c r="A28" s="2" t="inlineStr">
        <is>
          <t>Last close of each year, in the currency the stock trades in (GBp = pence). 2026 = latest close. Highlighted cells were corrected to the as-traded price; hover for Yahoo's rescaled figure.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000408.SZ</t>
        </is>
      </c>
      <c r="B2" s="2" t="inlineStr">
        <is>
          <t>Zangge Mining Co Ltd</t>
        </is>
      </c>
      <c r="C2" s="2" t="inlineStr">
        <is>
          <t>USD</t>
        </is>
      </c>
      <c r="D2" s="5">
        <f>IF('Year-end close'!D2="","",'Year-end close'!D2/IF('Year-end close'!$C2="GBp",100,1)/INDEX('FX year-end'!$B$2:$B$11,MATCH(IF('Year-end close'!$C2="GBp","GBP",'Year-end close'!$C2),'FX year-end'!$A$2:$A$11,0)))</f>
        <v>2.7099026272276316</v>
      </c>
      <c r="E2" s="5">
        <f>IF('Year-end close'!E2="","",'Year-end close'!E2/IF('Year-end close'!$C2="GBp",100,1)/INDEX('FX year-end'!$C$2:$C$11,MATCH(IF('Year-end close'!$C2="GBp","GBP",'Year-end close'!$C2),'FX year-end'!$A$2:$A$11,0)))</f>
        <v>1.6314779270633397</v>
      </c>
      <c r="F2" s="5">
        <f>IF('Year-end close'!F2="","",'Year-end close'!F2/IF('Year-end close'!$C2="GBp",100,1)/INDEX('FX year-end'!$D$2:$D$11,MATCH(IF('Year-end close'!$C2="GBp","GBP",'Year-end close'!$C2),'FX year-end'!$A$2:$A$11,0)))</f>
        <v>1.0564438782083398</v>
      </c>
      <c r="G2" s="5">
        <f>IF('Year-end close'!G2="","",'Year-end close'!G2/IF('Year-end close'!$C2="GBp",100,1)/INDEX('FX year-end'!$E$2:$E$11,MATCH(IF('Year-end close'!$C2="GBp","GBP",'Year-end close'!$C2),'FX year-end'!$A$2:$A$11,0)))</f>
        <v>1.2281132133329244</v>
      </c>
      <c r="H2" s="5">
        <f>IF('Year-end close'!H2="","",'Year-end close'!H2/IF('Year-end close'!$C2="GBp",100,1)/INDEX('FX year-end'!$F$2:$F$11,MATCH(IF('Year-end close'!$C2="GBp","GBP",'Year-end close'!$C2),'FX year-end'!$A$2:$A$11,0)))</f>
        <v>6.434299524489572</v>
      </c>
      <c r="I2" s="5">
        <f>IF('Year-end close'!I2="","",'Year-end close'!I2/IF('Year-end close'!$C2="GBp",100,1)/INDEX('FX year-end'!$G$2:$G$11,MATCH(IF('Year-end close'!$C2="GBp","GBP",'Year-end close'!$C2),'FX year-end'!$A$2:$A$11,0)))</f>
        <v>3.7296606396576237</v>
      </c>
      <c r="J2" s="5">
        <f>IF('Year-end close'!J2="","",'Year-end close'!J2/IF('Year-end close'!$C2="GBp",100,1)/INDEX('FX year-end'!$H$2:$H$11,MATCH(IF('Year-end close'!$C2="GBp","GBP",'Year-end close'!$C2),'FX year-end'!$A$2:$A$11,0)))</f>
        <v>3.5654988039960602</v>
      </c>
      <c r="K2" s="5">
        <f>IF('Year-end close'!K2="","",'Year-end close'!K2/IF('Year-end close'!$C2="GBp",100,1)/INDEX('FX year-end'!$I$2:$I$11,MATCH(IF('Year-end close'!$C2="GBp","GBP",'Year-end close'!$C2),'FX year-end'!$A$2:$A$11,0)))</f>
        <v>3.799619078938354</v>
      </c>
      <c r="L2" s="5">
        <f>IF('Year-end close'!L2="","",'Year-end close'!L2/IF('Year-end close'!$C2="GBp",100,1)/INDEX('FX year-end'!$J$2:$J$11,MATCH(IF('Year-end close'!$C2="GBp","GBP",'Year-end close'!$C2),'FX year-end'!$A$2:$A$11,0)))</f>
        <v>12.063864152885179</v>
      </c>
      <c r="M2" s="5">
        <f>IF('Year-end close'!M2="","",'Year-end close'!M2/IF('Year-end close'!$C2="GBp",100,1)/INDEX('FX year-end'!$K$2:$K$11,MATCH(IF('Year-end close'!$C2="GBp","GBP",'Year-end close'!$C2),'FX year-end'!$A$2:$A$11,0)))</f>
        <v>10.646127258912742</v>
      </c>
    </row>
    <row r="3">
      <c r="A3" s="2" t="inlineStr">
        <is>
          <t>1208.HK</t>
        </is>
      </c>
      <c r="B3" s="2" t="inlineStr">
        <is>
          <t>MMG Ltd</t>
        </is>
      </c>
      <c r="C3" s="2" t="inlineStr">
        <is>
          <t>USD</t>
        </is>
      </c>
      <c r="D3" s="5">
        <f>IF('Year-end close'!D3="","",'Year-end close'!D3/IF('Year-end close'!$C3="GBp",100,1)/INDEX('FX year-end'!$B$2:$B$11,MATCH(IF('Year-end close'!$C3="GBp","GBP",'Year-end close'!$C3),'FX year-end'!$A$2:$A$11,0)))</f>
        <v>0.4963667997134377</v>
      </c>
      <c r="E3" s="5">
        <f>IF('Year-end close'!E3="","",'Year-end close'!E3/IF('Year-end close'!$C3="GBp",100,1)/INDEX('FX year-end'!$C$2:$C$11,MATCH(IF('Year-end close'!$C3="GBp","GBP",'Year-end close'!$C3),'FX year-end'!$A$2:$A$11,0)))</f>
        <v>0.4303464480455631</v>
      </c>
      <c r="F3" s="5">
        <f>IF('Year-end close'!F3="","",'Year-end close'!F3/IF('Year-end close'!$C3="GBp",100,1)/INDEX('FX year-end'!$D$2:$D$11,MATCH(IF('Year-end close'!$C3="GBp","GBP",'Year-end close'!$C3),'FX year-end'!$A$2:$A$11,0)))</f>
        <v>0.3004583916487975</v>
      </c>
      <c r="G3" s="5">
        <f>IF('Year-end close'!G3="","",'Year-end close'!G3/IF('Year-end close'!$C3="GBp",100,1)/INDEX('FX year-end'!$E$2:$E$11,MATCH(IF('Year-end close'!$C3="GBp","GBP",'Year-end close'!$C3),'FX year-end'!$A$2:$A$11,0)))</f>
        <v>0.4321365086981985</v>
      </c>
      <c r="H3" s="5">
        <f>IF('Year-end close'!H3="","",'Year-end close'!H3/IF('Year-end close'!$C3="GBp",100,1)/INDEX('FX year-end'!$F$2:$F$11,MATCH(IF('Year-end close'!$C3="GBp","GBP",'Year-end close'!$C3),'FX year-end'!$A$2:$A$11,0)))</f>
        <v>0.3206131148718317</v>
      </c>
      <c r="I3" s="5">
        <f>IF('Year-end close'!I3="","",'Year-end close'!I3/IF('Year-end close'!$C3="GBp",100,1)/INDEX('FX year-end'!$G$2:$G$11,MATCH(IF('Year-end close'!$C3="GBp","GBP",'Year-end close'!$C3),'FX year-end'!$A$2:$A$11,0)))</f>
        <v>0.25659447808683156</v>
      </c>
      <c r="J3" s="5">
        <f>IF('Year-end close'!J3="","",'Year-end close'!J3/IF('Year-end close'!$C3="GBp",100,1)/INDEX('FX year-end'!$H$2:$H$11,MATCH(IF('Year-end close'!$C3="GBp","GBP",'Year-end close'!$C3),'FX year-end'!$A$2:$A$11,0)))</f>
        <v>0.29570649530197907</v>
      </c>
      <c r="K3" s="5">
        <f>IF('Year-end close'!K3="","",'Year-end close'!K3/IF('Year-end close'!$C3="GBp",100,1)/INDEX('FX year-end'!$I$2:$I$11,MATCH(IF('Year-end close'!$C3="GBp","GBP",'Year-end close'!$C3),'FX year-end'!$A$2:$A$11,0)))</f>
        <v>0.33103625941907644</v>
      </c>
      <c r="L3" s="5">
        <f>IF('Year-end close'!L3="","",'Year-end close'!L3/IF('Year-end close'!$C3="GBp",100,1)/INDEX('FX year-end'!$J$2:$J$11,MATCH(IF('Year-end close'!$C3="GBp","GBP",'Year-end close'!$C3),'FX year-end'!$A$2:$A$11,0)))</f>
        <v>1.132294689653577</v>
      </c>
      <c r="M3" s="5">
        <f>IF('Year-end close'!M3="","",'Year-end close'!M3/IF('Year-end close'!$C3="GBp",100,1)/INDEX('FX year-end'!$K$2:$K$11,MATCH(IF('Year-end close'!$C3="GBp","GBP",'Year-end close'!$C3),'FX year-end'!$A$2:$A$11,0)))</f>
        <v>1.0894510033913865</v>
      </c>
    </row>
    <row r="4">
      <c r="A4" s="2" t="inlineStr">
        <is>
          <t>1211.SR</t>
        </is>
      </c>
      <c r="B4" s="2" t="inlineStr">
        <is>
          <t>Saudi Arabian Mining Co (Maaden)</t>
        </is>
      </c>
      <c r="C4" s="2" t="inlineStr">
        <is>
          <t>USD</t>
        </is>
      </c>
      <c r="D4" s="5">
        <f>IF('Year-end close'!D4="","",'Year-end close'!D4/IF('Year-end close'!$C4="GBp",100,1)/INDEX('FX year-end'!$B$2:$B$11,MATCH(IF('Year-end close'!$C4="GBp","GBP",'Year-end close'!$C4),'FX year-end'!$A$2:$A$11,0)))</f>
        <v>13.90965399401965</v>
      </c>
      <c r="E4" s="5">
        <f>IF('Year-end close'!E4="","",'Year-end close'!E4/IF('Year-end close'!$C4="GBp",100,1)/INDEX('FX year-end'!$C$2:$C$11,MATCH(IF('Year-end close'!$C4="GBp","GBP",'Year-end close'!$C4),'FX year-end'!$A$2:$A$11,0)))</f>
        <v>13.141410102625615</v>
      </c>
      <c r="F4" s="5">
        <f>IF('Year-end close'!F4="","",'Year-end close'!F4/IF('Year-end close'!$C4="GBp",100,1)/INDEX('FX year-end'!$D$2:$D$11,MATCH(IF('Year-end close'!$C4="GBp","GBP",'Year-end close'!$C4),'FX year-end'!$A$2:$A$11,0)))</f>
        <v>11.845180292181114</v>
      </c>
      <c r="G4" s="5">
        <f>IF('Year-end close'!G4="","",'Year-end close'!G4/IF('Year-end close'!$C4="GBp",100,1)/INDEX('FX year-end'!$E$2:$E$11,MATCH(IF('Year-end close'!$C4="GBp","GBP",'Year-end close'!$C4),'FX year-end'!$A$2:$A$11,0)))</f>
        <v>10.806610764024713</v>
      </c>
      <c r="H4" s="5">
        <f>IF('Year-end close'!H4="","",'Year-end close'!H4/IF('Year-end close'!$C4="GBp",100,1)/INDEX('FX year-end'!$F$2:$F$11,MATCH(IF('Year-end close'!$C4="GBp","GBP",'Year-end close'!$C4),'FX year-end'!$A$2:$A$11,0)))</f>
        <v>20.93348963672262</v>
      </c>
      <c r="I4" s="5">
        <f>IF('Year-end close'!I4="","",'Year-end close'!I4/IF('Year-end close'!$C4="GBp",100,1)/INDEX('FX year-end'!$G$2:$G$11,MATCH(IF('Year-end close'!$C4="GBp","GBP",'Year-end close'!$C4),'FX year-end'!$A$2:$A$11,0)))</f>
        <v>17.23062566612214</v>
      </c>
      <c r="J4" s="5">
        <f>IF('Year-end close'!J4="","",'Year-end close'!J4/IF('Year-end close'!$C4="GBp",100,1)/INDEX('FX year-end'!$H$2:$H$11,MATCH(IF('Year-end close'!$C4="GBp","GBP",'Year-end close'!$C4),'FX year-end'!$A$2:$A$11,0)))</f>
        <v>12.963193874643911</v>
      </c>
      <c r="K4" s="5">
        <f>IF('Year-end close'!K4="","",'Year-end close'!K4/IF('Year-end close'!$C4="GBp",100,1)/INDEX('FX year-end'!$I$2:$I$11,MATCH(IF('Year-end close'!$C4="GBp","GBP",'Year-end close'!$C4),'FX year-end'!$A$2:$A$11,0)))</f>
        <v>13.406244111447199</v>
      </c>
      <c r="L4" s="5">
        <f>IF('Year-end close'!L4="","",'Year-end close'!L4/IF('Year-end close'!$C4="GBp",100,1)/INDEX('FX year-end'!$J$2:$J$11,MATCH(IF('Year-end close'!$C4="GBp","GBP",'Year-end close'!$C4),'FX year-end'!$A$2:$A$11,0)))</f>
        <v>16.26244029990128</v>
      </c>
      <c r="M4" s="5">
        <f>IF('Year-end close'!M4="","",'Year-end close'!M4/IF('Year-end close'!$C4="GBp",100,1)/INDEX('FX year-end'!$K$2:$K$11,MATCH(IF('Year-end close'!$C4="GBp","GBP",'Year-end close'!$C4),'FX year-end'!$A$2:$A$11,0)))</f>
        <v>16.274671709772793</v>
      </c>
    </row>
    <row r="5">
      <c r="A5" s="2" t="inlineStr">
        <is>
          <t>2899.HK</t>
        </is>
      </c>
      <c r="B5" s="2" t="inlineStr">
        <is>
          <t>Zijin Mining Group Co Ltd</t>
        </is>
      </c>
      <c r="C5" s="2" t="inlineStr">
        <is>
          <t>USD</t>
        </is>
      </c>
      <c r="D5" s="5">
        <f>IF('Year-end close'!D5="","",'Year-end close'!D5/IF('Year-end close'!$C5="GBp",100,1)/INDEX('FX year-end'!$B$2:$B$11,MATCH(IF('Year-end close'!$C5="GBp","GBP",'Year-end close'!$C5),'FX year-end'!$A$2:$A$11,0)))</f>
        <v>0.3773922832872787</v>
      </c>
      <c r="E5" s="5">
        <f>IF('Year-end close'!E5="","",'Year-end close'!E5/IF('Year-end close'!$C5="GBp",100,1)/INDEX('FX year-end'!$C$2:$C$11,MATCH(IF('Year-end close'!$C5="GBp","GBP",'Year-end close'!$C5),'FX year-end'!$A$2:$A$11,0)))</f>
        <v>0.3792667509481669</v>
      </c>
      <c r="F5" s="5">
        <f>IF('Year-end close'!F5="","",'Year-end close'!F5/IF('Year-end close'!$C5="GBp",100,1)/INDEX('FX year-end'!$D$2:$D$11,MATCH(IF('Year-end close'!$C5="GBp","GBP",'Year-end close'!$C5),'FX year-end'!$A$2:$A$11,0)))</f>
        <v>0.4981959656398865</v>
      </c>
      <c r="G5" s="5">
        <f>IF('Year-end close'!G5="","",'Year-end close'!G5/IF('Year-end close'!$C5="GBp",100,1)/INDEX('FX year-end'!$E$2:$E$11,MATCH(IF('Year-end close'!$C5="GBp","GBP",'Year-end close'!$C5),'FX year-end'!$A$2:$A$11,0)))</f>
        <v>1.1312946809800597</v>
      </c>
      <c r="H5" s="5">
        <f>IF('Year-end close'!H5="","",'Year-end close'!H5/IF('Year-end close'!$C5="GBp",100,1)/INDEX('FX year-end'!$F$2:$F$11,MATCH(IF('Year-end close'!$C5="GBp","GBP",'Year-end close'!$C5),'FX year-end'!$A$2:$A$11,0)))</f>
        <v>1.1901158824042393</v>
      </c>
      <c r="I5" s="5">
        <f>IF('Year-end close'!I5="","",'Year-end close'!I5/IF('Year-end close'!$C5="GBp",100,1)/INDEX('FX year-end'!$G$2:$G$11,MATCH(IF('Year-end close'!$C5="GBp","GBP",'Year-end close'!$C5),'FX year-end'!$A$2:$A$11,0)))</f>
        <v>1.357384789079339</v>
      </c>
      <c r="J5" s="5">
        <f>IF('Year-end close'!J5="","",'Year-end close'!J5/IF('Year-end close'!$C5="GBp",100,1)/INDEX('FX year-end'!$H$2:$H$11,MATCH(IF('Year-end close'!$C5="GBp","GBP",'Year-end close'!$C5),'FX year-end'!$A$2:$A$11,0)))</f>
        <v>1.6283058962083004</v>
      </c>
      <c r="K5" s="5">
        <f>IF('Year-end close'!K5="","",'Year-end close'!K5/IF('Year-end close'!$C5="GBp",100,1)/INDEX('FX year-end'!$I$2:$I$11,MATCH(IF('Year-end close'!$C5="GBp","GBP",'Year-end close'!$C5),'FX year-end'!$A$2:$A$11,0)))</f>
        <v>1.8239196238809816</v>
      </c>
      <c r="L5" s="5">
        <f>IF('Year-end close'!L5="","",'Year-end close'!L5/IF('Year-end close'!$C5="GBp",100,1)/INDEX('FX year-end'!$J$2:$J$11,MATCH(IF('Year-end close'!$C5="GBp","GBP",'Year-end close'!$C5),'FX year-end'!$A$2:$A$11,0)))</f>
        <v>4.58315875516987</v>
      </c>
      <c r="M5" s="5">
        <f>IF('Year-end close'!M5="","",'Year-end close'!M5/IF('Year-end close'!$C5="GBp",100,1)/INDEX('FX year-end'!$K$2:$K$11,MATCH(IF('Year-end close'!$C5="GBp","GBP",'Year-end close'!$C5),'FX year-end'!$A$2:$A$11,0)))</f>
        <v>4.143611189025168</v>
      </c>
    </row>
    <row r="6">
      <c r="A6" s="2" t="inlineStr">
        <is>
          <t>AAL.L</t>
        </is>
      </c>
      <c r="B6" s="2" t="inlineStr">
        <is>
          <t>Anglo American plc</t>
        </is>
      </c>
      <c r="C6" s="2" t="inlineStr">
        <is>
          <t>USD</t>
        </is>
      </c>
      <c r="D6" s="5">
        <f>IF('Year-end close'!D6="","",'Year-end close'!D6/IF('Year-end close'!$C6="GBp",100,1)/INDEX('FX year-end'!$B$2:$B$11,MATCH(IF('Year-end close'!$C6="GBp","GBP",'Year-end close'!$C6),'FX year-end'!$A$2:$A$11,0)))</f>
        <v>20.826717741935486</v>
      </c>
      <c r="E6" s="5">
        <f>IF('Year-end close'!E6="","",'Year-end close'!E6/IF('Year-end close'!$C6="GBp",100,1)/INDEX('FX year-end'!$C$2:$C$11,MATCH(IF('Year-end close'!$C6="GBp","GBP",'Year-end close'!$C6),'FX year-end'!$A$2:$A$11,0)))</f>
        <v>22.185945671490227</v>
      </c>
      <c r="F6" s="5">
        <f>IF('Year-end close'!F6="","",'Year-end close'!F6/IF('Year-end close'!$C6="GBp",100,1)/INDEX('FX year-end'!$D$2:$D$11,MATCH(IF('Year-end close'!$C6="GBp","GBP",'Year-end close'!$C6),'FX year-end'!$A$2:$A$11,0)))</f>
        <v>28.494769210595337</v>
      </c>
      <c r="G6" s="5">
        <f>IF('Year-end close'!G6="","",'Year-end close'!G6/IF('Year-end close'!$C6="GBp",100,1)/INDEX('FX year-end'!$E$2:$E$11,MATCH(IF('Year-end close'!$C6="GBp","GBP",'Year-end close'!$C6),'FX year-end'!$A$2:$A$11,0)))</f>
        <v>33.047712774657874</v>
      </c>
      <c r="H6" s="5">
        <f>IF('Year-end close'!H6="","",'Year-end close'!H6/IF('Year-end close'!$C6="GBp",100,1)/INDEX('FX year-end'!$F$2:$F$11,MATCH(IF('Year-end close'!$C6="GBp","GBP",'Year-end close'!$C6),'FX year-end'!$A$2:$A$11,0)))</f>
        <v>40.71091883428047</v>
      </c>
      <c r="I6" s="5">
        <f>IF('Year-end close'!I6="","",'Year-end close'!I6/IF('Year-end close'!$C6="GBp",100,1)/INDEX('FX year-end'!$G$2:$G$11,MATCH(IF('Year-end close'!$C6="GBp","GBP",'Year-end close'!$C6),'FX year-end'!$A$2:$A$11,0)))</f>
        <v>39.02013286072531</v>
      </c>
      <c r="J6" s="5">
        <f>IF('Year-end close'!J6="","",'Year-end close'!J6/IF('Year-end close'!$C6="GBp",100,1)/INDEX('FX year-end'!$H$2:$H$11,MATCH(IF('Year-end close'!$C6="GBp","GBP",'Year-end close'!$C6),'FX year-end'!$A$2:$A$11,0)))</f>
        <v>25.093486565643705</v>
      </c>
      <c r="K6" s="5">
        <f>IF('Year-end close'!K6="","",'Year-end close'!K6/IF('Year-end close'!$C6="GBp",100,1)/INDEX('FX year-end'!$I$2:$I$11,MATCH(IF('Year-end close'!$C6="GBp","GBP",'Year-end close'!$C6),'FX year-end'!$A$2:$A$11,0)))</f>
        <v>29.665939237265807</v>
      </c>
      <c r="L6" s="5">
        <f>IF('Year-end close'!L6="","",'Year-end close'!L6/IF('Year-end close'!$C6="GBp",100,1)/INDEX('FX year-end'!$J$2:$J$11,MATCH(IF('Year-end close'!$C6="GBp","GBP",'Year-end close'!$C6),'FX year-end'!$A$2:$A$11,0)))</f>
        <v>41.546303591028156</v>
      </c>
      <c r="M6" s="5">
        <f>IF('Year-end close'!M6="","",'Year-end close'!M6/IF('Year-end close'!$C6="GBp",100,1)/INDEX('FX year-end'!$K$2:$K$11,MATCH(IF('Year-end close'!$C6="GBp","GBP",'Year-end close'!$C6),'FX year-end'!$A$2:$A$11,0)))</f>
        <v>53.48966466400233</v>
      </c>
    </row>
    <row r="7">
      <c r="A7" s="2" t="inlineStr">
        <is>
          <t>AEM</t>
        </is>
      </c>
      <c r="B7" s="2" t="inlineStr">
        <is>
          <t>Agnico Eagle Mines Ltd</t>
        </is>
      </c>
      <c r="C7" s="2" t="inlineStr">
        <is>
          <t>USD</t>
        </is>
      </c>
      <c r="D7" s="5">
        <f>IF('Year-end close'!D7="","",'Year-end close'!D7/IF('Year-end close'!$C7="GBp",100,1)/INDEX('FX year-end'!$B$2:$B$11,MATCH(IF('Year-end close'!$C7="GBp","GBP",'Year-end close'!$C7),'FX year-end'!$A$2:$A$11,0)))</f>
        <v>46.18</v>
      </c>
      <c r="E7" s="5">
        <f>IF('Year-end close'!E7="","",'Year-end close'!E7/IF('Year-end close'!$C7="GBp",100,1)/INDEX('FX year-end'!$C$2:$C$11,MATCH(IF('Year-end close'!$C7="GBp","GBP",'Year-end close'!$C7),'FX year-end'!$A$2:$A$11,0)))</f>
        <v>40.4</v>
      </c>
      <c r="F7" s="5">
        <f>IF('Year-end close'!F7="","",'Year-end close'!F7/IF('Year-end close'!$C7="GBp",100,1)/INDEX('FX year-end'!$D$2:$D$11,MATCH(IF('Year-end close'!$C7="GBp","GBP",'Year-end close'!$C7),'FX year-end'!$A$2:$A$11,0)))</f>
        <v>61.61</v>
      </c>
      <c r="G7" s="5">
        <f>IF('Year-end close'!G7="","",'Year-end close'!G7/IF('Year-end close'!$C7="GBp",100,1)/INDEX('FX year-end'!$E$2:$E$11,MATCH(IF('Year-end close'!$C7="GBp","GBP",'Year-end close'!$C7),'FX year-end'!$A$2:$A$11,0)))</f>
        <v>70.51</v>
      </c>
      <c r="H7" s="5">
        <f>IF('Year-end close'!H7="","",'Year-end close'!H7/IF('Year-end close'!$C7="GBp",100,1)/INDEX('FX year-end'!$F$2:$F$11,MATCH(IF('Year-end close'!$C7="GBp","GBP",'Year-end close'!$C7),'FX year-end'!$A$2:$A$11,0)))</f>
        <v>53.14</v>
      </c>
      <c r="I7" s="5">
        <f>IF('Year-end close'!I7="","",'Year-end close'!I7/IF('Year-end close'!$C7="GBp",100,1)/INDEX('FX year-end'!$G$2:$G$11,MATCH(IF('Year-end close'!$C7="GBp","GBP",'Year-end close'!$C7),'FX year-end'!$A$2:$A$11,0)))</f>
        <v>51.99</v>
      </c>
      <c r="J7" s="5">
        <f>IF('Year-end close'!J7="","",'Year-end close'!J7/IF('Year-end close'!$C7="GBp",100,1)/INDEX('FX year-end'!$H$2:$H$11,MATCH(IF('Year-end close'!$C7="GBp","GBP",'Year-end close'!$C7),'FX year-end'!$A$2:$A$11,0)))</f>
        <v>54.85</v>
      </c>
      <c r="K7" s="5">
        <f>IF('Year-end close'!K7="","",'Year-end close'!K7/IF('Year-end close'!$C7="GBp",100,1)/INDEX('FX year-end'!$I$2:$I$11,MATCH(IF('Year-end close'!$C7="GBp","GBP",'Year-end close'!$C7),'FX year-end'!$A$2:$A$11,0)))</f>
        <v>78.21</v>
      </c>
      <c r="L7" s="5">
        <f>IF('Year-end close'!L7="","",'Year-end close'!L7/IF('Year-end close'!$C7="GBp",100,1)/INDEX('FX year-end'!$J$2:$J$11,MATCH(IF('Year-end close'!$C7="GBp","GBP",'Year-end close'!$C7),'FX year-end'!$A$2:$A$11,0)))</f>
        <v>169.53</v>
      </c>
      <c r="M7" s="5">
        <f>IF('Year-end close'!M7="","",'Year-end close'!M7/IF('Year-end close'!$C7="GBp",100,1)/INDEX('FX year-end'!$K$2:$K$11,MATCH(IF('Year-end close'!$C7="GBp","GBP",'Year-end close'!$C7),'FX year-end'!$A$2:$A$11,0)))</f>
        <v>194.48</v>
      </c>
    </row>
    <row r="8">
      <c r="A8" s="2" t="inlineStr">
        <is>
          <t>B</t>
        </is>
      </c>
      <c r="B8" s="2" t="inlineStr">
        <is>
          <t>Barrick Mining Corp</t>
        </is>
      </c>
      <c r="C8" s="2" t="inlineStr">
        <is>
          <t>USD</t>
        </is>
      </c>
      <c r="D8" s="5">
        <f>IF('Year-end close'!D8="","",'Year-end close'!D8/IF('Year-end close'!$C8="GBp",100,1)/INDEX('FX year-end'!$B$2:$B$11,MATCH(IF('Year-end close'!$C8="GBp","GBP",'Year-end close'!$C8),'FX year-end'!$A$2:$A$11,0)))</f>
        <v>14.47</v>
      </c>
      <c r="E8" s="5">
        <f>IF('Year-end close'!E8="","",'Year-end close'!E8/IF('Year-end close'!$C8="GBp",100,1)/INDEX('FX year-end'!$C$2:$C$11,MATCH(IF('Year-end close'!$C8="GBp","GBP",'Year-end close'!$C8),'FX year-end'!$A$2:$A$11,0)))</f>
        <v>13.54</v>
      </c>
      <c r="F8" s="5">
        <f>IF('Year-end close'!F8="","",'Year-end close'!F8/IF('Year-end close'!$C8="GBp",100,1)/INDEX('FX year-end'!$D$2:$D$11,MATCH(IF('Year-end close'!$C8="GBp","GBP",'Year-end close'!$C8),'FX year-end'!$A$2:$A$11,0)))</f>
        <v>18.59</v>
      </c>
      <c r="G8" s="5">
        <f>IF('Year-end close'!G8="","",'Year-end close'!G8/IF('Year-end close'!$C8="GBp",100,1)/INDEX('FX year-end'!$E$2:$E$11,MATCH(IF('Year-end close'!$C8="GBp","GBP",'Year-end close'!$C8),'FX year-end'!$A$2:$A$11,0)))</f>
        <v>22.78</v>
      </c>
      <c r="H8" s="5">
        <f>IF('Year-end close'!H8="","",'Year-end close'!H8/IF('Year-end close'!$C8="GBp",100,1)/INDEX('FX year-end'!$F$2:$F$11,MATCH(IF('Year-end close'!$C8="GBp","GBP",'Year-end close'!$C8),'FX year-end'!$A$2:$A$11,0)))</f>
        <v>19.0</v>
      </c>
      <c r="I8" s="5">
        <f>IF('Year-end close'!I8="","",'Year-end close'!I8/IF('Year-end close'!$C8="GBp",100,1)/INDEX('FX year-end'!$G$2:$G$11,MATCH(IF('Year-end close'!$C8="GBp","GBP",'Year-end close'!$C8),'FX year-end'!$A$2:$A$11,0)))</f>
        <v>17.18</v>
      </c>
      <c r="J8" s="5">
        <f>IF('Year-end close'!J8="","",'Year-end close'!J8/IF('Year-end close'!$C8="GBp",100,1)/INDEX('FX year-end'!$H$2:$H$11,MATCH(IF('Year-end close'!$C8="GBp","GBP",'Year-end close'!$C8),'FX year-end'!$A$2:$A$11,0)))</f>
        <v>18.09</v>
      </c>
      <c r="K8" s="5">
        <f>IF('Year-end close'!K8="","",'Year-end close'!K8/IF('Year-end close'!$C8="GBp",100,1)/INDEX('FX year-end'!$I$2:$I$11,MATCH(IF('Year-end close'!$C8="GBp","GBP",'Year-end close'!$C8),'FX year-end'!$A$2:$A$11,0)))</f>
        <v>15.5</v>
      </c>
      <c r="L8" s="5">
        <f>IF('Year-end close'!L8="","",'Year-end close'!L8/IF('Year-end close'!$C8="GBp",100,1)/INDEX('FX year-end'!$J$2:$J$11,MATCH(IF('Year-end close'!$C8="GBp","GBP",'Year-end close'!$C8),'FX year-end'!$A$2:$A$11,0)))</f>
        <v>43.55</v>
      </c>
      <c r="M8" s="5">
        <f>IF('Year-end close'!M8="","",'Year-end close'!M8/IF('Year-end close'!$C8="GBp",100,1)/INDEX('FX year-end'!$K$2:$K$11,MATCH(IF('Year-end close'!$C8="GBp","GBP",'Year-end close'!$C8),'FX year-end'!$A$2:$A$11,0)))</f>
        <v>42.88</v>
      </c>
    </row>
    <row r="9">
      <c r="A9" s="2" t="inlineStr">
        <is>
          <t>BHP.AX</t>
        </is>
      </c>
      <c r="B9" s="2" t="inlineStr">
        <is>
          <t>BHP Group Ltd</t>
        </is>
      </c>
      <c r="C9" s="2" t="inlineStr">
        <is>
          <t>USD</t>
        </is>
      </c>
      <c r="D9" s="5">
        <f>IF('Year-end close'!D9="","",'Year-end close'!D9/IF('Year-end close'!$C9="GBp",100,1)/INDEX('FX year-end'!$B$2:$B$11,MATCH(IF('Year-end close'!$C9="GBp","GBP",'Year-end close'!$C9),'FX year-end'!$A$2:$A$11,0)))</f>
        <v>23.047646513223018</v>
      </c>
      <c r="E9" s="5">
        <f>IF('Year-end close'!E9="","",'Year-end close'!E9/IF('Year-end close'!$C9="GBp",100,1)/INDEX('FX year-end'!$C$2:$C$11,MATCH(IF('Year-end close'!$C9="GBp","GBP",'Year-end close'!$C9),'FX year-end'!$A$2:$A$11,0)))</f>
        <v>24.114054244452273</v>
      </c>
      <c r="F9" s="5">
        <f>IF('Year-end close'!F9="","",'Year-end close'!F9/IF('Year-end close'!$C9="GBp",100,1)/INDEX('FX year-end'!$D$2:$D$11,MATCH(IF('Year-end close'!$C9="GBp","GBP",'Year-end close'!$C9),'FX year-end'!$A$2:$A$11,0)))</f>
        <v>27.249374425010117</v>
      </c>
      <c r="G9" s="5">
        <f>IF('Year-end close'!G9="","",'Year-end close'!G9/IF('Year-end close'!$C9="GBp",100,1)/INDEX('FX year-end'!$E$2:$E$11,MATCH(IF('Year-end close'!$C9="GBp","GBP",'Year-end close'!$C9),'FX year-end'!$A$2:$A$11,0)))</f>
        <v>32.62558534728684</v>
      </c>
      <c r="H9" s="5">
        <f>IF('Year-end close'!H9="","",'Year-end close'!H9/IF('Year-end close'!$C9="GBp",100,1)/INDEX('FX year-end'!$F$2:$F$11,MATCH(IF('Year-end close'!$C9="GBp","GBP",'Year-end close'!$C9),'FX year-end'!$A$2:$A$11,0)))</f>
        <v>30.086606135652495</v>
      </c>
      <c r="I9" s="5">
        <f>IF('Year-end close'!I9="","",'Year-end close'!I9/IF('Year-end close'!$C9="GBp",100,1)/INDEX('FX year-end'!$G$2:$G$11,MATCH(IF('Year-end close'!$C9="GBp","GBP",'Year-end close'!$C9),'FX year-end'!$A$2:$A$11,0)))</f>
        <v>30.873260630401806</v>
      </c>
      <c r="J9" s="5">
        <f>IF('Year-end close'!J9="","",'Year-end close'!J9/IF('Year-end close'!$C9="GBp",100,1)/INDEX('FX year-end'!$H$2:$H$11,MATCH(IF('Year-end close'!$C9="GBp","GBP",'Year-end close'!$C9),'FX year-end'!$A$2:$A$11,0)))</f>
        <v>34.411388456177185</v>
      </c>
      <c r="K9" s="5">
        <f>IF('Year-end close'!K9="","",'Year-end close'!K9/IF('Year-end close'!$C9="GBp",100,1)/INDEX('FX year-end'!$I$2:$I$11,MATCH(IF('Year-end close'!$C9="GBp","GBP",'Year-end close'!$C9),'FX year-end'!$A$2:$A$11,0)))</f>
        <v>24.600100639602616</v>
      </c>
      <c r="L9" s="5">
        <f>IF('Year-end close'!L9="","",'Year-end close'!L9/IF('Year-end close'!$C9="GBp",100,1)/INDEX('FX year-end'!$J$2:$J$11,MATCH(IF('Year-end close'!$C9="GBp","GBP",'Year-end close'!$C9),'FX year-end'!$A$2:$A$11,0)))</f>
        <v>30.4692015917127</v>
      </c>
      <c r="M9" s="5">
        <f>IF('Year-end close'!M9="","",'Year-end close'!M9/IF('Year-end close'!$C9="GBp",100,1)/INDEX('FX year-end'!$K$2:$K$11,MATCH(IF('Year-end close'!$C9="GBp","GBP",'Year-end close'!$C9),'FX year-end'!$A$2:$A$11,0)))</f>
        <v>42.58661803899565</v>
      </c>
    </row>
    <row r="10">
      <c r="A10" s="2" t="inlineStr">
        <is>
          <t>EQX</t>
        </is>
      </c>
      <c r="B10" s="2" t="inlineStr">
        <is>
          <t>Equinox Gold Corp</t>
        </is>
      </c>
      <c r="C10" s="2" t="inlineStr">
        <is>
          <t>USD</t>
        </is>
      </c>
      <c r="D10" s="5" t="str">
        <f>IF('Year-end close'!D10="","",'Year-end close'!D10/IF('Year-end close'!$C10="GBp",100,1)/INDEX('FX year-end'!$B$2:$B$11,MATCH(IF('Year-end close'!$C10="GBp","GBP",'Year-end close'!$C10),'FX year-end'!$A$2:$A$11,0)))</f>
        <v/>
      </c>
      <c r="E10" s="5" t="str">
        <f>IF('Year-end close'!E10="","",'Year-end close'!E10/IF('Year-end close'!$C10="GBp",100,1)/INDEX('FX year-end'!$C$2:$C$11,MATCH(IF('Year-end close'!$C10="GBp","GBP",'Year-end close'!$C10),'FX year-end'!$A$2:$A$11,0)))</f>
        <v/>
      </c>
      <c r="F10" s="5">
        <f>IF('Year-end close'!F10="","",'Year-end close'!F10/IF('Year-end close'!$C10="GBp",100,1)/INDEX('FX year-end'!$D$2:$D$11,MATCH(IF('Year-end close'!$C10="GBp","GBP",'Year-end close'!$C10),'FX year-end'!$A$2:$A$11,0)))</f>
        <v>7.7</v>
      </c>
      <c r="G10" s="5">
        <f>IF('Year-end close'!G10="","",'Year-end close'!G10/IF('Year-end close'!$C10="GBp",100,1)/INDEX('FX year-end'!$E$2:$E$11,MATCH(IF('Year-end close'!$C10="GBp","GBP",'Year-end close'!$C10),'FX year-end'!$A$2:$A$11,0)))</f>
        <v>10.34</v>
      </c>
      <c r="H10" s="5">
        <f>IF('Year-end close'!H10="","",'Year-end close'!H10/IF('Year-end close'!$C10="GBp",100,1)/INDEX('FX year-end'!$F$2:$F$11,MATCH(IF('Year-end close'!$C10="GBp","GBP",'Year-end close'!$C10),'FX year-end'!$A$2:$A$11,0)))</f>
        <v>6.76</v>
      </c>
      <c r="I10" s="5">
        <f>IF('Year-end close'!I10="","",'Year-end close'!I10/IF('Year-end close'!$C10="GBp",100,1)/INDEX('FX year-end'!$G$2:$G$11,MATCH(IF('Year-end close'!$C10="GBp","GBP",'Year-end close'!$C10),'FX year-end'!$A$2:$A$11,0)))</f>
        <v>3.28</v>
      </c>
      <c r="J10" s="5">
        <f>IF('Year-end close'!J10="","",'Year-end close'!J10/IF('Year-end close'!$C10="GBp",100,1)/INDEX('FX year-end'!$H$2:$H$11,MATCH(IF('Year-end close'!$C10="GBp","GBP",'Year-end close'!$C10),'FX year-end'!$A$2:$A$11,0)))</f>
        <v>4.89</v>
      </c>
      <c r="K10" s="5">
        <f>IF('Year-end close'!K10="","",'Year-end close'!K10/IF('Year-end close'!$C10="GBp",100,1)/INDEX('FX year-end'!$I$2:$I$11,MATCH(IF('Year-end close'!$C10="GBp","GBP",'Year-end close'!$C10),'FX year-end'!$A$2:$A$11,0)))</f>
        <v>5.02</v>
      </c>
      <c r="L10" s="5">
        <f>IF('Year-end close'!L10="","",'Year-end close'!L10/IF('Year-end close'!$C10="GBp",100,1)/INDEX('FX year-end'!$J$2:$J$11,MATCH(IF('Year-end close'!$C10="GBp","GBP",'Year-end close'!$C10),'FX year-end'!$A$2:$A$11,0)))</f>
        <v>14.04</v>
      </c>
      <c r="M10" s="5">
        <f>IF('Year-end close'!M10="","",'Year-end close'!M10/IF('Year-end close'!$C10="GBp",100,1)/INDEX('FX year-end'!$K$2:$K$11,MATCH(IF('Year-end close'!$C10="GBp","GBP",'Year-end close'!$C10),'FX year-end'!$A$2:$A$11,0)))</f>
        <v>11.94</v>
      </c>
    </row>
    <row r="11">
      <c r="A11" s="2" t="inlineStr">
        <is>
          <t>EVN.AX</t>
        </is>
      </c>
      <c r="B11" s="2" t="inlineStr">
        <is>
          <t>Evolution Mining Ltd</t>
        </is>
      </c>
      <c r="C11" s="2" t="inlineStr">
        <is>
          <t>USD</t>
        </is>
      </c>
      <c r="D11" s="5">
        <f>IF('Year-end close'!D11="","",'Year-end close'!D11/IF('Year-end close'!$C11="GBp",100,1)/INDEX('FX year-end'!$B$2:$B$11,MATCH(IF('Year-end close'!$C11="GBp","GBP",'Year-end close'!$C11),'FX year-end'!$A$2:$A$11,0)))</f>
        <v>2.0654876499427117</v>
      </c>
      <c r="E11" s="5">
        <f>IF('Year-end close'!E11="","",'Year-end close'!E11/IF('Year-end close'!$C11="GBp",100,1)/INDEX('FX year-end'!$C$2:$C$11,MATCH(IF('Year-end close'!$C11="GBp","GBP",'Year-end close'!$C11),'FX year-end'!$A$2:$A$11,0)))</f>
        <v>2.59950686861571</v>
      </c>
      <c r="F11" s="5">
        <f>IF('Year-end close'!F11="","",'Year-end close'!F11/IF('Year-end close'!$C11="GBp",100,1)/INDEX('FX year-end'!$D$2:$D$11,MATCH(IF('Year-end close'!$C11="GBp","GBP",'Year-end close'!$C11),'FX year-end'!$A$2:$A$11,0)))</f>
        <v>2.6605315742085267</v>
      </c>
      <c r="G11" s="5">
        <f>IF('Year-end close'!G11="","",'Year-end close'!G11/IF('Year-end close'!$C11="GBp",100,1)/INDEX('FX year-end'!$E$2:$E$11,MATCH(IF('Year-end close'!$C11="GBp","GBP",'Year-end close'!$C11),'FX year-end'!$A$2:$A$11,0)))</f>
        <v>3.8369562710013763</v>
      </c>
      <c r="H11" s="5">
        <f>IF('Year-end close'!H11="","",'Year-end close'!H11/IF('Year-end close'!$C11="GBp",100,1)/INDEX('FX year-end'!$F$2:$F$11,MATCH(IF('Year-end close'!$C11="GBp","GBP",'Year-end close'!$C11),'FX year-end'!$A$2:$A$11,0)))</f>
        <v>2.943419644643701</v>
      </c>
      <c r="I11" s="5">
        <f>IF('Year-end close'!I11="","",'Year-end close'!I11/IF('Year-end close'!$C11="GBp",100,1)/INDEX('FX year-end'!$G$2:$G$11,MATCH(IF('Year-end close'!$C11="GBp","GBP",'Year-end close'!$C11),'FX year-end'!$A$2:$A$11,0)))</f>
        <v>2.0162681717860482</v>
      </c>
      <c r="J11" s="5">
        <f>IF('Year-end close'!J11="","",'Year-end close'!J11/IF('Year-end close'!$C11="GBp",100,1)/INDEX('FX year-end'!$H$2:$H$11,MATCH(IF('Year-end close'!$C11="GBp","GBP",'Year-end close'!$C11),'FX year-end'!$A$2:$A$11,0)))</f>
        <v>2.7032155978270516</v>
      </c>
      <c r="K11" s="5">
        <f>IF('Year-end close'!K11="","",'Year-end close'!K11/IF('Year-end close'!$C11="GBp",100,1)/INDEX('FX year-end'!$I$2:$I$11,MATCH(IF('Year-end close'!$C11="GBp","GBP",'Year-end close'!$C11),'FX year-end'!$A$2:$A$11,0)))</f>
        <v>2.9918200777873216</v>
      </c>
      <c r="L11" s="5">
        <f>IF('Year-end close'!L11="","",'Year-end close'!L11/IF('Year-end close'!$C11="GBp",100,1)/INDEX('FX year-end'!$J$2:$J$11,MATCH(IF('Year-end close'!$C11="GBp","GBP",'Year-end close'!$C11),'FX year-end'!$A$2:$A$11,0)))</f>
        <v>8.493063886192944</v>
      </c>
      <c r="M11" s="5">
        <f>IF('Year-end close'!M11="","",'Year-end close'!M11/IF('Year-end close'!$C11="GBp",100,1)/INDEX('FX year-end'!$K$2:$K$11,MATCH(IF('Year-end close'!$C11="GBp","GBP",'Year-end close'!$C11),'FX year-end'!$A$2:$A$11,0)))</f>
        <v>9.615654369476786</v>
      </c>
    </row>
    <row r="12">
      <c r="A12" s="2" t="inlineStr">
        <is>
          <t>FCX</t>
        </is>
      </c>
      <c r="B12" s="2" t="inlineStr">
        <is>
          <t>Freeport-McMoRan Inc</t>
        </is>
      </c>
      <c r="C12" s="2" t="inlineStr">
        <is>
          <t>USD</t>
        </is>
      </c>
      <c r="D12" s="5">
        <f>IF('Year-end close'!D12="","",'Year-end close'!D12/IF('Year-end close'!$C12="GBp",100,1)/INDEX('FX year-end'!$B$2:$B$11,MATCH(IF('Year-end close'!$C12="GBp","GBP",'Year-end close'!$C12),'FX year-end'!$A$2:$A$11,0)))</f>
        <v>18.96</v>
      </c>
      <c r="E12" s="5">
        <f>IF('Year-end close'!E12="","",'Year-end close'!E12/IF('Year-end close'!$C12="GBp",100,1)/INDEX('FX year-end'!$C$2:$C$11,MATCH(IF('Year-end close'!$C12="GBp","GBP",'Year-end close'!$C12),'FX year-end'!$A$2:$A$11,0)))</f>
        <v>10.31</v>
      </c>
      <c r="F12" s="5">
        <f>IF('Year-end close'!F12="","",'Year-end close'!F12/IF('Year-end close'!$C12="GBp",100,1)/INDEX('FX year-end'!$D$2:$D$11,MATCH(IF('Year-end close'!$C12="GBp","GBP",'Year-end close'!$C12),'FX year-end'!$A$2:$A$11,0)))</f>
        <v>13.12</v>
      </c>
      <c r="G12" s="5">
        <f>IF('Year-end close'!G12="","",'Year-end close'!G12/IF('Year-end close'!$C12="GBp",100,1)/INDEX('FX year-end'!$E$2:$E$11,MATCH(IF('Year-end close'!$C12="GBp","GBP",'Year-end close'!$C12),'FX year-end'!$A$2:$A$11,0)))</f>
        <v>26.02</v>
      </c>
      <c r="H12" s="5">
        <f>IF('Year-end close'!H12="","",'Year-end close'!H12/IF('Year-end close'!$C12="GBp",100,1)/INDEX('FX year-end'!$F$2:$F$11,MATCH(IF('Year-end close'!$C12="GBp","GBP",'Year-end close'!$C12),'FX year-end'!$A$2:$A$11,0)))</f>
        <v>41.73</v>
      </c>
      <c r="I12" s="5">
        <f>IF('Year-end close'!I12="","",'Year-end close'!I12/IF('Year-end close'!$C12="GBp",100,1)/INDEX('FX year-end'!$G$2:$G$11,MATCH(IF('Year-end close'!$C12="GBp","GBP",'Year-end close'!$C12),'FX year-end'!$A$2:$A$11,0)))</f>
        <v>38.0</v>
      </c>
      <c r="J12" s="5">
        <f>IF('Year-end close'!J12="","",'Year-end close'!J12/IF('Year-end close'!$C12="GBp",100,1)/INDEX('FX year-end'!$H$2:$H$11,MATCH(IF('Year-end close'!$C12="GBp","GBP",'Year-end close'!$C12),'FX year-end'!$A$2:$A$11,0)))</f>
        <v>42.57</v>
      </c>
      <c r="K12" s="5">
        <f>IF('Year-end close'!K12="","",'Year-end close'!K12/IF('Year-end close'!$C12="GBp",100,1)/INDEX('FX year-end'!$I$2:$I$11,MATCH(IF('Year-end close'!$C12="GBp","GBP",'Year-end close'!$C12),'FX year-end'!$A$2:$A$11,0)))</f>
        <v>38.08</v>
      </c>
      <c r="L12" s="5">
        <f>IF('Year-end close'!L12="","",'Year-end close'!L12/IF('Year-end close'!$C12="GBp",100,1)/INDEX('FX year-end'!$J$2:$J$11,MATCH(IF('Year-end close'!$C12="GBp","GBP",'Year-end close'!$C12),'FX year-end'!$A$2:$A$11,0)))</f>
        <v>50.79</v>
      </c>
      <c r="M12" s="5">
        <f>IF('Year-end close'!M12="","",'Year-end close'!M12/IF('Year-end close'!$C12="GBp",100,1)/INDEX('FX year-end'!$K$2:$K$11,MATCH(IF('Year-end close'!$C12="GBp","GBP",'Year-end close'!$C12),'FX year-end'!$A$2:$A$11,0)))</f>
        <v>72.31</v>
      </c>
    </row>
    <row r="13">
      <c r="A13" s="2" t="inlineStr">
        <is>
          <t>FMG.AX</t>
        </is>
      </c>
      <c r="B13" s="2" t="inlineStr">
        <is>
          <t>Fortescue Ltd</t>
        </is>
      </c>
      <c r="C13" s="2" t="inlineStr">
        <is>
          <t>USD</t>
        </is>
      </c>
      <c r="D13" s="5">
        <f>IF('Year-end close'!D13="","",'Year-end close'!D13/IF('Year-end close'!$C13="GBp",100,1)/INDEX('FX year-end'!$B$2:$B$11,MATCH(IF('Year-end close'!$C13="GBp","GBP",'Year-end close'!$C13),'FX year-end'!$A$2:$A$11,0)))</f>
        <v>3.8036149931020504</v>
      </c>
      <c r="E13" s="5">
        <f>IF('Year-end close'!E13="","",'Year-end close'!E13/IF('Year-end close'!$C13="GBp",100,1)/INDEX('FX year-end'!$C$2:$C$11,MATCH(IF('Year-end close'!$C13="GBp","GBP",'Year-end close'!$C13),'FX year-end'!$A$2:$A$11,0)))</f>
        <v>2.9517435716801694</v>
      </c>
      <c r="F13" s="5">
        <f>IF('Year-end close'!F13="","",'Year-end close'!F13/IF('Year-end close'!$C13="GBp",100,1)/INDEX('FX year-end'!$D$2:$D$11,MATCH(IF('Year-end close'!$C13="GBp","GBP",'Year-end close'!$C13),'FX year-end'!$A$2:$A$11,0)))</f>
        <v>7.484495402181356</v>
      </c>
      <c r="G13" s="5">
        <f>IF('Year-end close'!G13="","",'Year-end close'!G13/IF('Year-end close'!$C13="GBp",100,1)/INDEX('FX year-end'!$E$2:$E$11,MATCH(IF('Year-end close'!$C13="GBp","GBP",'Year-end close'!$C13),'FX year-end'!$A$2:$A$11,0)))</f>
        <v>18.01600910412069</v>
      </c>
      <c r="H13" s="5">
        <f>IF('Year-end close'!H13="","",'Year-end close'!H13/IF('Year-end close'!$C13="GBp",100,1)/INDEX('FX year-end'!$F$2:$F$11,MATCH(IF('Year-end close'!$C13="GBp","GBP",'Year-end close'!$C13),'FX year-end'!$A$2:$A$11,0)))</f>
        <v>13.926869796454557</v>
      </c>
      <c r="I13" s="5">
        <f>IF('Year-end close'!I13="","",'Year-end close'!I13/IF('Year-end close'!$C13="GBp",100,1)/INDEX('FX year-end'!$G$2:$G$11,MATCH(IF('Year-end close'!$C13="GBp","GBP",'Year-end close'!$C13),'FX year-end'!$A$2:$A$11,0)))</f>
        <v>13.877067182326124</v>
      </c>
      <c r="J13" s="5">
        <f>IF('Year-end close'!J13="","",'Year-end close'!J13/IF('Year-end close'!$C13="GBp",100,1)/INDEX('FX year-end'!$H$2:$H$11,MATCH(IF('Year-end close'!$C13="GBp","GBP",'Year-end close'!$C13),'FX year-end'!$A$2:$A$11,0)))</f>
        <v>19.80992844670228</v>
      </c>
      <c r="K13" s="5">
        <f>IF('Year-end close'!K13="","",'Year-end close'!K13/IF('Year-end close'!$C13="GBp",100,1)/INDEX('FX year-end'!$I$2:$I$11,MATCH(IF('Year-end close'!$C13="GBp","GBP",'Year-end close'!$C13),'FX year-end'!$A$2:$A$11,0)))</f>
        <v>11.351500295139008</v>
      </c>
      <c r="L13" s="5">
        <f>IF('Year-end close'!L13="","",'Year-end close'!L13/IF('Year-end close'!$C13="GBp",100,1)/INDEX('FX year-end'!$J$2:$J$11,MATCH(IF('Year-end close'!$C13="GBp","GBP",'Year-end close'!$C13),'FX year-end'!$A$2:$A$11,0)))</f>
        <v>14.74229780245321</v>
      </c>
      <c r="M13" s="5">
        <f>IF('Year-end close'!M13="","",'Year-end close'!M13/IF('Year-end close'!$C13="GBp",100,1)/INDEX('FX year-end'!$K$2:$K$11,MATCH(IF('Year-end close'!$C13="GBp","GBP",'Year-end close'!$C13),'FX year-end'!$A$2:$A$11,0)))</f>
        <v>11.481273670921588</v>
      </c>
    </row>
    <row r="14">
      <c r="A14" s="2" t="inlineStr">
        <is>
          <t>FRES.L</t>
        </is>
      </c>
      <c r="B14" s="2" t="inlineStr">
        <is>
          <t>Fresnillo plc</t>
        </is>
      </c>
      <c r="C14" s="2" t="inlineStr">
        <is>
          <t>USD</t>
        </is>
      </c>
      <c r="D14" s="5">
        <f>IF('Year-end close'!D14="","",'Year-end close'!D14/IF('Year-end close'!$C14="GBp",100,1)/INDEX('FX year-end'!$B$2:$B$11,MATCH(IF('Year-end close'!$C14="GBp","GBP",'Year-end close'!$C14),'FX year-end'!$A$2:$A$11,0)))</f>
        <v>19.206989247311828</v>
      </c>
      <c r="E14" s="5">
        <f>IF('Year-end close'!E14="","",'Year-end close'!E14/IF('Year-end close'!$C14="GBp",100,1)/INDEX('FX year-end'!$C$2:$C$11,MATCH(IF('Year-end close'!$C14="GBp","GBP",'Year-end close'!$C14),'FX year-end'!$A$2:$A$11,0)))</f>
        <v>10.916476263010917</v>
      </c>
      <c r="F14" s="5">
        <f>IF('Year-end close'!F14="","",'Year-end close'!F14/IF('Year-end close'!$C14="GBp",100,1)/INDEX('FX year-end'!$D$2:$D$11,MATCH(IF('Year-end close'!$C14="GBp","GBP",'Year-end close'!$C14),'FX year-end'!$A$2:$A$11,0)))</f>
        <v>8.39496459480724</v>
      </c>
      <c r="G14" s="5">
        <f>IF('Year-end close'!G14="","",'Year-end close'!G14/IF('Year-end close'!$C14="GBp",100,1)/INDEX('FX year-end'!$E$2:$E$11,MATCH(IF('Year-end close'!$C14="GBp","GBP",'Year-end close'!$C14),'FX year-end'!$A$2:$A$11,0)))</f>
        <v>15.395834469221963</v>
      </c>
      <c r="H14" s="5">
        <f>IF('Year-end close'!H14="","",'Year-end close'!H14/IF('Year-end close'!$C14="GBp",100,1)/INDEX('FX year-end'!$F$2:$F$11,MATCH(IF('Year-end close'!$C14="GBp","GBP",'Year-end close'!$C14),'FX year-end'!$A$2:$A$11,0)))</f>
        <v>12.051347812588581</v>
      </c>
      <c r="I14" s="5">
        <f>IF('Year-end close'!I14="","",'Year-end close'!I14/IF('Year-end close'!$C14="GBp",100,1)/INDEX('FX year-end'!$G$2:$G$11,MATCH(IF('Year-end close'!$C14="GBp","GBP",'Year-end close'!$C14),'FX year-end'!$A$2:$A$11,0)))</f>
        <v>10.872395833333332</v>
      </c>
      <c r="J14" s="5">
        <f>IF('Year-end close'!J14="","",'Year-end close'!J14/IF('Year-end close'!$C14="GBp",100,1)/INDEX('FX year-end'!$H$2:$H$11,MATCH(IF('Year-end close'!$C14="GBp","GBP",'Year-end close'!$C14),'FX year-end'!$A$2:$A$11,0)))</f>
        <v>7.5690818795364825</v>
      </c>
      <c r="K14" s="5">
        <f>IF('Year-end close'!K14="","",'Year-end close'!K14/IF('Year-end close'!$C14="GBp",100,1)/INDEX('FX year-end'!$I$2:$I$11,MATCH(IF('Year-end close'!$C14="GBp","GBP",'Year-end close'!$C14),'FX year-end'!$A$2:$A$11,0)))</f>
        <v>7.79926462283685</v>
      </c>
      <c r="L14" s="5">
        <f>IF('Year-end close'!L14="","",'Year-end close'!L14/IF('Year-end close'!$C14="GBp",100,1)/INDEX('FX year-end'!$J$2:$J$11,MATCH(IF('Year-end close'!$C14="GBp","GBP",'Year-end close'!$C14),'FX year-end'!$A$2:$A$11,0)))</f>
        <v>44.89963571231374</v>
      </c>
      <c r="M14" s="5">
        <f>IF('Year-end close'!M14="","",'Year-end close'!M14/IF('Year-end close'!$C14="GBp",100,1)/INDEX('FX year-end'!$K$2:$K$11,MATCH(IF('Year-end close'!$C14="GBp","GBP",'Year-end close'!$C14),'FX year-end'!$A$2:$A$11,0)))</f>
        <v>38.24471323081809</v>
      </c>
    </row>
    <row r="15">
      <c r="A15" s="2" t="inlineStr">
        <is>
          <t>GLEN.L</t>
        </is>
      </c>
      <c r="B15" s="2" t="inlineStr">
        <is>
          <t>Glencore plc</t>
        </is>
      </c>
      <c r="C15" s="2" t="inlineStr">
        <is>
          <t>USD</t>
        </is>
      </c>
      <c r="D15" s="5">
        <f>IF('Year-end close'!D15="","",'Year-end close'!D15/IF('Year-end close'!$C15="GBp",100,1)/INDEX('FX year-end'!$B$2:$B$11,MATCH(IF('Year-end close'!$C15="GBp","GBP",'Year-end close'!$C15),'FX year-end'!$A$2:$A$11,0)))</f>
        <v>5.241935483870968</v>
      </c>
      <c r="E15" s="5">
        <f>IF('Year-end close'!E15="","",'Year-end close'!E15/IF('Year-end close'!$C15="GBp",100,1)/INDEX('FX year-end'!$C$2:$C$11,MATCH(IF('Year-end close'!$C15="GBp","GBP",'Year-end close'!$C15),'FX year-end'!$A$2:$A$11,0)))</f>
        <v>3.698273673521199</v>
      </c>
      <c r="F15" s="5">
        <f>IF('Year-end close'!F15="","",'Year-end close'!F15/IF('Year-end close'!$C15="GBp",100,1)/INDEX('FX year-end'!$D$2:$D$11,MATCH(IF('Year-end close'!$C15="GBp","GBP",'Year-end close'!$C15),'FX year-end'!$A$2:$A$11,0)))</f>
        <v>3.086152635719906</v>
      </c>
      <c r="G15" s="5">
        <f>IF('Year-end close'!G15="","",'Year-end close'!G15/IF('Year-end close'!$C15="GBp",100,1)/INDEX('FX year-end'!$E$2:$E$11,MATCH(IF('Year-end close'!$C15="GBp","GBP",'Year-end close'!$C15),'FX year-end'!$A$2:$A$11,0)))</f>
        <v>3.175944604983371</v>
      </c>
      <c r="H15" s="5">
        <f>IF('Year-end close'!H15="","",'Year-end close'!H15/IF('Year-end close'!$C15="GBp",100,1)/INDEX('FX year-end'!$F$2:$F$11,MATCH(IF('Year-end close'!$C15="GBp","GBP",'Year-end close'!$C15),'FX year-end'!$A$2:$A$11,0)))</f>
        <v>5.061215123577608</v>
      </c>
      <c r="I15" s="5">
        <f>IF('Year-end close'!I15="","",'Year-end close'!I15/IF('Year-end close'!$C15="GBp",100,1)/INDEX('FX year-end'!$G$2:$G$11,MATCH(IF('Year-end close'!$C15="GBp","GBP",'Year-end close'!$C15),'FX year-end'!$A$2:$A$11,0)))</f>
        <v>6.65991512345679</v>
      </c>
      <c r="J15" s="5">
        <f>IF('Year-end close'!J15="","",'Year-end close'!J15/IF('Year-end close'!$C15="GBp",100,1)/INDEX('FX year-end'!$H$2:$H$11,MATCH(IF('Year-end close'!$C15="GBp","GBP",'Year-end close'!$C15),'FX year-end'!$A$2:$A$11,0)))</f>
        <v>6.011715268050427</v>
      </c>
      <c r="K15" s="5">
        <f>IF('Year-end close'!K15="","",'Year-end close'!K15/IF('Year-end close'!$C15="GBp",100,1)/INDEX('FX year-end'!$I$2:$I$11,MATCH(IF('Year-end close'!$C15="GBp","GBP",'Year-end close'!$C15),'FX year-end'!$A$2:$A$11,0)))</f>
        <v>4.434851355930077</v>
      </c>
      <c r="L15" s="5">
        <f>IF('Year-end close'!L15="","",'Year-end close'!L15/IF('Year-end close'!$C15="GBp",100,1)/INDEX('FX year-end'!$J$2:$J$11,MATCH(IF('Year-end close'!$C15="GBp","GBP",'Year-end close'!$C15),'FX year-end'!$A$2:$A$11,0)))</f>
        <v>5.475089051841976</v>
      </c>
      <c r="M15" s="5">
        <f>IF('Year-end close'!M15="","",'Year-end close'!M15/IF('Year-end close'!$C15="GBp",100,1)/INDEX('FX year-end'!$K$2:$K$11,MATCH(IF('Year-end close'!$C15="GBp","GBP",'Year-end close'!$C15),'FX year-end'!$A$2:$A$11,0)))</f>
        <v>7.425297091284441</v>
      </c>
    </row>
    <row r="16">
      <c r="A16" s="2" t="inlineStr">
        <is>
          <t>GMEXICOB.MX</t>
        </is>
      </c>
      <c r="B16" s="2" t="inlineStr">
        <is>
          <t>Grupo Mexico SAB de CV</t>
        </is>
      </c>
      <c r="C16" s="2" t="inlineStr">
        <is>
          <t>USD</t>
        </is>
      </c>
      <c r="D16" s="5">
        <f>IF('Year-end close'!D16="","",'Year-end close'!D16/IF('Year-end close'!$C16="GBp",100,1)/INDEX('FX year-end'!$B$2:$B$11,MATCH(IF('Year-end close'!$C16="GBp","GBP",'Year-end close'!$C16),'FX year-end'!$A$2:$A$11,0)))</f>
        <v>3.302402038321295</v>
      </c>
      <c r="E16" s="5">
        <f>IF('Year-end close'!E16="","",'Year-end close'!E16/IF('Year-end close'!$C16="GBp",100,1)/INDEX('FX year-end'!$C$2:$C$11,MATCH(IF('Year-end close'!$C16="GBp","GBP",'Year-end close'!$C16),'FX year-end'!$A$2:$A$11,0)))</f>
        <v>2.0585002980346006</v>
      </c>
      <c r="F16" s="5">
        <f>IF('Year-end close'!F16="","",'Year-end close'!F16/IF('Year-end close'!$C16="GBp",100,1)/INDEX('FX year-end'!$D$2:$D$11,MATCH(IF('Year-end close'!$C16="GBp","GBP",'Year-end close'!$C16),'FX year-end'!$A$2:$A$11,0)))</f>
        <v>2.742933866167663</v>
      </c>
      <c r="G16" s="5">
        <f>IF('Year-end close'!G16="","",'Year-end close'!G16/IF('Year-end close'!$C16="GBp",100,1)/INDEX('FX year-end'!$E$2:$E$11,MATCH(IF('Year-end close'!$C16="GBp","GBP",'Year-end close'!$C16),'FX year-end'!$A$2:$A$11,0)))</f>
        <v>4.229069574529056</v>
      </c>
      <c r="H16" s="5">
        <f>IF('Year-end close'!H16="","",'Year-end close'!H16/IF('Year-end close'!$C16="GBp",100,1)/INDEX('FX year-end'!$F$2:$F$11,MATCH(IF('Year-end close'!$C16="GBp","GBP",'Year-end close'!$C16),'FX year-end'!$A$2:$A$11,0)))</f>
        <v>4.3643168876286405</v>
      </c>
      <c r="I16" s="5">
        <f>IF('Year-end close'!I16="","",'Year-end close'!I16/IF('Year-end close'!$C16="GBp",100,1)/INDEX('FX year-end'!$G$2:$G$11,MATCH(IF('Year-end close'!$C16="GBp","GBP",'Year-end close'!$C16),'FX year-end'!$A$2:$A$11,0)))</f>
        <v>3.5307540498314287</v>
      </c>
      <c r="J16" s="5">
        <f>IF('Year-end close'!J16="","",'Year-end close'!J16/IF('Year-end close'!$C16="GBp",100,1)/INDEX('FX year-end'!$H$2:$H$11,MATCH(IF('Year-end close'!$C16="GBp","GBP",'Year-end close'!$C16),'FX year-end'!$A$2:$A$11,0)))</f>
        <v>5.567747416112133</v>
      </c>
      <c r="K16" s="5">
        <f>IF('Year-end close'!K16="","",'Year-end close'!K16/IF('Year-end close'!$C16="GBp",100,1)/INDEX('FX year-end'!$I$2:$I$11,MATCH(IF('Year-end close'!$C16="GBp","GBP",'Year-end close'!$C16),'FX year-end'!$A$2:$A$11,0)))</f>
        <v>4.8118959684376845</v>
      </c>
      <c r="L16" s="5">
        <f>IF('Year-end close'!L16="","",'Year-end close'!L16/IF('Year-end close'!$C16="GBp",100,1)/INDEX('FX year-end'!$J$2:$J$11,MATCH(IF('Year-end close'!$C16="GBp","GBP",'Year-end close'!$C16),'FX year-end'!$A$2:$A$11,0)))</f>
        <v>9.466710792711416</v>
      </c>
      <c r="M16" s="5">
        <f>IF('Year-end close'!M16="","",'Year-end close'!M16/IF('Year-end close'!$C16="GBp",100,1)/INDEX('FX year-end'!$K$2:$K$11,MATCH(IF('Year-end close'!$C16="GBp","GBP",'Year-end close'!$C16),'FX year-end'!$A$2:$A$11,0)))</f>
        <v>12.63837586352742</v>
      </c>
    </row>
    <row r="17">
      <c r="A17" s="2" t="inlineStr">
        <is>
          <t>INCO.JK</t>
        </is>
      </c>
      <c r="B17" s="2" t="inlineStr">
        <is>
          <t>PT Vale Indonesia Tbk</t>
        </is>
      </c>
      <c r="C17" s="2" t="inlineStr">
        <is>
          <t>USD</t>
        </is>
      </c>
      <c r="D17" s="5">
        <f>IF('Year-end close'!D17="","",'Year-end close'!D17/IF('Year-end close'!$C17="GBp",100,1)/INDEX('FX year-end'!$B$2:$B$11,MATCH(IF('Year-end close'!$C17="GBp","GBP",'Year-end close'!$C17),'FX year-end'!$A$2:$A$11,0)))</f>
        <v>0.21315828293258593</v>
      </c>
      <c r="E17" s="5">
        <f>IF('Year-end close'!E17="","",'Year-end close'!E17/IF('Year-end close'!$C17="GBp",100,1)/INDEX('FX year-end'!$C$2:$C$11,MATCH(IF('Year-end close'!$C17="GBp","GBP",'Year-end close'!$C17),'FX year-end'!$A$2:$A$11,0)))</f>
        <v>0.22400879543736688</v>
      </c>
      <c r="F17" s="5">
        <f>IF('Year-end close'!F17="","",'Year-end close'!F17/IF('Year-end close'!$C17="GBp",100,1)/INDEX('FX year-end'!$D$2:$D$11,MATCH(IF('Year-end close'!$C17="GBp","GBP",'Year-end close'!$C17),'FX year-end'!$A$2:$A$11,0)))</f>
        <v>0.26151303972986567</v>
      </c>
      <c r="G17" s="5">
        <f>IF('Year-end close'!G17="","",'Year-end close'!G17/IF('Year-end close'!$C17="GBp",100,1)/INDEX('FX year-end'!$E$2:$E$11,MATCH(IF('Year-end close'!$C17="GBp","GBP",'Year-end close'!$C17),'FX year-end'!$A$2:$A$11,0)))</f>
        <v>0.3686953216569448</v>
      </c>
      <c r="H17" s="5">
        <f>IF('Year-end close'!H17="","",'Year-end close'!H17/IF('Year-end close'!$C17="GBp",100,1)/INDEX('FX year-end'!$F$2:$F$11,MATCH(IF('Year-end close'!$C17="GBp","GBP",'Year-end close'!$C17),'FX year-end'!$A$2:$A$11,0)))</f>
        <v>0.32761178955252296</v>
      </c>
      <c r="I17" s="5">
        <f>IF('Year-end close'!I17="","",'Year-end close'!I17/IF('Year-end close'!$C17="GBp",100,1)/INDEX('FX year-end'!$G$2:$G$11,MATCH(IF('Year-end close'!$C17="GBp","GBP",'Year-end close'!$C17),'FX year-end'!$A$2:$A$11,0)))</f>
        <v>0.45454545454545453</v>
      </c>
      <c r="J17" s="5">
        <f>IF('Year-end close'!J17="","",'Year-end close'!J17/IF('Year-end close'!$C17="GBp",100,1)/INDEX('FX year-end'!$H$2:$H$11,MATCH(IF('Year-end close'!$C17="GBp","GBP",'Year-end close'!$C17),'FX year-end'!$A$2:$A$11,0)))</f>
        <v>0.2794165316045381</v>
      </c>
      <c r="K17" s="5">
        <f>IF('Year-end close'!K17="","",'Year-end close'!K17/IF('Year-end close'!$C17="GBp",100,1)/INDEX('FX year-end'!$I$2:$I$11,MATCH(IF('Year-end close'!$C17="GBp","GBP",'Year-end close'!$C17),'FX year-end'!$A$2:$A$11,0)))</f>
        <v>0.2250460093495418</v>
      </c>
      <c r="L17" s="5">
        <f>IF('Year-end close'!L17="","",'Year-end close'!L17/IF('Year-end close'!$C17="GBp",100,1)/INDEX('FX year-end'!$J$2:$J$11,MATCH(IF('Year-end close'!$C17="GBp","GBP",'Year-end close'!$C17),'FX year-end'!$A$2:$A$11,0)))</f>
        <v>0.30971332814650787</v>
      </c>
      <c r="M17" s="5">
        <f>IF('Year-end close'!M17="","",'Year-end close'!M17/IF('Year-end close'!$C17="GBp",100,1)/INDEX('FX year-end'!$K$2:$K$11,MATCH(IF('Year-end close'!$C17="GBp","GBP",'Year-end close'!$C17),'FX year-end'!$A$2:$A$11,0)))</f>
        <v>0.26127735596248325</v>
      </c>
    </row>
    <row r="18">
      <c r="A18" s="2" t="inlineStr">
        <is>
          <t>LUN.TO</t>
        </is>
      </c>
      <c r="B18" s="2" t="inlineStr">
        <is>
          <t>Lundin Mining Corp</t>
        </is>
      </c>
      <c r="C18" s="2" t="inlineStr">
        <is>
          <t>USD</t>
        </is>
      </c>
      <c r="D18" s="5">
        <f>IF('Year-end close'!D18="","",'Year-end close'!D18/IF('Year-end close'!$C18="GBp",100,1)/INDEX('FX year-end'!$B$2:$B$11,MATCH(IF('Year-end close'!$C18="GBp","GBP",'Year-end close'!$C18),'FX year-end'!$A$2:$A$11,0)))</f>
        <v>6.653137559189845</v>
      </c>
      <c r="E18" s="5">
        <f>IF('Year-end close'!E18="","",'Year-end close'!E18/IF('Year-end close'!$C18="GBp",100,1)/INDEX('FX year-end'!$C$2:$C$11,MATCH(IF('Year-end close'!$C18="GBp","GBP",'Year-end close'!$C18),'FX year-end'!$A$2:$A$11,0)))</f>
        <v>4.1403611804434</v>
      </c>
      <c r="F18" s="5">
        <f>IF('Year-end close'!F18="","",'Year-end close'!F18/IF('Year-end close'!$C18="GBp",100,1)/INDEX('FX year-end'!$D$2:$D$11,MATCH(IF('Year-end close'!$C18="GBp","GBP",'Year-end close'!$C18),'FX year-end'!$A$2:$A$11,0)))</f>
        <v>5.94153407959818</v>
      </c>
      <c r="G18" s="5">
        <f>IF('Year-end close'!G18="","",'Year-end close'!G18/IF('Year-end close'!$C18="GBp",100,1)/INDEX('FX year-end'!$E$2:$E$11,MATCH(IF('Year-end close'!$C18="GBp","GBP",'Year-end close'!$C18),'FX year-end'!$A$2:$A$11,0)))</f>
        <v>8.862258542668247</v>
      </c>
      <c r="H18" s="5">
        <f>IF('Year-end close'!H18="","",'Year-end close'!H18/IF('Year-end close'!$C18="GBp",100,1)/INDEX('FX year-end'!$F$2:$F$11,MATCH(IF('Year-end close'!$C18="GBp","GBP",'Year-end close'!$C18),'FX year-end'!$A$2:$A$11,0)))</f>
        <v>7.752424594331629</v>
      </c>
      <c r="I18" s="5">
        <f>IF('Year-end close'!I18="","",'Year-end close'!I18/IF('Year-end close'!$C18="GBp",100,1)/INDEX('FX year-end'!$G$2:$G$11,MATCH(IF('Year-end close'!$C18="GBp","GBP",'Year-end close'!$C18),'FX year-end'!$A$2:$A$11,0)))</f>
        <v>6.13193624557261</v>
      </c>
      <c r="J18" s="5">
        <f>IF('Year-end close'!J18="","",'Year-end close'!J18/IF('Year-end close'!$C18="GBp",100,1)/INDEX('FX year-end'!$H$2:$H$11,MATCH(IF('Year-end close'!$C18="GBp","GBP",'Year-end close'!$C18),'FX year-end'!$A$2:$A$11,0)))</f>
        <v>8.193747354417367</v>
      </c>
      <c r="K18" s="5">
        <f>IF('Year-end close'!K18="","",'Year-end close'!K18/IF('Year-end close'!$C18="GBp",100,1)/INDEX('FX year-end'!$I$2:$I$11,MATCH(IF('Year-end close'!$C18="GBp","GBP",'Year-end close'!$C18),'FX year-end'!$A$2:$A$11,0)))</f>
        <v>8.62032920319447</v>
      </c>
      <c r="L18" s="5">
        <f>IF('Year-end close'!L18="","",'Year-end close'!L18/IF('Year-end close'!$C18="GBp",100,1)/INDEX('FX year-end'!$J$2:$J$11,MATCH(IF('Year-end close'!$C18="GBp","GBP",'Year-end close'!$C18),'FX year-end'!$A$2:$A$11,0)))</f>
        <v>21.54118016458922</v>
      </c>
      <c r="M18" s="5">
        <f>IF('Year-end close'!M18="","",'Year-end close'!M18/IF('Year-end close'!$C18="GBp",100,1)/INDEX('FX year-end'!$K$2:$K$11,MATCH(IF('Year-end close'!$C18="GBp","GBP",'Year-end close'!$C18),'FX year-end'!$A$2:$A$11,0)))</f>
        <v>24.75583864118896</v>
      </c>
    </row>
    <row r="19">
      <c r="A19" s="2" t="inlineStr">
        <is>
          <t>MIN.AX</t>
        </is>
      </c>
      <c r="B19" s="2" t="inlineStr">
        <is>
          <t>Mineral Resources Ltd</t>
        </is>
      </c>
      <c r="C19" s="2" t="inlineStr">
        <is>
          <t>USD</t>
        </is>
      </c>
      <c r="D19" s="5">
        <f>IF('Year-end close'!D19="","",'Year-end close'!D19/IF('Year-end close'!$C19="GBp",100,1)/INDEX('FX year-end'!$B$2:$B$11,MATCH(IF('Year-end close'!$C19="GBp","GBP",'Year-end close'!$C19),'FX year-end'!$A$2:$A$11,0)))</f>
        <v>16.477135441429784</v>
      </c>
      <c r="E19" s="5">
        <f>IF('Year-end close'!E19="","",'Year-end close'!E19/IF('Year-end close'!$C19="GBp",100,1)/INDEX('FX year-end'!$C$2:$C$11,MATCH(IF('Year-end close'!$C19="GBp","GBP",'Year-end close'!$C19),'FX year-end'!$A$2:$A$11,0)))</f>
        <v>10.898203592814372</v>
      </c>
      <c r="F19" s="5">
        <f>IF('Year-end close'!F19="","",'Year-end close'!F19/IF('Year-end close'!$C19="GBp",100,1)/INDEX('FX year-end'!$D$2:$D$11,MATCH(IF('Year-end close'!$C19="GBp","GBP",'Year-end close'!$C19),'FX year-end'!$A$2:$A$11,0)))</f>
        <v>11.552308151168605</v>
      </c>
      <c r="G19" s="5">
        <f>IF('Year-end close'!G19="","",'Year-end close'!G19/IF('Year-end close'!$C19="GBp",100,1)/INDEX('FX year-end'!$E$2:$E$11,MATCH(IF('Year-end close'!$C19="GBp","GBP",'Year-end close'!$C19),'FX year-end'!$A$2:$A$11,0)))</f>
        <v>28.796395260320953</v>
      </c>
      <c r="H19" s="5">
        <f>IF('Year-end close'!H19="","",'Year-end close'!H19/IF('Year-end close'!$C19="GBp",100,1)/INDEX('FX year-end'!$F$2:$F$11,MATCH(IF('Year-end close'!$C19="GBp","GBP",'Year-end close'!$C19),'FX year-end'!$A$2:$A$11,0)))</f>
        <v>40.59889165025795</v>
      </c>
      <c r="I19" s="5">
        <f>IF('Year-end close'!I19="","",'Year-end close'!I19/IF('Year-end close'!$C19="GBp",100,1)/INDEX('FX year-end'!$G$2:$G$11,MATCH(IF('Year-end close'!$C19="GBp","GBP",'Year-end close'!$C19),'FX year-end'!$A$2:$A$11,0)))</f>
        <v>52.23352445029629</v>
      </c>
      <c r="J19" s="5">
        <f>IF('Year-end close'!J19="","",'Year-end close'!J19/IF('Year-end close'!$C19="GBp",100,1)/INDEX('FX year-end'!$H$2:$H$11,MATCH(IF('Year-end close'!$C19="GBp","GBP",'Year-end close'!$C19),'FX year-end'!$A$2:$A$11,0)))</f>
        <v>47.78411410300343</v>
      </c>
      <c r="K19" s="5">
        <f>IF('Year-end close'!K19="","",'Year-end close'!K19/IF('Year-end close'!$C19="GBp",100,1)/INDEX('FX year-end'!$I$2:$I$11,MATCH(IF('Year-end close'!$C19="GBp","GBP",'Year-end close'!$C19),'FX year-end'!$A$2:$A$11,0)))</f>
        <v>21.303500553891013</v>
      </c>
      <c r="L19" s="5">
        <f>IF('Year-end close'!L19="","",'Year-end close'!L19/IF('Year-end close'!$C19="GBp",100,1)/INDEX('FX year-end'!$J$2:$J$11,MATCH(IF('Year-end close'!$C19="GBp","GBP",'Year-end close'!$C19),'FX year-end'!$A$2:$A$11,0)))</f>
        <v>36.423723511922105</v>
      </c>
      <c r="M19" s="5">
        <f>IF('Year-end close'!M19="","",'Year-end close'!M19/IF('Year-end close'!$C19="GBp",100,1)/INDEX('FX year-end'!$K$2:$K$11,MATCH(IF('Year-end close'!$C19="GBp","GBP",'Year-end close'!$C19),'FX year-end'!$A$2:$A$11,0)))</f>
        <v>36.758311123579745</v>
      </c>
    </row>
    <row r="20">
      <c r="A20" s="2" t="inlineStr">
        <is>
          <t>MT</t>
        </is>
      </c>
      <c r="B20" s="2" t="inlineStr">
        <is>
          <t>ArcelorMittal SA</t>
        </is>
      </c>
      <c r="C20" s="2" t="inlineStr">
        <is>
          <t>USD</t>
        </is>
      </c>
      <c r="D20" s="5">
        <f>IF('Year-end close'!D20="","",'Year-end close'!D20/IF('Year-end close'!$C20="GBp",100,1)/INDEX('FX year-end'!$B$2:$B$11,MATCH(IF('Year-end close'!$C20="GBp","GBP",'Year-end close'!$C20),'FX year-end'!$A$2:$A$11,0)))</f>
        <v>32.31</v>
      </c>
      <c r="E20" s="5">
        <f>IF('Year-end close'!E20="","",'Year-end close'!E20/IF('Year-end close'!$C20="GBp",100,1)/INDEX('FX year-end'!$C$2:$C$11,MATCH(IF('Year-end close'!$C20="GBp","GBP",'Year-end close'!$C20),'FX year-end'!$A$2:$A$11,0)))</f>
        <v>20.67</v>
      </c>
      <c r="F20" s="5">
        <f>IF('Year-end close'!F20="","",'Year-end close'!F20/IF('Year-end close'!$C20="GBp",100,1)/INDEX('FX year-end'!$D$2:$D$11,MATCH(IF('Year-end close'!$C20="GBp","GBP",'Year-end close'!$C20),'FX year-end'!$A$2:$A$11,0)))</f>
        <v>17.54</v>
      </c>
      <c r="G20" s="5">
        <f>IF('Year-end close'!G20="","",'Year-end close'!G20/IF('Year-end close'!$C20="GBp",100,1)/INDEX('FX year-end'!$E$2:$E$11,MATCH(IF('Year-end close'!$C20="GBp","GBP",'Year-end close'!$C20),'FX year-end'!$A$2:$A$11,0)))</f>
        <v>22.9</v>
      </c>
      <c r="H20" s="5">
        <f>IF('Year-end close'!H20="","",'Year-end close'!H20/IF('Year-end close'!$C20="GBp",100,1)/INDEX('FX year-end'!$F$2:$F$11,MATCH(IF('Year-end close'!$C20="GBp","GBP",'Year-end close'!$C20),'FX year-end'!$A$2:$A$11,0)))</f>
        <v>31.83</v>
      </c>
      <c r="I20" s="5">
        <f>IF('Year-end close'!I20="","",'Year-end close'!I20/IF('Year-end close'!$C20="GBp",100,1)/INDEX('FX year-end'!$G$2:$G$11,MATCH(IF('Year-end close'!$C20="GBp","GBP",'Year-end close'!$C20),'FX year-end'!$A$2:$A$11,0)))</f>
        <v>26.22</v>
      </c>
      <c r="J20" s="5">
        <f>IF('Year-end close'!J20="","",'Year-end close'!J20/IF('Year-end close'!$C20="GBp",100,1)/INDEX('FX year-end'!$H$2:$H$11,MATCH(IF('Year-end close'!$C20="GBp","GBP",'Year-end close'!$C20),'FX year-end'!$A$2:$A$11,0)))</f>
        <v>28.39</v>
      </c>
      <c r="K20" s="5">
        <f>IF('Year-end close'!K20="","",'Year-end close'!K20/IF('Year-end close'!$C20="GBp",100,1)/INDEX('FX year-end'!$I$2:$I$11,MATCH(IF('Year-end close'!$C20="GBp","GBP",'Year-end close'!$C20),'FX year-end'!$A$2:$A$11,0)))</f>
        <v>23.13</v>
      </c>
      <c r="L20" s="5">
        <f>IF('Year-end close'!L20="","",'Year-end close'!L20/IF('Year-end close'!$C20="GBp",100,1)/INDEX('FX year-end'!$J$2:$J$11,MATCH(IF('Year-end close'!$C20="GBp","GBP",'Year-end close'!$C20),'FX year-end'!$A$2:$A$11,0)))</f>
        <v>45.57</v>
      </c>
      <c r="M20" s="5">
        <f>IF('Year-end close'!M20="","",'Year-end close'!M20/IF('Year-end close'!$C20="GBp",100,1)/INDEX('FX year-end'!$K$2:$K$11,MATCH(IF('Year-end close'!$C20="GBp","GBP",'Year-end close'!$C20),'FX year-end'!$A$2:$A$11,0)))</f>
        <v>70.7</v>
      </c>
    </row>
    <row r="21">
      <c r="A21" s="2" t="inlineStr">
        <is>
          <t>NEM</t>
        </is>
      </c>
      <c r="B21" s="2" t="inlineStr">
        <is>
          <t>Newmont Corp</t>
        </is>
      </c>
      <c r="C21" s="2" t="inlineStr">
        <is>
          <t>USD</t>
        </is>
      </c>
      <c r="D21" s="5">
        <f>IF('Year-end close'!D21="","",'Year-end close'!D21/IF('Year-end close'!$C21="GBp",100,1)/INDEX('FX year-end'!$B$2:$B$11,MATCH(IF('Year-end close'!$C21="GBp","GBP",'Year-end close'!$C21),'FX year-end'!$A$2:$A$11,0)))</f>
        <v>37.52</v>
      </c>
      <c r="E21" s="5">
        <f>IF('Year-end close'!E21="","",'Year-end close'!E21/IF('Year-end close'!$C21="GBp",100,1)/INDEX('FX year-end'!$C$2:$C$11,MATCH(IF('Year-end close'!$C21="GBp","GBP",'Year-end close'!$C21),'FX year-end'!$A$2:$A$11,0)))</f>
        <v>34.65</v>
      </c>
      <c r="F21" s="5">
        <f>IF('Year-end close'!F21="","",'Year-end close'!F21/IF('Year-end close'!$C21="GBp",100,1)/INDEX('FX year-end'!$D$2:$D$11,MATCH(IF('Year-end close'!$C21="GBp","GBP",'Year-end close'!$C21),'FX year-end'!$A$2:$A$11,0)))</f>
        <v>43.45</v>
      </c>
      <c r="G21" s="5">
        <f>IF('Year-end close'!G21="","",'Year-end close'!G21/IF('Year-end close'!$C21="GBp",100,1)/INDEX('FX year-end'!$E$2:$E$11,MATCH(IF('Year-end close'!$C21="GBp","GBP",'Year-end close'!$C21),'FX year-end'!$A$2:$A$11,0)))</f>
        <v>59.89</v>
      </c>
      <c r="H21" s="5">
        <f>IF('Year-end close'!H21="","",'Year-end close'!H21/IF('Year-end close'!$C21="GBp",100,1)/INDEX('FX year-end'!$F$2:$F$11,MATCH(IF('Year-end close'!$C21="GBp","GBP",'Year-end close'!$C21),'FX year-end'!$A$2:$A$11,0)))</f>
        <v>62.02</v>
      </c>
      <c r="I21" s="5">
        <f>IF('Year-end close'!I21="","",'Year-end close'!I21/IF('Year-end close'!$C21="GBp",100,1)/INDEX('FX year-end'!$G$2:$G$11,MATCH(IF('Year-end close'!$C21="GBp","GBP",'Year-end close'!$C21),'FX year-end'!$A$2:$A$11,0)))</f>
        <v>47.2</v>
      </c>
      <c r="J21" s="5">
        <f>IF('Year-end close'!J21="","",'Year-end close'!J21/IF('Year-end close'!$C21="GBp",100,1)/INDEX('FX year-end'!$H$2:$H$11,MATCH(IF('Year-end close'!$C21="GBp","GBP",'Year-end close'!$C21),'FX year-end'!$A$2:$A$11,0)))</f>
        <v>41.39</v>
      </c>
      <c r="K21" s="5">
        <f>IF('Year-end close'!K21="","",'Year-end close'!K21/IF('Year-end close'!$C21="GBp",100,1)/INDEX('FX year-end'!$I$2:$I$11,MATCH(IF('Year-end close'!$C21="GBp","GBP",'Year-end close'!$C21),'FX year-end'!$A$2:$A$11,0)))</f>
        <v>37.22</v>
      </c>
      <c r="L21" s="5">
        <f>IF('Year-end close'!L21="","",'Year-end close'!L21/IF('Year-end close'!$C21="GBp",100,1)/INDEX('FX year-end'!$J$2:$J$11,MATCH(IF('Year-end close'!$C21="GBp","GBP",'Year-end close'!$C21),'FX year-end'!$A$2:$A$11,0)))</f>
        <v>99.85</v>
      </c>
      <c r="M21" s="5">
        <f>IF('Year-end close'!M21="","",'Year-end close'!M21/IF('Year-end close'!$C21="GBp",100,1)/INDEX('FX year-end'!$K$2:$K$11,MATCH(IF('Year-end close'!$C21="GBp","GBP",'Year-end close'!$C21),'FX year-end'!$A$2:$A$11,0)))</f>
        <v>121.43</v>
      </c>
    </row>
    <row r="22">
      <c r="A22" s="2" t="inlineStr">
        <is>
          <t>NEXA</t>
        </is>
      </c>
      <c r="B22" s="2" t="inlineStr">
        <is>
          <t>Nexa Resources SA</t>
        </is>
      </c>
      <c r="C22" s="2" t="inlineStr">
        <is>
          <t>USD</t>
        </is>
      </c>
      <c r="D22" s="5">
        <f>IF('Year-end close'!D22="","",'Year-end close'!D22/IF('Year-end close'!$C22="GBp",100,1)/INDEX('FX year-end'!$B$2:$B$11,MATCH(IF('Year-end close'!$C22="GBp","GBP",'Year-end close'!$C22),'FX year-end'!$A$2:$A$11,0)))</f>
        <v>19.61</v>
      </c>
      <c r="E22" s="5">
        <f>IF('Year-end close'!E22="","",'Year-end close'!E22/IF('Year-end close'!$C22="GBp",100,1)/INDEX('FX year-end'!$C$2:$C$11,MATCH(IF('Year-end close'!$C22="GBp","GBP",'Year-end close'!$C22),'FX year-end'!$A$2:$A$11,0)))</f>
        <v>11.9</v>
      </c>
      <c r="F22" s="5">
        <f>IF('Year-end close'!F22="","",'Year-end close'!F22/IF('Year-end close'!$C22="GBp",100,1)/INDEX('FX year-end'!$D$2:$D$11,MATCH(IF('Year-end close'!$C22="GBp","GBP",'Year-end close'!$C22),'FX year-end'!$A$2:$A$11,0)))</f>
        <v>8.14</v>
      </c>
      <c r="G22" s="5">
        <f>IF('Year-end close'!G22="","",'Year-end close'!G22/IF('Year-end close'!$C22="GBp",100,1)/INDEX('FX year-end'!$E$2:$E$11,MATCH(IF('Year-end close'!$C22="GBp","GBP",'Year-end close'!$C22),'FX year-end'!$A$2:$A$11,0)))</f>
        <v>9.64</v>
      </c>
      <c r="H22" s="5">
        <f>IF('Year-end close'!H22="","",'Year-end close'!H22/IF('Year-end close'!$C22="GBp",100,1)/INDEX('FX year-end'!$F$2:$F$11,MATCH(IF('Year-end close'!$C22="GBp","GBP",'Year-end close'!$C22),'FX year-end'!$A$2:$A$11,0)))</f>
        <v>7.86</v>
      </c>
      <c r="I22" s="5">
        <f>IF('Year-end close'!I22="","",'Year-end close'!I22/IF('Year-end close'!$C22="GBp",100,1)/INDEX('FX year-end'!$G$2:$G$11,MATCH(IF('Year-end close'!$C22="GBp","GBP",'Year-end close'!$C22),'FX year-end'!$A$2:$A$11,0)))</f>
        <v>6.03</v>
      </c>
      <c r="J22" s="5">
        <f>IF('Year-end close'!J22="","",'Year-end close'!J22/IF('Year-end close'!$C22="GBp",100,1)/INDEX('FX year-end'!$H$2:$H$11,MATCH(IF('Year-end close'!$C22="GBp","GBP",'Year-end close'!$C22),'FX year-end'!$A$2:$A$11,0)))</f>
        <v>7.14</v>
      </c>
      <c r="K22" s="5">
        <f>IF('Year-end close'!K22="","",'Year-end close'!K22/IF('Year-end close'!$C22="GBp",100,1)/INDEX('FX year-end'!$I$2:$I$11,MATCH(IF('Year-end close'!$C22="GBp","GBP",'Year-end close'!$C22),'FX year-end'!$A$2:$A$11,0)))</f>
        <v>8.8</v>
      </c>
      <c r="L22" s="5">
        <f>IF('Year-end close'!L22="","",'Year-end close'!L22/IF('Year-end close'!$C22="GBp",100,1)/INDEX('FX year-end'!$J$2:$J$11,MATCH(IF('Year-end close'!$C22="GBp","GBP",'Year-end close'!$C22),'FX year-end'!$A$2:$A$11,0)))</f>
        <v>8.85</v>
      </c>
      <c r="M22" s="5">
        <f>IF('Year-end close'!M22="","",'Year-end close'!M22/IF('Year-end close'!$C22="GBp",100,1)/INDEX('FX year-end'!$K$2:$K$11,MATCH(IF('Year-end close'!$C22="GBp","GBP",'Year-end close'!$C22),'FX year-end'!$A$2:$A$11,0)))</f>
        <v>12.44</v>
      </c>
    </row>
    <row r="23">
      <c r="A23" s="2" t="inlineStr">
        <is>
          <t>NST.AX</t>
        </is>
      </c>
      <c r="B23" s="2" t="inlineStr">
        <is>
          <t>Northern Star Resources Ltd</t>
        </is>
      </c>
      <c r="C23" s="2" t="inlineStr">
        <is>
          <t>USD</t>
        </is>
      </c>
      <c r="D23" s="5">
        <f>IF('Year-end close'!D23="","",'Year-end close'!D23/IF('Year-end close'!$C23="GBp",100,1)/INDEX('FX year-end'!$B$2:$B$11,MATCH(IF('Year-end close'!$C23="GBp","GBP",'Year-end close'!$C23),'FX year-end'!$A$2:$A$11,0)))</f>
        <v>4.754518741377563</v>
      </c>
      <c r="E23" s="5">
        <f>IF('Year-end close'!E23="","",'Year-end close'!E23/IF('Year-end close'!$C23="GBp",100,1)/INDEX('FX year-end'!$C$2:$C$11,MATCH(IF('Year-end close'!$C23="GBp","GBP",'Year-end close'!$C23),'FX year-end'!$A$2:$A$11,0)))</f>
        <v>6.509334272631208</v>
      </c>
      <c r="F23" s="5">
        <f>IF('Year-end close'!F23="","",'Year-end close'!F23/IF('Year-end close'!$C23="GBp",100,1)/INDEX('FX year-end'!$D$2:$D$11,MATCH(IF('Year-end close'!$C23="GBp","GBP",'Year-end close'!$C23),'FX year-end'!$A$2:$A$11,0)))</f>
        <v>7.9185821327101165</v>
      </c>
      <c r="G23" s="5">
        <f>IF('Year-end close'!G23="","",'Year-end close'!G23/IF('Year-end close'!$C23="GBp",100,1)/INDEX('FX year-end'!$E$2:$E$11,MATCH(IF('Year-end close'!$C23="GBp","GBP",'Year-end close'!$C23),'FX year-end'!$A$2:$A$11,0)))</f>
        <v>9.757710436674842</v>
      </c>
      <c r="H23" s="5">
        <f>IF('Year-end close'!H23="","",'Year-end close'!H23/IF('Year-end close'!$C23="GBp",100,1)/INDEX('FX year-end'!$F$2:$F$11,MATCH(IF('Year-end close'!$C23="GBp","GBP",'Year-end close'!$C23),'FX year-end'!$A$2:$A$11,0)))</f>
        <v>6.822063757659416</v>
      </c>
      <c r="I23" s="5">
        <f>IF('Year-end close'!I23="","",'Year-end close'!I23/IF('Year-end close'!$C23="GBp",100,1)/INDEX('FX year-end'!$G$2:$G$11,MATCH(IF('Year-end close'!$C23="GBp","GBP",'Year-end close'!$C23),'FX year-end'!$A$2:$A$11,0)))</f>
        <v>7.381706628921405</v>
      </c>
      <c r="J23" s="5">
        <f>IF('Year-end close'!J23="","",'Year-end close'!J23/IF('Year-end close'!$C23="GBp",100,1)/INDEX('FX year-end'!$H$2:$H$11,MATCH(IF('Year-end close'!$C23="GBp","GBP",'Year-end close'!$C23),'FX year-end'!$A$2:$A$11,0)))</f>
        <v>9.31790225008567</v>
      </c>
      <c r="K23" s="5">
        <f>IF('Year-end close'!K23="","",'Year-end close'!K23/IF('Year-end close'!$C23="GBp",100,1)/INDEX('FX year-end'!$I$2:$I$11,MATCH(IF('Year-end close'!$C23="GBp","GBP",'Year-end close'!$C23),'FX year-end'!$A$2:$A$11,0)))</f>
        <v>9.603680249695685</v>
      </c>
      <c r="L23" s="5">
        <f>IF('Year-end close'!L23="","",'Year-end close'!L23/IF('Year-end close'!$C23="GBp",100,1)/INDEX('FX year-end'!$J$2:$J$11,MATCH(IF('Year-end close'!$C23="GBp","GBP",'Year-end close'!$C23),'FX year-end'!$A$2:$A$11,0)))</f>
        <v>17.9037537600897</v>
      </c>
      <c r="M23" s="5">
        <f>IF('Year-end close'!M23="","",'Year-end close'!M23/IF('Year-end close'!$C23="GBp",100,1)/INDEX('FX year-end'!$K$2:$K$11,MATCH(IF('Year-end close'!$C23="GBp","GBP",'Year-end close'!$C23),'FX year-end'!$A$2:$A$11,0)))</f>
        <v>15.507083742460374</v>
      </c>
    </row>
    <row r="24">
      <c r="A24" s="2" t="inlineStr">
        <is>
          <t>RIO.L</t>
        </is>
      </c>
      <c r="B24" s="2" t="inlineStr">
        <is>
          <t>Rio Tinto plc</t>
        </is>
      </c>
      <c r="C24" s="2" t="inlineStr">
        <is>
          <t>USD</t>
        </is>
      </c>
      <c r="D24" s="5">
        <f>IF('Year-end close'!D24="","",'Year-end close'!D24/IF('Year-end close'!$C24="GBp",100,1)/INDEX('FX year-end'!$B$2:$B$11,MATCH(IF('Year-end close'!$C24="GBp","GBP",'Year-end close'!$C24),'FX year-end'!$A$2:$A$11,0)))</f>
        <v>52.983870967741936</v>
      </c>
      <c r="E24" s="5">
        <f>IF('Year-end close'!E24="","",'Year-end close'!E24/IF('Year-end close'!$C24="GBp",100,1)/INDEX('FX year-end'!$C$2:$C$11,MATCH(IF('Year-end close'!$C24="GBp","GBP",'Year-end close'!$C24),'FX year-end'!$A$2:$A$11,0)))</f>
        <v>47.347042396547344</v>
      </c>
      <c r="F24" s="5">
        <f>IF('Year-end close'!F24="","",'Year-end close'!F24/IF('Year-end close'!$C24="GBp",100,1)/INDEX('FX year-end'!$D$2:$D$11,MATCH(IF('Year-end close'!$C24="GBp","GBP",'Year-end close'!$C24),'FX year-end'!$A$2:$A$11,0)))</f>
        <v>59.047993705743515</v>
      </c>
      <c r="G24" s="5">
        <f>IF('Year-end close'!G24="","",'Year-end close'!G24/IF('Year-end close'!$C24="GBp",100,1)/INDEX('FX year-end'!$E$2:$E$11,MATCH(IF('Year-end close'!$C24="GBp","GBP",'Year-end close'!$C24),'FX year-end'!$A$2:$A$11,0)))</f>
        <v>74.55972956763536</v>
      </c>
      <c r="H24" s="5">
        <f>IF('Year-end close'!H24="","",'Year-end close'!H24/IF('Year-end close'!$C24="GBp",100,1)/INDEX('FX year-end'!$F$2:$F$11,MATCH(IF('Year-end close'!$C24="GBp","GBP",'Year-end close'!$C24),'FX year-end'!$A$2:$A$11,0)))</f>
        <v>66.03404289783082</v>
      </c>
      <c r="I24" s="5">
        <f>IF('Year-end close'!I24="","",'Year-end close'!I24/IF('Year-end close'!$C24="GBp",100,1)/INDEX('FX year-end'!$G$2:$G$11,MATCH(IF('Year-end close'!$C24="GBp","GBP",'Year-end close'!$C24),'FX year-end'!$A$2:$A$11,0)))</f>
        <v>69.90258487654322</v>
      </c>
      <c r="J24" s="5">
        <f>IF('Year-end close'!J24="","",'Year-end close'!J24/IF('Year-end close'!$C24="GBp",100,1)/INDEX('FX year-end'!$H$2:$H$11,MATCH(IF('Year-end close'!$C24="GBp","GBP",'Year-end close'!$C24),'FX year-end'!$A$2:$A$11,0)))</f>
        <v>74.39195212020884</v>
      </c>
      <c r="K24" s="5">
        <f>IF('Year-end close'!K24="","",'Year-end close'!K24/IF('Year-end close'!$C24="GBp",100,1)/INDEX('FX year-end'!$I$2:$I$11,MATCH(IF('Year-end close'!$C24="GBp","GBP",'Year-end close'!$C24),'FX year-end'!$A$2:$A$11,0)))</f>
        <v>59.26939149422114</v>
      </c>
      <c r="L24" s="5">
        <f>IF('Year-end close'!L24="","",'Year-end close'!L24/IF('Year-end close'!$C24="GBp",100,1)/INDEX('FX year-end'!$J$2:$J$11,MATCH(IF('Year-end close'!$C24="GBp","GBP",'Year-end close'!$C24),'FX year-end'!$A$2:$A$11,0)))</f>
        <v>80.7223804617902</v>
      </c>
      <c r="M24" s="5">
        <f>IF('Year-end close'!M24="","",'Year-end close'!M24/IF('Year-end close'!$C24="GBp",100,1)/INDEX('FX year-end'!$K$2:$K$11,MATCH(IF('Year-end close'!$C24="GBp","GBP",'Year-end close'!$C24),'FX year-end'!$A$2:$A$11,0)))</f>
        <v>93.79879840139745</v>
      </c>
    </row>
    <row r="25">
      <c r="A25" s="2" t="inlineStr">
        <is>
          <t>SCCO</t>
        </is>
      </c>
      <c r="B25" s="2" t="inlineStr">
        <is>
          <t>Southern Copper Corp</t>
        </is>
      </c>
      <c r="C25" s="2" t="inlineStr">
        <is>
          <t>USD</t>
        </is>
      </c>
      <c r="D25" s="5">
        <f>IF('Year-end close'!D25="","",'Year-end close'!D25/IF('Year-end close'!$C25="GBp",100,1)/INDEX('FX year-end'!$B$2:$B$11,MATCH(IF('Year-end close'!$C25="GBp","GBP",'Year-end close'!$C25),'FX year-end'!$A$2:$A$11,0)))</f>
        <v>47.45</v>
      </c>
      <c r="E25" s="5">
        <f>IF('Year-end close'!E25="","",'Year-end close'!E25/IF('Year-end close'!$C25="GBp",100,1)/INDEX('FX year-end'!$C$2:$C$11,MATCH(IF('Year-end close'!$C25="GBp","GBP",'Year-end close'!$C25),'FX year-end'!$A$2:$A$11,0)))</f>
        <v>30.77</v>
      </c>
      <c r="F25" s="5">
        <f>IF('Year-end close'!F25="","",'Year-end close'!F25/IF('Year-end close'!$C25="GBp",100,1)/INDEX('FX year-end'!$D$2:$D$11,MATCH(IF('Year-end close'!$C25="GBp","GBP",'Year-end close'!$C25),'FX year-end'!$A$2:$A$11,0)))</f>
        <v>42.48</v>
      </c>
      <c r="G25" s="5">
        <f>IF('Year-end close'!G25="","",'Year-end close'!G25/IF('Year-end close'!$C25="GBp",100,1)/INDEX('FX year-end'!$E$2:$E$11,MATCH(IF('Year-end close'!$C25="GBp","GBP",'Year-end close'!$C25),'FX year-end'!$A$2:$A$11,0)))</f>
        <v>65.12</v>
      </c>
      <c r="H25" s="5">
        <f>IF('Year-end close'!H25="","",'Year-end close'!H25/IF('Year-end close'!$C25="GBp",100,1)/INDEX('FX year-end'!$F$2:$F$11,MATCH(IF('Year-end close'!$C25="GBp","GBP",'Year-end close'!$C25),'FX year-end'!$A$2:$A$11,0)))</f>
        <v>61.71</v>
      </c>
      <c r="I25" s="5">
        <f>IF('Year-end close'!I25="","",'Year-end close'!I25/IF('Year-end close'!$C25="GBp",100,1)/INDEX('FX year-end'!$G$2:$G$11,MATCH(IF('Year-end close'!$C25="GBp","GBP",'Year-end close'!$C25),'FX year-end'!$A$2:$A$11,0)))</f>
        <v>60.39</v>
      </c>
      <c r="J25" s="5">
        <f>IF('Year-end close'!J25="","",'Year-end close'!J25/IF('Year-end close'!$C25="GBp",100,1)/INDEX('FX year-end'!$H$2:$H$11,MATCH(IF('Year-end close'!$C25="GBp","GBP",'Year-end close'!$C25),'FX year-end'!$A$2:$A$11,0)))</f>
        <v>86.07</v>
      </c>
      <c r="K25" s="5">
        <f>IF('Year-end close'!K25="","",'Year-end close'!K25/IF('Year-end close'!$C25="GBp",100,1)/INDEX('FX year-end'!$I$2:$I$11,MATCH(IF('Year-end close'!$C25="GBp","GBP",'Year-end close'!$C25),'FX year-end'!$A$2:$A$11,0)))</f>
        <v>91.13</v>
      </c>
      <c r="L25" s="5">
        <f>IF('Year-end close'!L25="","",'Year-end close'!L25/IF('Year-end close'!$C25="GBp",100,1)/INDEX('FX year-end'!$J$2:$J$11,MATCH(IF('Year-end close'!$C25="GBp","GBP",'Year-end close'!$C25),'FX year-end'!$A$2:$A$11,0)))</f>
        <v>143.47</v>
      </c>
      <c r="M25" s="5">
        <f>IF('Year-end close'!M25="","",'Year-end close'!M25/IF('Year-end close'!$C25="GBp",100,1)/INDEX('FX year-end'!$K$2:$K$11,MATCH(IF('Year-end close'!$C25="GBp","GBP",'Year-end close'!$C25),'FX year-end'!$A$2:$A$11,0)))</f>
        <v>203.92</v>
      </c>
    </row>
    <row r="26">
      <c r="A26" s="2" t="inlineStr">
        <is>
          <t>VALE3.SA</t>
        </is>
      </c>
      <c r="B26" s="2" t="inlineStr">
        <is>
          <t>Vale SA</t>
        </is>
      </c>
      <c r="C26" s="2" t="inlineStr">
        <is>
          <t>USD</t>
        </is>
      </c>
      <c r="D26" s="5">
        <f>IF('Year-end close'!D26="","",'Year-end close'!D26/IF('Year-end close'!$C26="GBp",100,1)/INDEX('FX year-end'!$B$2:$B$11,MATCH(IF('Year-end close'!$C26="GBp","GBP",'Year-end close'!$C26),'FX year-end'!$A$2:$A$11,0)))</f>
        <v>12.159101205037599</v>
      </c>
      <c r="E26" s="5">
        <f>IF('Year-end close'!E26="","",'Year-end close'!E26/IF('Year-end close'!$C26="GBp",100,1)/INDEX('FX year-end'!$C$2:$C$11,MATCH(IF('Year-end close'!$C26="GBp","GBP",'Year-end close'!$C26),'FX year-end'!$A$2:$A$11,0)))</f>
        <v>13.164008053275515</v>
      </c>
      <c r="F26" s="5">
        <f>IF('Year-end close'!F26="","",'Year-end close'!F26/IF('Year-end close'!$C26="GBp",100,1)/INDEX('FX year-end'!$D$2:$D$11,MATCH(IF('Year-end close'!$C26="GBp","GBP",'Year-end close'!$C26),'FX year-end'!$A$2:$A$11,0)))</f>
        <v>13.272867494697701</v>
      </c>
      <c r="G26" s="5">
        <f>IF('Year-end close'!G26="","",'Year-end close'!G26/IF('Year-end close'!$C26="GBp",100,1)/INDEX('FX year-end'!$E$2:$E$11,MATCH(IF('Year-end close'!$C26="GBp","GBP",'Year-end close'!$C26),'FX year-end'!$A$2:$A$11,0)))</f>
        <v>16.84698754864098</v>
      </c>
      <c r="H26" s="5">
        <f>IF('Year-end close'!H26="","",'Year-end close'!H26/IF('Year-end close'!$C26="GBp",100,1)/INDEX('FX year-end'!$F$2:$F$11,MATCH(IF('Year-end close'!$C26="GBp","GBP",'Year-end close'!$C26),'FX year-end'!$A$2:$A$11,0)))</f>
        <v>13.995906789702344</v>
      </c>
      <c r="I26" s="5">
        <f>IF('Year-end close'!I26="","",'Year-end close'!I26/IF('Year-end close'!$C26="GBp",100,1)/INDEX('FX year-end'!$G$2:$G$11,MATCH(IF('Year-end close'!$C26="GBp","GBP",'Year-end close'!$C26),'FX year-end'!$A$2:$A$11,0)))</f>
        <v>16.81868069484918</v>
      </c>
      <c r="J26" s="5">
        <f>IF('Year-end close'!J26="","",'Year-end close'!J26/IF('Year-end close'!$C26="GBp",100,1)/INDEX('FX year-end'!$H$2:$H$11,MATCH(IF('Year-end close'!$C26="GBp","GBP",'Year-end close'!$C26),'FX year-end'!$A$2:$A$11,0)))</f>
        <v>15.916869407447116</v>
      </c>
      <c r="K26" s="5">
        <f>IF('Year-end close'!K26="","",'Year-end close'!K26/IF('Year-end close'!$C26="GBp",100,1)/INDEX('FX year-end'!$I$2:$I$11,MATCH(IF('Year-end close'!$C26="GBp","GBP",'Year-end close'!$C26),'FX year-end'!$A$2:$A$11,0)))</f>
        <v>8.829861279722882</v>
      </c>
      <c r="L26" s="5">
        <f>IF('Year-end close'!L26="","",'Year-end close'!L26/IF('Year-end close'!$C26="GBp",100,1)/INDEX('FX year-end'!$J$2:$J$11,MATCH(IF('Year-end close'!$C26="GBp","GBP",'Year-end close'!$C26),'FX year-end'!$A$2:$A$11,0)))</f>
        <v>13.140498886088892</v>
      </c>
      <c r="M26" s="5">
        <f>IF('Year-end close'!M26="","",'Year-end close'!M26/IF('Year-end close'!$C26="GBp",100,1)/INDEX('FX year-end'!$K$2:$K$11,MATCH(IF('Year-end close'!$C26="GBp","GBP",'Year-end close'!$C26),'FX year-end'!$A$2:$A$11,0)))</f>
        <v>13.651093707804483</v>
      </c>
    </row>
    <row r="27"/>
    <row r="28">
      <c r="A28" s="2" t="inlineStr">
        <is>
          <t>Year-end close / year-end FX rate (pence divided by 100 first).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  <c r="L1" s="1" t="inlineStr">
        <is>
          <t>2027</t>
        </is>
      </c>
      <c r="M1" s="1" t="inlineStr">
        <is>
          <t>2028</t>
        </is>
      </c>
    </row>
    <row r="2">
      <c r="A2" s="2" t="inlineStr">
        <is>
          <t>000408.SZ</t>
        </is>
      </c>
      <c r="B2" s="2" t="inlineStr">
        <is>
          <t>Zangge Mining Co Ltd</t>
        </is>
      </c>
      <c r="C2" s="2" t="inlineStr">
        <is>
          <t>CNY</t>
        </is>
      </c>
      <c r="D2" s="6">
        <f>IF('Year-end close'!D2="","",'Year-end close'!D2*EXP((INDEX('Rates 2y'!$B$2:$B$11,MATCH(IF($C2="GBp","GBP",$C2),'Rates 2y'!$A$2:$A$11,0))-'Dividend yield'!D2)*2))</f>
        <v>18.35068015680835</v>
      </c>
      <c r="E2" s="6">
        <f>IF('Year-end close'!E2="","",'Year-end close'!E2*EXP((INDEX('Rates 2y'!$C$2:$C$11,MATCH(IF($C2="GBp","GBP",$C2),'Rates 2y'!$A$2:$A$11,0))-'Dividend yield'!E2)*2))</f>
        <v>11.84253723618</v>
      </c>
      <c r="F2" s="6">
        <f>IF('Year-end close'!F2="","",'Year-end close'!F2*EXP((INDEX('Rates 2y'!$D$2:$D$11,MATCH(IF($C2="GBp","GBP",$C2),'Rates 2y'!$A$2:$A$11,0))-'Dividend yield'!F2)*2))</f>
        <v>7.773912979748632</v>
      </c>
      <c r="G2" s="6">
        <f>IF('Year-end close'!G2="","",'Year-end close'!G2*EXP((INDEX('Rates 2y'!$E$2:$E$11,MATCH(IF($C2="GBp","GBP",$C2),'Rates 2y'!$A$2:$A$11,0))-'Dividend yield'!G2)*2))</f>
        <v>8.454431663262191</v>
      </c>
      <c r="H2" s="6">
        <f>IF('Year-end close'!H2="","",'Year-end close'!H2*EXP((INDEX('Rates 2y'!$F$2:$F$11,MATCH(IF($C2="GBp","GBP",$C2),'Rates 2y'!$A$2:$A$11,0))-'Dividend yield'!H2)*2))</f>
        <v>42.930050849234426</v>
      </c>
      <c r="I2" s="6">
        <f>IF('Year-end close'!I2="","",'Year-end close'!I2*EXP((INDEX('Rates 2y'!$G$2:$G$11,MATCH(IF($C2="GBp","GBP",$C2),'Rates 2y'!$A$2:$A$11,0))-'Dividend yield'!I2)*2))</f>
        <v>23.49468030852654</v>
      </c>
      <c r="J2" s="6">
        <f>IF('Year-end close'!J2="","",'Year-end close'!J2*EXP((INDEX('Rates 2y'!$H$2:$H$11,MATCH(IF($C2="GBp","GBP",$C2),'Rates 2y'!$A$2:$A$11,0))-'Dividend yield'!J2)*2))</f>
        <v>23.04558416866835</v>
      </c>
      <c r="K2" s="6">
        <f>IF('Year-end close'!K2="","",'Year-end close'!K2*EXP((INDEX('Rates 2y'!$I$2:$I$11,MATCH(IF($C2="GBp","GBP",$C2),'Rates 2y'!$A$2:$A$11,0))-'Dividend yield'!K2)*2))</f>
        <v>26.260419920532154</v>
      </c>
      <c r="L2" s="6">
        <f>IF('Year-end close'!L2="","",'Year-end close'!L2*EXP((INDEX('Rates 2y'!$J$2:$J$11,MATCH(IF($C2="GBp","GBP",$C2),'Rates 2y'!$A$2:$A$11,0))-'Dividend yield'!L2)*2))</f>
        <v>84.76404045308549</v>
      </c>
      <c r="M2" s="6">
        <f>IF('Year-end close'!M2="","",'Year-end close'!M2*EXP((INDEX('Rates 2y'!$K$2:$K$11,MATCH(IF($C2="GBp","GBP",$C2),'Rates 2y'!$A$2:$A$11,0))-'Dividend yield'!M2)*2))</f>
        <v>68.52289017558002</v>
      </c>
    </row>
    <row r="3">
      <c r="A3" s="2" t="inlineStr">
        <is>
          <t>1208.HK</t>
        </is>
      </c>
      <c r="B3" s="2" t="inlineStr">
        <is>
          <t>MMG Ltd</t>
        </is>
      </c>
      <c r="C3" s="2" t="inlineStr">
        <is>
          <t>HKD</t>
        </is>
      </c>
      <c r="D3" s="6">
        <f>IF('Year-end close'!D3="","",'Year-end close'!D3*EXP((INDEX('Rates 2y'!$B$2:$B$11,MATCH(IF($C3="GBp","GBP",$C3),'Rates 2y'!$A$2:$A$11,0))-'Dividend yield'!D3)*2))</f>
        <v>3.982202880076955</v>
      </c>
      <c r="E3" s="6">
        <f>IF('Year-end close'!E3="","",'Year-end close'!E3*EXP((INDEX('Rates 2y'!$C$2:$C$11,MATCH(IF($C3="GBp","GBP",$C3),'Rates 2y'!$A$2:$A$11,0))-'Dividend yield'!E3)*2))</f>
        <v>3.493530202674413</v>
      </c>
      <c r="F3" s="6">
        <f>IF('Year-end close'!F3="","",'Year-end close'!F3*EXP((INDEX('Rates 2y'!$D$2:$D$11,MATCH(IF($C3="GBp","GBP",$C3),'Rates 2y'!$A$2:$A$11,0))-'Dividend yield'!F3)*2))</f>
        <v>2.4209279797437957</v>
      </c>
      <c r="G3" s="6">
        <f>IF('Year-end close'!G3="","",'Year-end close'!G3*EXP((INDEX('Rates 2y'!$E$2:$E$11,MATCH(IF($C3="GBp","GBP",$C3),'Rates 2y'!$A$2:$A$11,0))-'Dividend yield'!G3)*2))</f>
        <v>3.3634268357690953</v>
      </c>
      <c r="H3" s="6">
        <f>IF('Year-end close'!H3="","",'Year-end close'!H3*EXP((INDEX('Rates 2y'!$F$2:$F$11,MATCH(IF($C3="GBp","GBP",$C3),'Rates 2y'!$A$2:$A$11,0))-'Dividend yield'!H3)*2))</f>
        <v>2.5301807221651944</v>
      </c>
      <c r="I3" s="6">
        <f>IF('Year-end close'!I3="","",'Year-end close'!I3*EXP((INDEX('Rates 2y'!$G$2:$G$11,MATCH(IF($C3="GBp","GBP",$C3),'Rates 2y'!$A$2:$A$11,0))-'Dividend yield'!I3)*2))</f>
        <v>2.1665741353499173</v>
      </c>
      <c r="J3" s="6">
        <f>IF('Year-end close'!J3="","",'Year-end close'!J3*EXP((INDEX('Rates 2y'!$H$2:$H$11,MATCH(IF($C3="GBp","GBP",$C3),'Rates 2y'!$A$2:$A$11,0))-'Dividend yield'!J3)*2))</f>
        <v>2.4824538447874094</v>
      </c>
      <c r="K3" s="6">
        <f>IF('Year-end close'!K3="","",'Year-end close'!K3*EXP((INDEX('Rates 2y'!$I$2:$I$11,MATCH(IF($C3="GBp","GBP",$C3),'Rates 2y'!$A$2:$A$11,0))-'Dividend yield'!K3)*2))</f>
        <v>2.7508388427904498</v>
      </c>
      <c r="L3" s="6">
        <f>IF('Year-end close'!L3="","",'Year-end close'!L3*EXP((INDEX('Rates 2y'!$J$2:$J$11,MATCH(IF($C3="GBp","GBP",$C3),'Rates 2y'!$A$2:$A$11,0))-'Dividend yield'!L3)*2))</f>
        <v>9.280240291542745</v>
      </c>
      <c r="M3" s="6">
        <f>IF('Year-end close'!M3="","",'Year-end close'!M3*EXP((INDEX('Rates 2y'!$K$2:$K$11,MATCH(IF($C3="GBp","GBP",$C3),'Rates 2y'!$A$2:$A$11,0))-'Dividend yield'!M3)*2))</f>
        <v>9.001095719776702</v>
      </c>
    </row>
    <row r="4">
      <c r="A4" s="2" t="inlineStr">
        <is>
          <t>1211.SR</t>
        </is>
      </c>
      <c r="B4" s="2" t="inlineStr">
        <is>
          <t>Saudi Arabian Mining Co (Maaden)</t>
        </is>
      </c>
      <c r="C4" s="2" t="inlineStr">
        <is>
          <t>SAR</t>
        </is>
      </c>
      <c r="D4" s="6">
        <f>IF('Year-end close'!D4="","",'Year-end close'!D4*EXP((INDEX('Rates 2y'!$B$2:$B$11,MATCH(IF($C4="GBp","GBP",$C4),'Rates 2y'!$A$2:$A$11,0))-'Dividend yield'!D4)*2))</f>
        <v>54.226241335423424</v>
      </c>
      <c r="E4" s="6">
        <f>IF('Year-end close'!E4="","",'Year-end close'!E4*EXP((INDEX('Rates 2y'!$C$2:$C$11,MATCH(IF($C4="GBp","GBP",$C4),'Rates 2y'!$A$2:$A$11,0))-'Dividend yield'!E4)*2))</f>
        <v>52.24394928851718</v>
      </c>
      <c r="F4" s="6">
        <f>IF('Year-end close'!F4="","",'Year-end close'!F4*EXP((INDEX('Rates 2y'!$D$2:$D$11,MATCH(IF($C4="GBp","GBP",$C4),'Rates 2y'!$A$2:$A$11,0))-'Dividend yield'!F4)*2))</f>
        <v>46.49010384648801</v>
      </c>
      <c r="G4" s="6">
        <f>IF('Year-end close'!G4="","",'Year-end close'!G4*EXP((INDEX('Rates 2y'!$E$2:$E$11,MATCH(IF($C4="GBp","GBP",$C4),'Rates 2y'!$A$2:$A$11,0))-'Dividend yield'!G4)*2))</f>
        <v>41.235600543786646</v>
      </c>
      <c r="H4" s="6">
        <f>IF('Year-end close'!H4="","",'Year-end close'!H4*EXP((INDEX('Rates 2y'!$F$2:$F$11,MATCH(IF($C4="GBp","GBP",$C4),'Rates 2y'!$A$2:$A$11,0))-'Dividend yield'!H4)*2))</f>
        <v>80.4067899544138</v>
      </c>
      <c r="I4" s="6">
        <f>IF('Year-end close'!I4="","",'Year-end close'!I4*EXP((INDEX('Rates 2y'!$G$2:$G$11,MATCH(IF($C4="GBp","GBP",$C4),'Rates 2y'!$A$2:$A$11,0))-'Dividend yield'!I4)*2))</f>
        <v>71.50455839949441</v>
      </c>
      <c r="J4" s="6">
        <f>IF('Year-end close'!J4="","",'Year-end close'!J4*EXP((INDEX('Rates 2y'!$H$2:$H$11,MATCH(IF($C4="GBp","GBP",$C4),'Rates 2y'!$A$2:$A$11,0))-'Dividend yield'!J4)*2))</f>
        <v>54.087018038513</v>
      </c>
      <c r="K4" s="6">
        <f>IF('Year-end close'!K4="","",'Year-end close'!K4*EXP((INDEX('Rates 2y'!$I$2:$I$11,MATCH(IF($C4="GBp","GBP",$C4),'Rates 2y'!$A$2:$A$11,0))-'Dividend yield'!K4)*2))</f>
        <v>55.812902882253795</v>
      </c>
      <c r="L4" s="6">
        <f>IF('Year-end close'!L4="","",'Year-end close'!L4*EXP((INDEX('Rates 2y'!$J$2:$J$11,MATCH(IF($C4="GBp","GBP",$C4),'Rates 2y'!$A$2:$A$11,0))-'Dividend yield'!L4)*2))</f>
        <v>66.82343590582579</v>
      </c>
      <c r="M4" s="6">
        <f>IF('Year-end close'!M4="","",'Year-end close'!M4*EXP((INDEX('Rates 2y'!$K$2:$K$11,MATCH(IF($C4="GBp","GBP",$C4),'Rates 2y'!$A$2:$A$11,0))-'Dividend yield'!M4)*2))</f>
        <v>66.98789062913791</v>
      </c>
    </row>
    <row r="5">
      <c r="A5" s="2" t="inlineStr">
        <is>
          <t>2899.HK</t>
        </is>
      </c>
      <c r="B5" s="2" t="inlineStr">
        <is>
          <t>Zijin Mining Group Co Ltd</t>
        </is>
      </c>
      <c r="C5" s="2" t="inlineStr">
        <is>
          <t>HKD</t>
        </is>
      </c>
      <c r="D5" s="6">
        <f>IF('Year-end close'!D5="","",'Year-end close'!D5*EXP((INDEX('Rates 2y'!$B$2:$B$11,MATCH(IF($C5="GBp","GBP",$C5),'Rates 2y'!$A$2:$A$11,0))-'Dividend yield'!D5)*2))</f>
        <v>2.889967251362701</v>
      </c>
      <c r="E5" s="6">
        <f>IF('Year-end close'!E5="","",'Year-end close'!E5*EXP((INDEX('Rates 2y'!$C$2:$C$11,MATCH(IF($C5="GBp","GBP",$C5),'Rates 2y'!$A$2:$A$11,0))-'Dividend yield'!E5)*2))</f>
        <v>2.8568795216103138</v>
      </c>
      <c r="F5" s="6">
        <f>IF('Year-end close'!F5="","",'Year-end close'!F5*EXP((INDEX('Rates 2y'!$D$2:$D$11,MATCH(IF($C5="GBp","GBP",$C5),'Rates 2y'!$A$2:$A$11,0))-'Dividend yield'!F5)*2))</f>
        <v>3.7854590224642566</v>
      </c>
      <c r="G5" s="6">
        <f>IF('Year-end close'!G5="","",'Year-end close'!G5*EXP((INDEX('Rates 2y'!$E$2:$E$11,MATCH(IF($C5="GBp","GBP",$C5),'Rates 2y'!$A$2:$A$11,0))-'Dividend yield'!G5)*2))</f>
        <v>8.587973603685146</v>
      </c>
      <c r="H5" s="6">
        <f>IF('Year-end close'!H5="","",'Year-end close'!H5*EXP((INDEX('Rates 2y'!$F$2:$F$11,MATCH(IF($C5="GBp","GBP",$C5),'Rates 2y'!$A$2:$A$11,0))-'Dividend yield'!H5)*2))</f>
        <v>9.102959193845399</v>
      </c>
      <c r="I5" s="6">
        <f>IF('Year-end close'!I5="","",'Year-end close'!I5*EXP((INDEX('Rates 2y'!$G$2:$G$11,MATCH(IF($C5="GBp","GBP",$C5),'Rates 2y'!$A$2:$A$11,0))-'Dividend yield'!I5)*2))</f>
        <v>10.968147895375218</v>
      </c>
      <c r="J5" s="6">
        <f>IF('Year-end close'!J5="","",'Year-end close'!J5*EXP((INDEX('Rates 2y'!$H$2:$H$11,MATCH(IF($C5="GBp","GBP",$C5),'Rates 2y'!$A$2:$A$11,0))-'Dividend yield'!J5)*2))</f>
        <v>13.085641467675172</v>
      </c>
      <c r="K5" s="6">
        <f>IF('Year-end close'!K5="","",'Year-end close'!K5*EXP((INDEX('Rates 2y'!$I$2:$I$11,MATCH(IF($C5="GBp","GBP",$C5),'Rates 2y'!$A$2:$A$11,0))-'Dividend yield'!K5)*2))</f>
        <v>14.467331220231916</v>
      </c>
      <c r="L5" s="6">
        <f>IF('Year-end close'!L5="","",'Year-end close'!L5*EXP((INDEX('Rates 2y'!$J$2:$J$11,MATCH(IF($C5="GBp","GBP",$C5),'Rates 2y'!$A$2:$A$11,0))-'Dividend yield'!L5)*2))</f>
        <v>36.433971137956924</v>
      </c>
      <c r="M5" s="6">
        <f>IF('Year-end close'!M5="","",'Year-end close'!M5*EXP((INDEX('Rates 2y'!$K$2:$K$11,MATCH(IF($C5="GBp","GBP",$C5),'Rates 2y'!$A$2:$A$11,0))-'Dividend yield'!M5)*2))</f>
        <v>32.34896702886941</v>
      </c>
    </row>
    <row r="6">
      <c r="A6" s="2" t="inlineStr">
        <is>
          <t>AAL.L</t>
        </is>
      </c>
      <c r="B6" s="2" t="inlineStr">
        <is>
          <t>Anglo American plc</t>
        </is>
      </c>
      <c r="C6" s="2" t="inlineStr">
        <is>
          <t>GBp</t>
        </is>
      </c>
      <c r="D6" s="6">
        <f>IF('Year-end close'!D6="","",'Year-end close'!D6*EXP((INDEX('Rates 2y'!$B$2:$B$11,MATCH(IF($C6="GBp","GBP",$C6),'Rates 2y'!$A$2:$A$11,0))-'Dividend yield'!D6)*2))</f>
        <v>1479.1880644190253</v>
      </c>
      <c r="E6" s="6">
        <f>IF('Year-end close'!E6="","",'Year-end close'!E6*EXP((INDEX('Rates 2y'!$C$2:$C$11,MATCH(IF($C6="GBp","GBP",$C6),'Rates 2y'!$A$2:$A$11,0))-'Dividend yield'!E6)*2))</f>
        <v>1602.39100051451</v>
      </c>
      <c r="F6" s="6">
        <f>IF('Year-end close'!F6="","",'Year-end close'!F6*EXP((INDEX('Rates 2y'!$D$2:$D$11,MATCH(IF($C6="GBp","GBP",$C6),'Rates 2y'!$A$2:$A$11,0))-'Dividend yield'!F6)*2))</f>
        <v>1994.488864824031</v>
      </c>
      <c r="G6" s="6">
        <f>IF('Year-end close'!G6="","",'Year-end close'!G6*EXP((INDEX('Rates 2y'!$E$2:$E$11,MATCH(IF($C6="GBp","GBP",$C6),'Rates 2y'!$A$2:$A$11,0))-'Dividend yield'!G6)*2))</f>
        <v>2283.739959050914</v>
      </c>
      <c r="H6" s="6">
        <f>IF('Year-end close'!H6="","",'Year-end close'!H6*EXP((INDEX('Rates 2y'!$F$2:$F$11,MATCH(IF($C6="GBp","GBP",$C6),'Rates 2y'!$A$2:$A$11,0))-'Dividend yield'!H6)*2))</f>
        <v>2556.5562544934387</v>
      </c>
      <c r="I6" s="6">
        <f>IF('Year-end close'!I6="","",'Year-end close'!I6*EXP((INDEX('Rates 2y'!$G$2:$G$11,MATCH(IF($C6="GBp","GBP",$C6),'Rates 2y'!$A$2:$A$11,0))-'Dividend yield'!I6)*2))</f>
        <v>2937.3157157423825</v>
      </c>
      <c r="J6" s="6">
        <f>IF('Year-end close'!J6="","",'Year-end close'!J6*EXP((INDEX('Rates 2y'!$H$2:$H$11,MATCH(IF($C6="GBp","GBP",$C6),'Rates 2y'!$A$2:$A$11,0))-'Dividend yield'!J6)*2))</f>
        <v>1891.3554691956556</v>
      </c>
      <c r="K6" s="6">
        <f>IF('Year-end close'!K6="","",'Year-end close'!K6*EXP((INDEX('Rates 2y'!$I$2:$I$11,MATCH(IF($C6="GBp","GBP",$C6),'Rates 2y'!$A$2:$A$11,0))-'Dividend yield'!K6)*2))</f>
        <v>2422.5646276619614</v>
      </c>
      <c r="L6" s="6">
        <f>IF('Year-end close'!L6="","",'Year-end close'!L6*EXP((INDEX('Rates 2y'!$J$2:$J$11,MATCH(IF($C6="GBp","GBP",$C6),'Rates 2y'!$A$2:$A$11,0))-'Dividend yield'!L6)*2))</f>
        <v>3273.8990916642133</v>
      </c>
      <c r="M6" s="6">
        <f>IF('Year-end close'!M6="","",'Year-end close'!M6*EXP((INDEX('Rates 2y'!$K$2:$K$11,MATCH(IF($C6="GBp","GBP",$C6),'Rates 2y'!$A$2:$A$11,0))-'Dividend yield'!M6)*2))</f>
        <v>4295.146305418506</v>
      </c>
    </row>
    <row r="7">
      <c r="A7" s="2" t="inlineStr">
        <is>
          <t>AEM</t>
        </is>
      </c>
      <c r="B7" s="2" t="inlineStr">
        <is>
          <t>Agnico Eagle Mines Ltd</t>
        </is>
      </c>
      <c r="C7" s="2" t="inlineStr">
        <is>
          <t>USD</t>
        </is>
      </c>
      <c r="D7" s="6">
        <f>IF('Year-end close'!D7="","",'Year-end close'!D7*EXP((INDEX('Rates 2y'!$B$2:$B$11,MATCH(IF($C7="GBp","GBP",$C7),'Rates 2y'!$A$2:$A$11,0))-'Dividend yield'!D7)*2))</f>
        <v>47.11497089554837</v>
      </c>
      <c r="E7" s="6">
        <f>IF('Year-end close'!E7="","",'Year-end close'!E7*EXP((INDEX('Rates 2y'!$C$2:$C$11,MATCH(IF($C7="GBp","GBP",$C7),'Rates 2y'!$A$2:$A$11,0))-'Dividend yield'!E7)*2))</f>
        <v>41.547933506697966</v>
      </c>
      <c r="F7" s="6">
        <f>IF('Year-end close'!F7="","",'Year-end close'!F7*EXP((INDEX('Rates 2y'!$D$2:$D$11,MATCH(IF($C7="GBp","GBP",$C7),'Rates 2y'!$A$2:$A$11,0))-'Dividend yield'!F7)*2))</f>
        <v>62.46273850452674</v>
      </c>
      <c r="G7" s="6">
        <f>IF('Year-end close'!G7="","",'Year-end close'!G7*EXP((INDEX('Rates 2y'!$E$2:$E$11,MATCH(IF($C7="GBp","GBP",$C7),'Rates 2y'!$A$2:$A$11,0))-'Dividend yield'!G7)*2))</f>
        <v>68.81409159978766</v>
      </c>
      <c r="H7" s="6">
        <f>IF('Year-end close'!H7="","",'Year-end close'!H7*EXP((INDEX('Rates 2y'!$F$2:$F$11,MATCH(IF($C7="GBp","GBP",$C7),'Rates 2y'!$A$2:$A$11,0))-'Dividend yield'!H7)*2))</f>
        <v>51.15385930741229</v>
      </c>
      <c r="I7" s="6">
        <f>IF('Year-end close'!I7="","",'Year-end close'!I7*EXP((INDEX('Rates 2y'!$G$2:$G$11,MATCH(IF($C7="GBp","GBP",$C7),'Rates 2y'!$A$2:$A$11,0))-'Dividend yield'!I7)*2))</f>
        <v>53.41552277504428</v>
      </c>
      <c r="J7" s="6">
        <f>IF('Year-end close'!J7="","",'Year-end close'!J7*EXP((INDEX('Rates 2y'!$H$2:$H$11,MATCH(IF($C7="GBp","GBP",$C7),'Rates 2y'!$A$2:$A$11,0))-'Dividend yield'!J7)*2))</f>
        <v>56.33196785614951</v>
      </c>
      <c r="K7" s="6">
        <f>IF('Year-end close'!K7="","",'Year-end close'!K7*EXP((INDEX('Rates 2y'!$I$2:$I$11,MATCH(IF($C7="GBp","GBP",$C7),'Rates 2y'!$A$2:$A$11,0))-'Dividend yield'!K7)*2))</f>
        <v>81.71859006955317</v>
      </c>
      <c r="L7" s="6">
        <f>IF('Year-end close'!L7="","",'Year-end close'!L7*EXP((INDEX('Rates 2y'!$J$2:$J$11,MATCH(IF($C7="GBp","GBP",$C7),'Rates 2y'!$A$2:$A$11,0))-'Dividend yield'!L7)*2))</f>
        <v>178.35106840975996</v>
      </c>
      <c r="M7" s="6">
        <f>IF('Year-end close'!M7="","",'Year-end close'!M7*EXP((INDEX('Rates 2y'!$K$2:$K$11,MATCH(IF($C7="GBp","GBP",$C7),'Rates 2y'!$A$2:$A$11,0))-'Dividend yield'!M7)*2))</f>
        <v>205.62319225333906</v>
      </c>
    </row>
    <row r="8">
      <c r="A8" s="2" t="inlineStr">
        <is>
          <t>B</t>
        </is>
      </c>
      <c r="B8" s="2" t="inlineStr">
        <is>
          <t>Barrick Mining Corp</t>
        </is>
      </c>
      <c r="C8" s="2" t="inlineStr">
        <is>
          <t>USD</t>
        </is>
      </c>
      <c r="D8" s="6">
        <f>IF('Year-end close'!D8="","",'Year-end close'!D8*EXP((INDEX('Rates 2y'!$B$2:$B$11,MATCH(IF($C8="GBp","GBP",$C8),'Rates 2y'!$A$2:$A$11,0))-'Dividend yield'!D8)*2))</f>
        <v>14.780245721365489</v>
      </c>
      <c r="E8" s="6">
        <f>IF('Year-end close'!E8="","",'Year-end close'!E8*EXP((INDEX('Rates 2y'!$C$2:$C$11,MATCH(IF($C8="GBp","GBP",$C8),'Rates 2y'!$A$2:$A$11,0))-'Dividend yield'!E8)*2))</f>
        <v>13.837527252282543</v>
      </c>
      <c r="F8" s="6">
        <f>IF('Year-end close'!F8="","",'Year-end close'!F8*EXP((INDEX('Rates 2y'!$D$2:$D$11,MATCH(IF($C8="GBp","GBP",$C8),'Rates 2y'!$A$2:$A$11,0))-'Dividend yield'!F8)*2))</f>
        <v>18.920345068180705</v>
      </c>
      <c r="G8" s="6">
        <f>IF('Year-end close'!G8="","",'Year-end close'!G8*EXP((INDEX('Rates 2y'!$E$2:$E$11,MATCH(IF($C8="GBp","GBP",$C8),'Rates 2y'!$A$2:$A$11,0))-'Dividend yield'!G8)*2))</f>
        <v>22.226092977233026</v>
      </c>
      <c r="H8" s="6">
        <f>IF('Year-end close'!H8="","",'Year-end close'!H8*EXP((INDEX('Rates 2y'!$F$2:$F$11,MATCH(IF($C8="GBp","GBP",$C8),'Rates 2y'!$A$2:$A$11,0))-'Dividend yield'!H8)*2))</f>
        <v>17.75972013306405</v>
      </c>
      <c r="I8" s="6">
        <f>IF('Year-end close'!I8="","",'Year-end close'!I8*EXP((INDEX('Rates 2y'!$G$2:$G$11,MATCH(IF($C8="GBp","GBP",$C8),'Rates 2y'!$A$2:$A$11,0))-'Dividend yield'!I8)*2))</f>
        <v>17.403579728020794</v>
      </c>
      <c r="J8" s="6">
        <f>IF('Year-end close'!J8="","",'Year-end close'!J8*EXP((INDEX('Rates 2y'!$H$2:$H$11,MATCH(IF($C8="GBp","GBP",$C8),'Rates 2y'!$A$2:$A$11,0))-'Dividend yield'!J8)*2))</f>
        <v>18.842883310690574</v>
      </c>
      <c r="K8" s="6">
        <f>IF('Year-end close'!K8="","",'Year-end close'!K8*EXP((INDEX('Rates 2y'!$I$2:$I$11,MATCH(IF($C8="GBp","GBP",$C8),'Rates 2y'!$A$2:$A$11,0))-'Dividend yield'!K8)*2))</f>
        <v>16.023045407635355</v>
      </c>
      <c r="L8" s="6">
        <f>IF('Year-end close'!L8="","",'Year-end close'!L8*EXP((INDEX('Rates 2y'!$J$2:$J$11,MATCH(IF($C8="GBp","GBP",$C8),'Rates 2y'!$A$2:$A$11,0))-'Dividend yield'!L8)*2))</f>
        <v>45.57684048025381</v>
      </c>
      <c r="M8" s="6">
        <f>IF('Year-end close'!M8="","",'Year-end close'!M8*EXP((INDEX('Rates 2y'!$K$2:$K$11,MATCH(IF($C8="GBp","GBP",$C8),'Rates 2y'!$A$2:$A$11,0))-'Dividend yield'!M8)*2))</f>
        <v>44.34906014506732</v>
      </c>
    </row>
    <row r="9">
      <c r="A9" s="2" t="inlineStr">
        <is>
          <t>BHP.AX</t>
        </is>
      </c>
      <c r="B9" s="2" t="inlineStr">
        <is>
          <t>BHP Group Ltd</t>
        </is>
      </c>
      <c r="C9" s="2" t="inlineStr">
        <is>
          <t>AUD</t>
        </is>
      </c>
      <c r="D9" s="6">
        <f>IF('Year-end close'!D9="","",'Year-end close'!D9*EXP((INDEX('Rates 2y'!$B$2:$B$11,MATCH(IF($C9="GBp","GBP",$C9),'Rates 2y'!$A$2:$A$11,0))-'Dividend yield'!D9)*2))</f>
        <v>28.393008976157965</v>
      </c>
      <c r="E9" s="6">
        <f>IF('Year-end close'!E9="","",'Year-end close'!E9*EXP((INDEX('Rates 2y'!$C$2:$C$11,MATCH(IF($C9="GBp","GBP",$C9),'Rates 2y'!$A$2:$A$11,0))-'Dividend yield'!E9)*2))</f>
        <v>32.09221672546767</v>
      </c>
      <c r="F9" s="6">
        <f>IF('Year-end close'!F9="","",'Year-end close'!F9*EXP((INDEX('Rates 2y'!$D$2:$D$11,MATCH(IF($C9="GBp","GBP",$C9),'Rates 2y'!$A$2:$A$11,0))-'Dividend yield'!F9)*2))</f>
        <v>32.69720786746163</v>
      </c>
      <c r="G9" s="6">
        <f>IF('Year-end close'!G9="","",'Year-end close'!G9*EXP((INDEX('Rates 2y'!$E$2:$E$11,MATCH(IF($C9="GBp","GBP",$C9),'Rates 2y'!$A$2:$A$11,0))-'Dividend yield'!G9)*2))</f>
        <v>38.75598914311644</v>
      </c>
      <c r="H9" s="6">
        <f>IF('Year-end close'!H9="","",'Year-end close'!H9*EXP((INDEX('Rates 2y'!$F$2:$F$11,MATCH(IF($C9="GBp","GBP",$C9),'Rates 2y'!$A$2:$A$11,0))-'Dividend yield'!H9)*2))</f>
        <v>33.776085334808045</v>
      </c>
      <c r="I9" s="6">
        <f>IF('Year-end close'!I9="","",'Year-end close'!I9*EXP((INDEX('Rates 2y'!$G$2:$G$11,MATCH(IF($C9="GBp","GBP",$C9),'Rates 2y'!$A$2:$A$11,0))-'Dividend yield'!I9)*2))</f>
        <v>39.945794394325986</v>
      </c>
      <c r="J9" s="6">
        <f>IF('Year-end close'!J9="","",'Year-end close'!J9*EXP((INDEX('Rates 2y'!$H$2:$H$11,MATCH(IF($C9="GBp","GBP",$C9),'Rates 2y'!$A$2:$A$11,0))-'Dividend yield'!J9)*2))</f>
        <v>48.933858908646464</v>
      </c>
      <c r="K9" s="6">
        <f>IF('Year-end close'!K9="","",'Year-end close'!K9*EXP((INDEX('Rates 2y'!$I$2:$I$11,MATCH(IF($C9="GBp","GBP",$C9),'Rates 2y'!$A$2:$A$11,0))-'Dividend yield'!K9)*2))</f>
        <v>38.20634855004526</v>
      </c>
      <c r="L9" s="6">
        <f>IF('Year-end close'!L9="","",'Year-end close'!L9*EXP((INDEX('Rates 2y'!$J$2:$J$11,MATCH(IF($C9="GBp","GBP",$C9),'Rates 2y'!$A$2:$A$11,0))-'Dividend yield'!L9)*2))</f>
        <v>45.61800666513507</v>
      </c>
      <c r="M9" s="6">
        <f>IF('Year-end close'!M9="","",'Year-end close'!M9*EXP((INDEX('Rates 2y'!$K$2:$K$11,MATCH(IF($C9="GBp","GBP",$C9),'Rates 2y'!$A$2:$A$11,0))-'Dividend yield'!M9)*2))</f>
        <v>60.619530891381935</v>
      </c>
    </row>
    <row r="10">
      <c r="A10" s="2" t="inlineStr">
        <is>
          <t>EQX</t>
        </is>
      </c>
      <c r="B10" s="2" t="inlineStr">
        <is>
          <t>Equinox Gold Corp</t>
        </is>
      </c>
      <c r="C10" s="2" t="inlineStr">
        <is>
          <t>USD</t>
        </is>
      </c>
      <c r="D10" s="6" t="str">
        <f>IF('Year-end close'!D10="","",'Year-end close'!D10*EXP((INDEX('Rates 2y'!$B$2:$B$11,MATCH(IF($C10="GBp","GBP",$C10),'Rates 2y'!$A$2:$A$11,0))-'Dividend yield'!D10)*2))</f>
        <v/>
      </c>
      <c r="E10" s="6" t="str">
        <f>IF('Year-end close'!E10="","",'Year-end close'!E10*EXP((INDEX('Rates 2y'!$C$2:$C$11,MATCH(IF($C10="GBp","GBP",$C10),'Rates 2y'!$A$2:$A$11,0))-'Dividend yield'!E10)*2))</f>
        <v/>
      </c>
      <c r="F10" s="6">
        <f>IF('Year-end close'!F10="","",'Year-end close'!F10*EXP((INDEX('Rates 2y'!$D$2:$D$11,MATCH(IF($C10="GBp","GBP",$C10),'Rates 2y'!$A$2:$A$11,0))-'Dividend yield'!F10)*2))</f>
        <v>7.94720527287906</v>
      </c>
      <c r="G10" s="6">
        <f>IF('Year-end close'!G10="","",'Year-end close'!G10*EXP((INDEX('Rates 2y'!$E$2:$E$11,MATCH(IF($C10="GBp","GBP",$C10),'Rates 2y'!$A$2:$A$11,0))-'Dividend yield'!G10)*2))</f>
        <v>10.366918979509006</v>
      </c>
      <c r="H10" s="6">
        <f>IF('Year-end close'!H10="","",'Year-end close'!H10*EXP((INDEX('Rates 2y'!$F$2:$F$11,MATCH(IF($C10="GBp","GBP",$C10),'Rates 2y'!$A$2:$A$11,0))-'Dividend yield'!H10)*2))</f>
        <v>6.859419999975495</v>
      </c>
      <c r="I10" s="6">
        <f>IF('Year-end close'!I10="","",'Year-end close'!I10*EXP((INDEX('Rates 2y'!$G$2:$G$11,MATCH(IF($C10="GBp","GBP",$C10),'Rates 2y'!$A$2:$A$11,0))-'Dividend yield'!I10)*2))</f>
        <v>3.5838707177153872</v>
      </c>
      <c r="J10" s="6">
        <f>IF('Year-end close'!J10="","",'Year-end close'!J10*EXP((INDEX('Rates 2y'!$H$2:$H$11,MATCH(IF($C10="GBp","GBP",$C10),'Rates 2y'!$A$2:$A$11,0))-'Dividend yield'!J10)*2))</f>
        <v>5.323826456155169</v>
      </c>
      <c r="K10" s="6">
        <f>IF('Year-end close'!K10="","",'Year-end close'!K10*EXP((INDEX('Rates 2y'!$I$2:$I$11,MATCH(IF($C10="GBp","GBP",$C10),'Rates 2y'!$A$2:$A$11,0))-'Dividend yield'!K10)*2))</f>
        <v>5.464266712190902</v>
      </c>
      <c r="L10" s="6">
        <f>IF('Year-end close'!L10="","",'Year-end close'!L10*EXP((INDEX('Rates 2y'!$J$2:$J$11,MATCH(IF($C10="GBp","GBP",$C10),'Rates 2y'!$A$2:$A$11,0))-'Dividend yield'!L10)*2))</f>
        <v>15.051992863343862</v>
      </c>
      <c r="M10" s="6">
        <f>IF('Year-end close'!M10="","",'Year-end close'!M10*EXP((INDEX('Rates 2y'!$K$2:$K$11,MATCH(IF($C10="GBp","GBP",$C10),'Rates 2y'!$A$2:$A$11,0))-'Dividend yield'!M10)*2))</f>
        <v>12.687485424131955</v>
      </c>
    </row>
    <row r="11">
      <c r="A11" s="2" t="inlineStr">
        <is>
          <t>EVN.AX</t>
        </is>
      </c>
      <c r="B11" s="2" t="inlineStr">
        <is>
          <t>Evolution Mining Ltd</t>
        </is>
      </c>
      <c r="C11" s="2" t="inlineStr">
        <is>
          <t>AUD</t>
        </is>
      </c>
      <c r="D11" s="6">
        <f>IF('Year-end close'!D11="","",'Year-end close'!D11*EXP((INDEX('Rates 2y'!$B$2:$B$11,MATCH(IF($C11="GBp","GBP",$C11),'Rates 2y'!$A$2:$A$11,0))-'Dividend yield'!D11)*2))</f>
        <v>2.6560063966754566</v>
      </c>
      <c r="E11" s="6">
        <f>IF('Year-end close'!E11="","",'Year-end close'!E11*EXP((INDEX('Rates 2y'!$C$2:$C$11,MATCH(IF($C11="GBp","GBP",$C11),'Rates 2y'!$A$2:$A$11,0))-'Dividend yield'!E11)*2))</f>
        <v>3.680234445075159</v>
      </c>
      <c r="F11" s="6">
        <f>IF('Year-end close'!F11="","",'Year-end close'!F11*EXP((INDEX('Rates 2y'!$D$2:$D$11,MATCH(IF($C11="GBp","GBP",$C11),'Rates 2y'!$A$2:$A$11,0))-'Dividend yield'!F11)*2))</f>
        <v>3.6803250119009507</v>
      </c>
      <c r="G11" s="6">
        <f>IF('Year-end close'!G11="","",'Year-end close'!G11*EXP((INDEX('Rates 2y'!$E$2:$E$11,MATCH(IF($C11="GBp","GBP",$C11),'Rates 2y'!$A$2:$A$11,0))-'Dividend yield'!G11)*2))</f>
        <v>4.689415321509051</v>
      </c>
      <c r="H11" s="6">
        <f>IF('Year-end close'!H11="","",'Year-end close'!H11*EXP((INDEX('Rates 2y'!$F$2:$F$11,MATCH(IF($C11="GBp","GBP",$C11),'Rates 2y'!$A$2:$A$11,0))-'Dividend yield'!H11)*2))</f>
        <v>3.8731532695754685</v>
      </c>
      <c r="I11" s="6">
        <f>IF('Year-end close'!I11="","",'Year-end close'!I11*EXP((INDEX('Rates 2y'!$G$2:$G$11,MATCH(IF($C11="GBp","GBP",$C11),'Rates 2y'!$A$2:$A$11,0))-'Dividend yield'!I11)*2))</f>
        <v>3.0699316592395687</v>
      </c>
      <c r="J11" s="6">
        <f>IF('Year-end close'!J11="","",'Year-end close'!J11*EXP((INDEX('Rates 2y'!$H$2:$H$11,MATCH(IF($C11="GBp","GBP",$C11),'Rates 2y'!$A$2:$A$11,0))-'Dividend yield'!J11)*2))</f>
        <v>4.178874806560047</v>
      </c>
      <c r="K11" s="6">
        <f>IF('Year-end close'!K11="","",'Year-end close'!K11*EXP((INDEX('Rates 2y'!$I$2:$I$11,MATCH(IF($C11="GBp","GBP",$C11),'Rates 2y'!$A$2:$A$11,0))-'Dividend yield'!K11)*2))</f>
        <v>5.045975950310675</v>
      </c>
      <c r="L11" s="6">
        <f>IF('Year-end close'!L11="","",'Year-end close'!L11*EXP((INDEX('Rates 2y'!$J$2:$J$11,MATCH(IF($C11="GBp","GBP",$C11),'Rates 2y'!$A$2:$A$11,0))-'Dividend yield'!L11)*2))</f>
        <v>13.282932613635223</v>
      </c>
      <c r="M11" s="6">
        <f>IF('Year-end close'!M11="","",'Year-end close'!M11*EXP((INDEX('Rates 2y'!$K$2:$K$11,MATCH(IF($C11="GBp","GBP",$C11),'Rates 2y'!$A$2:$A$11,0))-'Dividend yield'!M11)*2))</f>
        <v>13.961666871017439</v>
      </c>
    </row>
    <row r="12">
      <c r="A12" s="2" t="inlineStr">
        <is>
          <t>FCX</t>
        </is>
      </c>
      <c r="B12" s="2" t="inlineStr">
        <is>
          <t>Freeport-McMoRan Inc</t>
        </is>
      </c>
      <c r="C12" s="2" t="inlineStr">
        <is>
          <t>USD</t>
        </is>
      </c>
      <c r="D12" s="6">
        <f>IF('Year-end close'!D12="","",'Year-end close'!D12*EXP((INDEX('Rates 2y'!$B$2:$B$11,MATCH(IF($C12="GBp","GBP",$C12),'Rates 2y'!$A$2:$A$11,0))-'Dividend yield'!D12)*2))</f>
        <v>19.690405700401868</v>
      </c>
      <c r="E12" s="6">
        <f>IF('Year-end close'!E12="","",'Year-end close'!E12*EXP((INDEX('Rates 2y'!$C$2:$C$11,MATCH(IF($C12="GBp","GBP",$C12),'Rates 2y'!$A$2:$A$11,0))-'Dividend yield'!E12)*2))</f>
        <v>10.525662237629225</v>
      </c>
      <c r="F12" s="6">
        <f>IF('Year-end close'!F12="","",'Year-end close'!F12*EXP((INDEX('Rates 2y'!$D$2:$D$11,MATCH(IF($C12="GBp","GBP",$C12),'Rates 2y'!$A$2:$A$11,0))-'Dividend yield'!F12)*2))</f>
        <v>13.13459755473622</v>
      </c>
      <c r="G12" s="6">
        <f>IF('Year-end close'!G12="","",'Year-end close'!G12*EXP((INDEX('Rates 2y'!$E$2:$E$11,MATCH(IF($C12="GBp","GBP",$C12),'Rates 2y'!$A$2:$A$11,0))-'Dividend yield'!G12)*2))</f>
        <v>25.98765124509729</v>
      </c>
      <c r="H12" s="6">
        <f>IF('Year-end close'!H12="","",'Year-end close'!H12*EXP((INDEX('Rates 2y'!$F$2:$F$11,MATCH(IF($C12="GBp","GBP",$C12),'Rates 2y'!$A$2:$A$11,0))-'Dividend yield'!H12)*2))</f>
        <v>41.88954589997015</v>
      </c>
      <c r="I12" s="6">
        <f>IF('Year-end close'!I12="","",'Year-end close'!I12*EXP((INDEX('Rates 2y'!$G$2:$G$11,MATCH(IF($C12="GBp","GBP",$C12),'Rates 2y'!$A$2:$A$11,0))-'Dividend yield'!I12)*2))</f>
        <v>40.229805841021964</v>
      </c>
      <c r="J12" s="6">
        <f>IF('Year-end close'!J12="","",'Year-end close'!J12*EXP((INDEX('Rates 2y'!$H$2:$H$11,MATCH(IF($C12="GBp","GBP",$C12),'Rates 2y'!$A$2:$A$11,0))-'Dividend yield'!J12)*2))</f>
        <v>45.058506053074645</v>
      </c>
      <c r="K12" s="6">
        <f>IF('Year-end close'!K12="","",'Year-end close'!K12*EXP((INDEX('Rates 2y'!$I$2:$I$11,MATCH(IF($C12="GBp","GBP",$C12),'Rates 2y'!$A$2:$A$11,0))-'Dividend yield'!K12)*2))</f>
        <v>40.164246523612135</v>
      </c>
      <c r="L12" s="6">
        <f>IF('Year-end close'!L12="","",'Year-end close'!L12*EXP((INDEX('Rates 2y'!$J$2:$J$11,MATCH(IF($C12="GBp","GBP",$C12),'Rates 2y'!$A$2:$A$11,0))-'Dividend yield'!L12)*2))</f>
        <v>53.179526646835185</v>
      </c>
      <c r="M12" s="6">
        <f>IF('Year-end close'!M12="","",'Year-end close'!M12*EXP((INDEX('Rates 2y'!$K$2:$K$11,MATCH(IF($C12="GBp","GBP",$C12),'Rates 2y'!$A$2:$A$11,0))-'Dividend yield'!M12)*2))</f>
        <v>76.56319147334578</v>
      </c>
    </row>
    <row r="13">
      <c r="A13" s="2" t="inlineStr">
        <is>
          <t>FMG.AX</t>
        </is>
      </c>
      <c r="B13" s="2" t="inlineStr">
        <is>
          <t>Fortescue Ltd</t>
        </is>
      </c>
      <c r="C13" s="2" t="inlineStr">
        <is>
          <t>AUD</t>
        </is>
      </c>
      <c r="D13" s="6">
        <f>IF('Year-end close'!D13="","",'Year-end close'!D13*EXP((INDEX('Rates 2y'!$B$2:$B$11,MATCH(IF($C13="GBp","GBP",$C13),'Rates 2y'!$A$2:$A$11,0))-'Dividend yield'!D13)*2))</f>
        <v>4.223732517169138</v>
      </c>
      <c r="E13" s="6">
        <f>IF('Year-end close'!E13="","",'Year-end close'!E13*EXP((INDEX('Rates 2y'!$C$2:$C$11,MATCH(IF($C13="GBp","GBP",$C13),'Rates 2y'!$A$2:$A$11,0))-'Dividend yield'!E13)*2))</f>
        <v>3.8997589125659315</v>
      </c>
      <c r="F13" s="6">
        <f>IF('Year-end close'!F13="","",'Year-end close'!F13*EXP((INDEX('Rates 2y'!$D$2:$D$11,MATCH(IF($C13="GBp","GBP",$C13),'Rates 2y'!$A$2:$A$11,0))-'Dividend yield'!F13)*2))</f>
        <v>8.793604756206006</v>
      </c>
      <c r="G13" s="6">
        <f>IF('Year-end close'!G13="","",'Year-end close'!G13*EXP((INDEX('Rates 2y'!$E$2:$E$11,MATCH(IF($C13="GBp","GBP",$C13),'Rates 2y'!$A$2:$A$11,0))-'Dividend yield'!G13)*2))</f>
        <v>20.202033194190275</v>
      </c>
      <c r="H13" s="6">
        <f>IF('Year-end close'!H13="","",'Year-end close'!H13*EXP((INDEX('Rates 2y'!$F$2:$F$11,MATCH(IF($C13="GBp","GBP",$C13),'Rates 2y'!$A$2:$A$11,0))-'Dividend yield'!H13)*2))</f>
        <v>13.392689210676853</v>
      </c>
      <c r="I13" s="6">
        <f>IF('Year-end close'!I13="","",'Year-end close'!I13*EXP((INDEX('Rates 2y'!$G$2:$G$11,MATCH(IF($C13="GBp","GBP",$C13),'Rates 2y'!$A$2:$A$11,0))-'Dividend yield'!I13)*2))</f>
        <v>17.976414121499953</v>
      </c>
      <c r="J13" s="6">
        <f>IF('Year-end close'!J13="","",'Year-end close'!J13*EXP((INDEX('Rates 2y'!$H$2:$H$11,MATCH(IF($C13="GBp","GBP",$C13),'Rates 2y'!$A$2:$A$11,0))-'Dividend yield'!J13)*2))</f>
        <v>27.698527348225802</v>
      </c>
      <c r="K13" s="6">
        <f>IF('Year-end close'!K13="","",'Year-end close'!K13*EXP((INDEX('Rates 2y'!$I$2:$I$11,MATCH(IF($C13="GBp","GBP",$C13),'Rates 2y'!$A$2:$A$11,0))-'Dividend yield'!K13)*2))</f>
        <v>15.883408598217796</v>
      </c>
      <c r="L13" s="6">
        <f>IF('Year-end close'!L13="","",'Year-end close'!L13*EXP((INDEX('Rates 2y'!$J$2:$J$11,MATCH(IF($C13="GBp","GBP",$C13),'Rates 2y'!$A$2:$A$11,0))-'Dividend yield'!L13)*2))</f>
        <v>21.532058025365735</v>
      </c>
      <c r="M13" s="6">
        <f>IF('Year-end close'!M13="","",'Year-end close'!M13*EXP((INDEX('Rates 2y'!$K$2:$K$11,MATCH(IF($C13="GBp","GBP",$C13),'Rates 2y'!$A$2:$A$11,0))-'Dividend yield'!M13)*2))</f>
        <v>15.510270096509936</v>
      </c>
    </row>
    <row r="14">
      <c r="A14" s="2" t="inlineStr">
        <is>
          <t>FRES.L</t>
        </is>
      </c>
      <c r="B14" s="2" t="inlineStr">
        <is>
          <t>Fresnillo plc</t>
        </is>
      </c>
      <c r="C14" s="2" t="inlineStr">
        <is>
          <t>GBp</t>
        </is>
      </c>
      <c r="D14" s="6">
        <f>IF('Year-end close'!D14="","",'Year-end close'!D14*EXP((INDEX('Rates 2y'!$B$2:$B$11,MATCH(IF($C14="GBp","GBP",$C14),'Rates 2y'!$A$2:$A$11,0))-'Dividend yield'!D14)*2))</f>
        <v>1392.7231049047457</v>
      </c>
      <c r="E14" s="6">
        <f>IF('Year-end close'!E14="","",'Year-end close'!E14*EXP((INDEX('Rates 2y'!$C$2:$C$11,MATCH(IF($C14="GBp","GBP",$C14),'Rates 2y'!$A$2:$A$11,0))-'Dividend yield'!E14)*2))</f>
        <v>814.1563219296825</v>
      </c>
      <c r="F14" s="6">
        <f>IF('Year-end close'!F14="","",'Year-end close'!F14*EXP((INDEX('Rates 2y'!$D$2:$D$11,MATCH(IF($C14="GBp","GBP",$C14),'Rates 2y'!$A$2:$A$11,0))-'Dividend yield'!F14)*2))</f>
        <v>617.5071377445195</v>
      </c>
      <c r="G14" s="6">
        <f>IF('Year-end close'!G14="","",'Year-end close'!G14*EXP((INDEX('Rates 2y'!$E$2:$E$11,MATCH(IF($C14="GBp","GBP",$C14),'Rates 2y'!$A$2:$A$11,0))-'Dividend yield'!G14)*2))</f>
        <v>1103.7252586061418</v>
      </c>
      <c r="H14" s="6">
        <f>IF('Year-end close'!H14="","",'Year-end close'!H14*EXP((INDEX('Rates 2y'!$F$2:$F$11,MATCH(IF($C14="GBp","GBP",$C14),'Rates 2y'!$A$2:$A$11,0))-'Dividend yield'!H14)*2))</f>
        <v>858.4964898492257</v>
      </c>
      <c r="I14" s="6">
        <f>IF('Year-end close'!I14="","",'Year-end close'!I14*EXP((INDEX('Rates 2y'!$G$2:$G$11,MATCH(IF($C14="GBp","GBP",$C14),'Rates 2y'!$A$2:$A$11,0))-'Dividend yield'!I14)*2))</f>
        <v>922.9884916315997</v>
      </c>
      <c r="J14" s="6">
        <f>IF('Year-end close'!J14="","",'Year-end close'!J14*EXP((INDEX('Rates 2y'!$H$2:$H$11,MATCH(IF($C14="GBp","GBP",$C14),'Rates 2y'!$A$2:$A$11,0))-'Dividend yield'!J14)*2))</f>
        <v>618.8794433663804</v>
      </c>
      <c r="K14" s="6">
        <f>IF('Year-end close'!K14="","",'Year-end close'!K14*EXP((INDEX('Rates 2y'!$I$2:$I$11,MATCH(IF($C14="GBp","GBP",$C14),'Rates 2y'!$A$2:$A$11,0))-'Dividend yield'!K14)*2))</f>
        <v>660.5454353684919</v>
      </c>
      <c r="L14" s="6">
        <f>IF('Year-end close'!L14="","",'Year-end close'!L14*EXP((INDEX('Rates 2y'!$J$2:$J$11,MATCH(IF($C14="GBp","GBP",$C14),'Rates 2y'!$A$2:$A$11,0))-'Dividend yield'!L14)*2))</f>
        <v>3453.101402013214</v>
      </c>
      <c r="M14" s="6">
        <f>IF('Year-end close'!M14="","",'Year-end close'!M14*EXP((INDEX('Rates 2y'!$K$2:$K$11,MATCH(IF($C14="GBp","GBP",$C14),'Rates 2y'!$A$2:$A$11,0))-'Dividend yield'!M14)*2))</f>
        <v>2883.216473765161</v>
      </c>
    </row>
    <row r="15">
      <c r="A15" s="2" t="inlineStr">
        <is>
          <t>GLEN.L</t>
        </is>
      </c>
      <c r="B15" s="2" t="inlineStr">
        <is>
          <t>Glencore plc</t>
        </is>
      </c>
      <c r="C15" s="2" t="inlineStr">
        <is>
          <t>GBp</t>
        </is>
      </c>
      <c r="D15" s="6">
        <f>IF('Year-end close'!D15="","",'Year-end close'!D15*EXP((INDEX('Rates 2y'!$B$2:$B$11,MATCH(IF($C15="GBp","GBP",$C15),'Rates 2y'!$A$2:$A$11,0))-'Dividend yield'!D15)*2))</f>
        <v>382.99454226707326</v>
      </c>
      <c r="E15" s="6">
        <f>IF('Year-end close'!E15="","",'Year-end close'!E15*EXP((INDEX('Rates 2y'!$C$2:$C$11,MATCH(IF($C15="GBp","GBP",$C15),'Rates 2y'!$A$2:$A$11,0))-'Dividend yield'!E15)*2))</f>
        <v>266.75624293192874</v>
      </c>
      <c r="F15" s="6">
        <f>IF('Year-end close'!F15="","",'Year-end close'!F15*EXP((INDEX('Rates 2y'!$D$2:$D$11,MATCH(IF($C15="GBp","GBP",$C15),'Rates 2y'!$A$2:$A$11,0))-'Dividend yield'!F15)*2))</f>
        <v>208.30883618597318</v>
      </c>
      <c r="G15" s="6">
        <f>IF('Year-end close'!G15="","",'Year-end close'!G15*EXP((INDEX('Rates 2y'!$E$2:$E$11,MATCH(IF($C15="GBp","GBP",$C15),'Rates 2y'!$A$2:$A$11,0))-'Dividend yield'!G15)*2))</f>
        <v>232.3020474522859</v>
      </c>
      <c r="H15" s="6">
        <f>IF('Year-end close'!H15="","",'Year-end close'!H15*EXP((INDEX('Rates 2y'!$F$2:$F$11,MATCH(IF($C15="GBp","GBP",$C15),'Rates 2y'!$A$2:$A$11,0))-'Dividend yield'!H15)*2))</f>
        <v>356.92892907776525</v>
      </c>
      <c r="I15" s="6">
        <f>IF('Year-end close'!I15="","",'Year-end close'!I15*EXP((INDEX('Rates 2y'!$G$2:$G$11,MATCH(IF($C15="GBp","GBP",$C15),'Rates 2y'!$A$2:$A$11,0))-'Dividend yield'!I15)*2))</f>
        <v>529.9615313402948</v>
      </c>
      <c r="J15" s="6">
        <f>IF('Year-end close'!J15="","",'Year-end close'!J15*EXP((INDEX('Rates 2y'!$H$2:$H$11,MATCH(IF($C15="GBp","GBP",$C15),'Rates 2y'!$A$2:$A$11,0))-'Dividend yield'!J15)*2))</f>
        <v>428.6311794322234</v>
      </c>
      <c r="K15" s="6">
        <f>IF('Year-end close'!K15="","",'Year-end close'!K15*EXP((INDEX('Rates 2y'!$I$2:$I$11,MATCH(IF($C15="GBp","GBP",$C15),'Rates 2y'!$A$2:$A$11,0))-'Dividend yield'!K15)*2))</f>
        <v>364.3979573614494</v>
      </c>
      <c r="L15" s="6">
        <f>IF('Year-end close'!L15="","",'Year-end close'!L15*EXP((INDEX('Rates 2y'!$J$2:$J$11,MATCH(IF($C15="GBp","GBP",$C15),'Rates 2y'!$A$2:$A$11,0))-'Dividend yield'!L15)*2))</f>
        <v>422.3806504097854</v>
      </c>
      <c r="M15" s="6">
        <f>IF('Year-end close'!M15="","",'Year-end close'!M15*EXP((INDEX('Rates 2y'!$K$2:$K$11,MATCH(IF($C15="GBp","GBP",$C15),'Rates 2y'!$A$2:$A$11,0))-'Dividend yield'!M15)*2))</f>
        <v>578.3117844819587</v>
      </c>
    </row>
    <row r="16">
      <c r="A16" s="2" t="inlineStr">
        <is>
          <t>GMEXICOB.MX</t>
        </is>
      </c>
      <c r="B16" s="2" t="inlineStr">
        <is>
          <t>Grupo Mexico SAB de CV</t>
        </is>
      </c>
      <c r="C16" s="2" t="inlineStr">
        <is>
          <t>MXN</t>
        </is>
      </c>
      <c r="D16" s="6">
        <f>IF('Year-end close'!D16="","",'Year-end close'!D16*EXP((INDEX('Rates 2y'!$B$2:$B$11,MATCH(IF($C16="GBp","GBP",$C16),'Rates 2y'!$A$2:$A$11,0))-'Dividend yield'!D16)*2))</f>
        <v>72.68810074769705</v>
      </c>
      <c r="E16" s="6">
        <f>IF('Year-end close'!E16="","",'Year-end close'!E16*EXP((INDEX('Rates 2y'!$C$2:$C$11,MATCH(IF($C16="GBp","GBP",$C16),'Rates 2y'!$A$2:$A$11,0))-'Dividend yield'!E16)*2))</f>
        <v>42.02595460273207</v>
      </c>
      <c r="F16" s="6">
        <f>IF('Year-end close'!F16="","",'Year-end close'!F16*EXP((INDEX('Rates 2y'!$D$2:$D$11,MATCH(IF($C16="GBp","GBP",$C16),'Rates 2y'!$A$2:$A$11,0))-'Dividend yield'!F16)*2))</f>
        <v>54.305314407725724</v>
      </c>
      <c r="G16" s="6">
        <f>IF('Year-end close'!G16="","",'Year-end close'!G16*EXP((INDEX('Rates 2y'!$E$2:$E$11,MATCH(IF($C16="GBp","GBP",$C16),'Rates 2y'!$A$2:$A$11,0))-'Dividend yield'!G16)*2))</f>
        <v>85.3634779651202</v>
      </c>
      <c r="H16" s="6">
        <f>IF('Year-end close'!H16="","",'Year-end close'!H16*EXP((INDEX('Rates 2y'!$F$2:$F$11,MATCH(IF($C16="GBp","GBP",$C16),'Rates 2y'!$A$2:$A$11,0))-'Dividend yield'!H16)*2))</f>
        <v>89.64841316224516</v>
      </c>
      <c r="I16" s="6">
        <f>IF('Year-end close'!I16="","",'Year-end close'!I16*EXP((INDEX('Rates 2y'!$G$2:$G$11,MATCH(IF($C16="GBp","GBP",$C16),'Rates 2y'!$A$2:$A$11,0))-'Dividend yield'!I16)*2))</f>
        <v>73.27278072667013</v>
      </c>
      <c r="J16" s="6">
        <f>IF('Year-end close'!J16="","",'Year-end close'!J16*EXP((INDEX('Rates 2y'!$H$2:$H$11,MATCH(IF($C16="GBp","GBP",$C16),'Rates 2y'!$A$2:$A$11,0))-'Dividend yield'!J16)*2))</f>
        <v>106.99725568168138</v>
      </c>
      <c r="K16" s="6">
        <f>IF('Year-end close'!K16="","",'Year-end close'!K16*EXP((INDEX('Rates 2y'!$I$2:$I$11,MATCH(IF($C16="GBp","GBP",$C16),'Rates 2y'!$A$2:$A$11,0))-'Dividend yield'!K16)*2))</f>
        <v>110.97668574261299</v>
      </c>
      <c r="L16" s="6">
        <f>IF('Year-end close'!L16="","",'Year-end close'!L16*EXP((INDEX('Rates 2y'!$J$2:$J$11,MATCH(IF($C16="GBp","GBP",$C16),'Rates 2y'!$A$2:$A$11,0))-'Dividend yield'!L16)*2))</f>
        <v>185.49813047283902</v>
      </c>
      <c r="M16" s="6">
        <f>IF('Year-end close'!M16="","",'Year-end close'!M16*EXP((INDEX('Rates 2y'!$K$2:$K$11,MATCH(IF($C16="GBp","GBP",$C16),'Rates 2y'!$A$2:$A$11,0))-'Dividend yield'!M16)*2))</f>
        <v>250.392829528466</v>
      </c>
    </row>
    <row r="17">
      <c r="A17" s="2" t="inlineStr">
        <is>
          <t>INCO.JK</t>
        </is>
      </c>
      <c r="B17" s="2" t="inlineStr">
        <is>
          <t>PT Vale Indonesia Tbk</t>
        </is>
      </c>
      <c r="C17" s="2" t="inlineStr">
        <is>
          <t>IDR</t>
        </is>
      </c>
      <c r="D17" s="6">
        <f>IF('Year-end close'!D17="","",'Year-end close'!D17*EXP((INDEX('Rates 2y'!$B$2:$B$11,MATCH(IF($C17="GBp","GBP",$C17),'Rates 2y'!$A$2:$A$11,0))-'Dividend yield'!D17)*2))</f>
        <v>3245.458070465106</v>
      </c>
      <c r="E17" s="6">
        <f>IF('Year-end close'!E17="","",'Year-end close'!E17*EXP((INDEX('Rates 2y'!$C$2:$C$11,MATCH(IF($C17="GBp","GBP",$C17),'Rates 2y'!$A$2:$A$11,0))-'Dividend yield'!E17)*2))</f>
        <v>3802.7602908977133</v>
      </c>
      <c r="F17" s="6">
        <f>IF('Year-end close'!F17="","",'Year-end close'!F17*EXP((INDEX('Rates 2y'!$D$2:$D$11,MATCH(IF($C17="GBp","GBP",$C17),'Rates 2y'!$A$2:$A$11,0))-'Dividend yield'!F17)*2))</f>
        <v>4079.5377345783168</v>
      </c>
      <c r="G17" s="6">
        <f>IF('Year-end close'!G17="","",'Year-end close'!G17*EXP((INDEX('Rates 2y'!$E$2:$E$11,MATCH(IF($C17="GBp","GBP",$C17),'Rates 2y'!$A$2:$A$11,0))-'Dividend yield'!G17)*2))</f>
        <v>5535.8246301307</v>
      </c>
      <c r="H17" s="6">
        <f>IF('Year-end close'!H17="","",'Year-end close'!H17*EXP((INDEX('Rates 2y'!$F$2:$F$11,MATCH(IF($C17="GBp","GBP",$C17),'Rates 2y'!$A$2:$A$11,0))-'Dividend yield'!H17)*2))</f>
        <v>4959.823274344345</v>
      </c>
      <c r="I17" s="6">
        <f>IF('Year-end close'!I17="","",'Year-end close'!I17*EXP((INDEX('Rates 2y'!$G$2:$G$11,MATCH(IF($C17="GBp","GBP",$C17),'Rates 2y'!$A$2:$A$11,0))-'Dividend yield'!I17)*2))</f>
        <v>7989.233190708131</v>
      </c>
      <c r="J17" s="6">
        <f>IF('Year-end close'!J17="","",'Year-end close'!J17*EXP((INDEX('Rates 2y'!$H$2:$H$11,MATCH(IF($C17="GBp","GBP",$C17),'Rates 2y'!$A$2:$A$11,0))-'Dividend yield'!J17)*2))</f>
        <v>4701.811707467762</v>
      </c>
      <c r="K17" s="6">
        <f>IF('Year-end close'!K17="","",'Year-end close'!K17*EXP((INDEX('Rates 2y'!$I$2:$I$11,MATCH(IF($C17="GBp","GBP",$C17),'Rates 2y'!$A$2:$A$11,0))-'Dividend yield'!K17)*2))</f>
        <v>4155.671491992527</v>
      </c>
      <c r="L17" s="6">
        <f>IF('Year-end close'!L17="","",'Year-end close'!L17*EXP((INDEX('Rates 2y'!$J$2:$J$11,MATCH(IF($C17="GBp","GBP",$C17),'Rates 2y'!$A$2:$A$11,0))-'Dividend yield'!L17)*2))</f>
        <v>5602.435081174804</v>
      </c>
      <c r="M17" s="6">
        <f>IF('Year-end close'!M17="","",'Year-end close'!M17*EXP((INDEX('Rates 2y'!$K$2:$K$11,MATCH(IF($C17="GBp","GBP",$C17),'Rates 2y'!$A$2:$A$11,0))-'Dividend yield'!M17)*2))</f>
        <v>5002.851800444744</v>
      </c>
    </row>
    <row r="18">
      <c r="A18" s="2" t="inlineStr">
        <is>
          <t>LUN.TO</t>
        </is>
      </c>
      <c r="B18" s="2" t="inlineStr">
        <is>
          <t>Lundin Mining Corp</t>
        </is>
      </c>
      <c r="C18" s="2" t="inlineStr">
        <is>
          <t>CAD</t>
        </is>
      </c>
      <c r="D18" s="6">
        <f>IF('Year-end close'!D18="","",'Year-end close'!D18*EXP((INDEX('Rates 2y'!$B$2:$B$11,MATCH(IF($C18="GBp","GBP",$C18),'Rates 2y'!$A$2:$A$11,0))-'Dividend yield'!D18)*2))</f>
        <v>8.402677685172586</v>
      </c>
      <c r="E18" s="6">
        <f>IF('Year-end close'!E18="","",'Year-end close'!E18*EXP((INDEX('Rates 2y'!$C$2:$C$11,MATCH(IF($C18="GBp","GBP",$C18),'Rates 2y'!$A$2:$A$11,0))-'Dividend yield'!E18)*2))</f>
        <v>5.609884132118356</v>
      </c>
      <c r="F18" s="6">
        <f>IF('Year-end close'!F18="","",'Year-end close'!F18*EXP((INDEX('Rates 2y'!$D$2:$D$11,MATCH(IF($C18="GBp","GBP",$C18),'Rates 2y'!$A$2:$A$11,0))-'Dividend yield'!F18)*2))</f>
        <v>7.783875373797797</v>
      </c>
      <c r="G18" s="6">
        <f>IF('Year-end close'!G18="","",'Year-end close'!G18*EXP((INDEX('Rates 2y'!$E$2:$E$11,MATCH(IF($C18="GBp","GBP",$C18),'Rates 2y'!$A$2:$A$11,0))-'Dividend yield'!G18)*2))</f>
        <v>11.028520892937236</v>
      </c>
      <c r="H18" s="6">
        <f>IF('Year-end close'!H18="","",'Year-end close'!H18*EXP((INDEX('Rates 2y'!$F$2:$F$11,MATCH(IF($C18="GBp","GBP",$C18),'Rates 2y'!$A$2:$A$11,0))-'Dividend yield'!H18)*2))</f>
        <v>9.305117445339235</v>
      </c>
      <c r="I18" s="6">
        <f>IF('Year-end close'!I18="","",'Year-end close'!I18*EXP((INDEX('Rates 2y'!$G$2:$G$11,MATCH(IF($C18="GBp","GBP",$C18),'Rates 2y'!$A$2:$A$11,0))-'Dividend yield'!I18)*2))</f>
        <v>8.047356149620072</v>
      </c>
      <c r="J18" s="6">
        <f>IF('Year-end close'!J18="","",'Year-end close'!J18*EXP((INDEX('Rates 2y'!$H$2:$H$11,MATCH(IF($C18="GBp","GBP",$C18),'Rates 2y'!$A$2:$A$11,0))-'Dividend yield'!J18)*2))</f>
        <v>10.961871190543398</v>
      </c>
      <c r="K18" s="6">
        <f>IF('Year-end close'!K18="","",'Year-end close'!K18*EXP((INDEX('Rates 2y'!$I$2:$I$11,MATCH(IF($C18="GBp","GBP",$C18),'Rates 2y'!$A$2:$A$11,0))-'Dividend yield'!K18)*2))</f>
        <v>12.196123878796357</v>
      </c>
      <c r="L18" s="6">
        <f>IF('Year-end close'!L18="","",'Year-end close'!L18*EXP((INDEX('Rates 2y'!$J$2:$J$11,MATCH(IF($C18="GBp","GBP",$C18),'Rates 2y'!$A$2:$A$11,0))-'Dividend yield'!L18)*2))</f>
        <v>30.710182076845115</v>
      </c>
      <c r="M18" s="6">
        <f>IF('Year-end close'!M18="","",'Year-end close'!M18*EXP((INDEX('Rates 2y'!$K$2:$K$11,MATCH(IF($C18="GBp","GBP",$C18),'Rates 2y'!$A$2:$A$11,0))-'Dividend yield'!M18)*2))</f>
        <v>36.67056793128771</v>
      </c>
    </row>
    <row r="19">
      <c r="A19" s="2" t="inlineStr">
        <is>
          <t>MIN.AX</t>
        </is>
      </c>
      <c r="B19" s="2" t="inlineStr">
        <is>
          <t>Mineral Resources Ltd</t>
        </is>
      </c>
      <c r="C19" s="2" t="inlineStr">
        <is>
          <t>AUD</t>
        </is>
      </c>
      <c r="D19" s="6">
        <f>IF('Year-end close'!D19="","",'Year-end close'!D19*EXP((INDEX('Rates 2y'!$B$2:$B$11,MATCH(IF($C19="GBp","GBP",$C19),'Rates 2y'!$A$2:$A$11,0))-'Dividend yield'!D19)*2))</f>
        <v>20.90689440564973</v>
      </c>
      <c r="E19" s="6">
        <f>IF('Year-end close'!E19="","",'Year-end close'!E19*EXP((INDEX('Rates 2y'!$C$2:$C$11,MATCH(IF($C19="GBp","GBP",$C19),'Rates 2y'!$A$2:$A$11,0))-'Dividend yield'!E19)*2))</f>
        <v>14.773996830658646</v>
      </c>
      <c r="F19" s="6">
        <f>IF('Year-end close'!F19="","",'Year-end close'!F19*EXP((INDEX('Rates 2y'!$D$2:$D$11,MATCH(IF($C19="GBp","GBP",$C19),'Rates 2y'!$A$2:$A$11,0))-'Dividend yield'!F19)*2))</f>
        <v>15.927168805384312</v>
      </c>
      <c r="G19" s="6">
        <f>IF('Year-end close'!G19="","",'Year-end close'!G19*EXP((INDEX('Rates 2y'!$E$2:$E$11,MATCH(IF($C19="GBp","GBP",$C19),'Rates 2y'!$A$2:$A$11,0))-'Dividend yield'!G19)*2))</f>
        <v>35.573561589079205</v>
      </c>
      <c r="H19" s="6">
        <f>IF('Year-end close'!H19="","",'Year-end close'!H19*EXP((INDEX('Rates 2y'!$F$2:$F$11,MATCH(IF($C19="GBp","GBP",$C19),'Rates 2y'!$A$2:$A$11,0))-'Dividend yield'!H19)*2))</f>
        <v>51.37428167559766</v>
      </c>
      <c r="I19" s="6">
        <f>IF('Year-end close'!I19="","",'Year-end close'!I19*EXP((INDEX('Rates 2y'!$G$2:$G$11,MATCH(IF($C19="GBp","GBP",$C19),'Rates 2y'!$A$2:$A$11,0))-'Dividend yield'!I19)*2))</f>
        <v>80.6802213817637</v>
      </c>
      <c r="J19" s="6">
        <f>IF('Year-end close'!J19="","",'Year-end close'!J19*EXP((INDEX('Rates 2y'!$H$2:$H$11,MATCH(IF($C19="GBp","GBP",$C19),'Rates 2y'!$A$2:$A$11,0))-'Dividend yield'!J19)*2))</f>
        <v>71.39367229146076</v>
      </c>
      <c r="K19" s="6">
        <f>IF('Year-end close'!K19="","",'Year-end close'!K19*EXP((INDEX('Rates 2y'!$I$2:$I$11,MATCH(IF($C19="GBp","GBP",$C19),'Rates 2y'!$A$2:$A$11,0))-'Dividend yield'!K19)*2))</f>
        <v>36.56196764349771</v>
      </c>
      <c r="L19" s="6">
        <f>IF('Year-end close'!L19="","",'Year-end close'!L19*EXP((INDEX('Rates 2y'!$J$2:$J$11,MATCH(IF($C19="GBp","GBP",$C19),'Rates 2y'!$A$2:$A$11,0))-'Dividend yield'!L19)*2))</f>
        <v>58.79145017847912</v>
      </c>
      <c r="M19" s="6">
        <f>IF('Year-end close'!M19="","",'Year-end close'!M19*EXP((INDEX('Rates 2y'!$K$2:$K$11,MATCH(IF($C19="GBp","GBP",$C19),'Rates 2y'!$A$2:$A$11,0))-'Dividend yield'!M19)*2))</f>
        <v>54.895062752013345</v>
      </c>
    </row>
    <row r="20">
      <c r="A20" s="2" t="inlineStr">
        <is>
          <t>MT</t>
        </is>
      </c>
      <c r="B20" s="2" t="inlineStr">
        <is>
          <t>ArcelorMittal SA</t>
        </is>
      </c>
      <c r="C20" s="2" t="inlineStr">
        <is>
          <t>USD</t>
        </is>
      </c>
      <c r="D20" s="6">
        <f>IF('Year-end close'!D20="","",'Year-end close'!D20*EXP((INDEX('Rates 2y'!$B$2:$B$11,MATCH(IF($C20="GBp","GBP",$C20),'Rates 2y'!$A$2:$A$11,0))-'Dividend yield'!D20)*2))</f>
        <v>33.55469452426078</v>
      </c>
      <c r="E20" s="6">
        <f>IF('Year-end close'!E20="","",'Year-end close'!E20*EXP((INDEX('Rates 2y'!$C$2:$C$11,MATCH(IF($C20="GBp","GBP",$C20),'Rates 2y'!$A$2:$A$11,0))-'Dividend yield'!E20)*2))</f>
        <v>21.516226549238862</v>
      </c>
      <c r="F20" s="6">
        <f>IF('Year-end close'!F20="","",'Year-end close'!F20*EXP((INDEX('Rates 2y'!$D$2:$D$11,MATCH(IF($C20="GBp","GBP",$C20),'Rates 2y'!$A$2:$A$11,0))-'Dividend yield'!F20)*2))</f>
        <v>17.694926975479948</v>
      </c>
      <c r="G20" s="6">
        <f>IF('Year-end close'!G20="","",'Year-end close'!G20*EXP((INDEX('Rates 2y'!$E$2:$E$11,MATCH(IF($C20="GBp","GBP",$C20),'Rates 2y'!$A$2:$A$11,0))-'Dividend yield'!G20)*2))</f>
        <v>22.95961746912536</v>
      </c>
      <c r="H20" s="6">
        <f>IF('Year-end close'!H20="","",'Year-end close'!H20*EXP((INDEX('Rates 2y'!$F$2:$F$11,MATCH(IF($C20="GBp","GBP",$C20),'Rates 2y'!$A$2:$A$11,0))-'Dividend yield'!H20)*2))</f>
        <v>31.695009557878187</v>
      </c>
      <c r="I20" s="6">
        <f>IF('Year-end close'!I20="","",'Year-end close'!I20*EXP((INDEX('Rates 2y'!$G$2:$G$11,MATCH(IF($C20="GBp","GBP",$C20),'Rates 2y'!$A$2:$A$11,0))-'Dividend yield'!I20)*2))</f>
        <v>27.83060956153703</v>
      </c>
      <c r="J20" s="6">
        <f>IF('Year-end close'!J20="","",'Year-end close'!J20*EXP((INDEX('Rates 2y'!$H$2:$H$11,MATCH(IF($C20="GBp","GBP",$C20),'Rates 2y'!$A$2:$A$11,0))-'Dividend yield'!J20)*2))</f>
        <v>29.965327716253864</v>
      </c>
      <c r="K20" s="6">
        <f>IF('Year-end close'!K20="","",'Year-end close'!K20*EXP((INDEX('Rates 2y'!$I$2:$I$11,MATCH(IF($C20="GBp","GBP",$C20),'Rates 2y'!$A$2:$A$11,0))-'Dividend yield'!K20)*2))</f>
        <v>24.111682552158936</v>
      </c>
      <c r="L20" s="6">
        <f>IF('Year-end close'!L20="","",'Year-end close'!L20*EXP((INDEX('Rates 2y'!$J$2:$J$11,MATCH(IF($C20="GBp","GBP",$C20),'Rates 2y'!$A$2:$A$11,0))-'Dividend yield'!L20)*2))</f>
        <v>47.689517044177705</v>
      </c>
      <c r="M20" s="6">
        <f>IF('Year-end close'!M20="","",'Year-end close'!M20*EXP((INDEX('Rates 2y'!$K$2:$K$11,MATCH(IF($C20="GBp","GBP",$C20),'Rates 2y'!$A$2:$A$11,0))-'Dividend yield'!M20)*2))</f>
        <v>74.83723632183798</v>
      </c>
    </row>
    <row r="21">
      <c r="A21" s="2" t="inlineStr">
        <is>
          <t>NEM</t>
        </is>
      </c>
      <c r="B21" s="2" t="inlineStr">
        <is>
          <t>Newmont Corp</t>
        </is>
      </c>
      <c r="C21" s="2" t="inlineStr">
        <is>
          <t>USD</t>
        </is>
      </c>
      <c r="D21" s="6">
        <f>IF('Year-end close'!D21="","",'Year-end close'!D21*EXP((INDEX('Rates 2y'!$B$2:$B$11,MATCH(IF($C21="GBp","GBP",$C21),'Rates 2y'!$A$2:$A$11,0))-'Dividend yield'!D21)*2))</f>
        <v>38.44959351591461</v>
      </c>
      <c r="E21" s="6">
        <f>IF('Year-end close'!E21="","",'Year-end close'!E21*EXP((INDEX('Rates 2y'!$C$2:$C$11,MATCH(IF($C21="GBp","GBP",$C21),'Rates 2y'!$A$2:$A$11,0))-'Dividend yield'!E21)*2))</f>
        <v>35.26086559659437</v>
      </c>
      <c r="F21" s="6">
        <f>IF('Year-end close'!F21="","",'Year-end close'!F21*EXP((INDEX('Rates 2y'!$D$2:$D$11,MATCH(IF($C21="GBp","GBP",$C21),'Rates 2y'!$A$2:$A$11,0))-'Dividend yield'!F21)*2))</f>
        <v>41.9688153868552</v>
      </c>
      <c r="G21" s="6">
        <f>IF('Year-end close'!G21="","",'Year-end close'!G21*EXP((INDEX('Rates 2y'!$E$2:$E$11,MATCH(IF($C21="GBp","GBP",$C21),'Rates 2y'!$A$2:$A$11,0))-'Dividend yield'!G21)*2))</f>
        <v>57.99631918913842</v>
      </c>
      <c r="H21" s="6">
        <f>IF('Year-end close'!H21="","",'Year-end close'!H21*EXP((INDEX('Rates 2y'!$F$2:$F$11,MATCH(IF($C21="GBp","GBP",$C21),'Rates 2y'!$A$2:$A$11,0))-'Dividend yield'!H21)*2))</f>
        <v>58.622167713274834</v>
      </c>
      <c r="I21" s="6">
        <f>IF('Year-end close'!I21="","",'Year-end close'!I21*EXP((INDEX('Rates 2y'!$G$2:$G$11,MATCH(IF($C21="GBp","GBP",$C21),'Rates 2y'!$A$2:$A$11,0))-'Dividend yield'!I21)*2))</f>
        <v>46.982438952994286</v>
      </c>
      <c r="J21" s="6">
        <f>IF('Year-end close'!J21="","",'Year-end close'!J21*EXP((INDEX('Rates 2y'!$H$2:$H$11,MATCH(IF($C21="GBp","GBP",$C21),'Rates 2y'!$A$2:$A$11,0))-'Dividend yield'!J21)*2))</f>
        <v>41.70934922696188</v>
      </c>
      <c r="K21" s="6">
        <f>IF('Year-end close'!K21="","",'Year-end close'!K21*EXP((INDEX('Rates 2y'!$I$2:$I$11,MATCH(IF($C21="GBp","GBP",$C21),'Rates 2y'!$A$2:$A$11,0))-'Dividend yield'!K21)*2))</f>
        <v>38.39442440304576</v>
      </c>
      <c r="L21" s="6">
        <f>IF('Year-end close'!L21="","",'Year-end close'!L21*EXP((INDEX('Rates 2y'!$J$2:$J$11,MATCH(IF($C21="GBp","GBP",$C21),'Rates 2y'!$A$2:$A$11,0))-'Dividend yield'!L21)*2))</f>
        <v>104.9242918260195</v>
      </c>
      <c r="M21" s="6">
        <f>IF('Year-end close'!M21="","",'Year-end close'!M21*EXP((INDEX('Rates 2y'!$K$2:$K$11,MATCH(IF($C21="GBp","GBP",$C21),'Rates 2y'!$A$2:$A$11,0))-'Dividend yield'!M21)*2))</f>
        <v>128.5209550122866</v>
      </c>
    </row>
    <row r="22">
      <c r="A22" s="2" t="inlineStr">
        <is>
          <t>NEXA</t>
        </is>
      </c>
      <c r="B22" s="2" t="inlineStr">
        <is>
          <t>Nexa Resources SA</t>
        </is>
      </c>
      <c r="C22" s="2" t="inlineStr">
        <is>
          <t>USD</t>
        </is>
      </c>
      <c r="D22" s="6">
        <f>IF('Year-end close'!D22="","",'Year-end close'!D22*EXP((INDEX('Rates 2y'!$B$2:$B$11,MATCH(IF($C22="GBp","GBP",$C22),'Rates 2y'!$A$2:$A$11,0))-'Dividend yield'!D22)*2))</f>
        <v>20.36544598021522</v>
      </c>
      <c r="E22" s="6">
        <f>IF('Year-end close'!E22="","",'Year-end close'!E22*EXP((INDEX('Rates 2y'!$C$2:$C$11,MATCH(IF($C22="GBp","GBP",$C22),'Rates 2y'!$A$2:$A$11,0))-'Dividend yield'!E22)*2))</f>
        <v>11.30786385573524</v>
      </c>
      <c r="F22" s="6">
        <f>IF('Year-end close'!F22="","",'Year-end close'!F22*EXP((INDEX('Rates 2y'!$D$2:$D$11,MATCH(IF($C22="GBp","GBP",$C22),'Rates 2y'!$A$2:$A$11,0))-'Dividend yield'!F22)*2))</f>
        <v>7.384610555138683</v>
      </c>
      <c r="G22" s="6">
        <f>IF('Year-end close'!G22="","",'Year-end close'!G22*EXP((INDEX('Rates 2y'!$E$2:$E$11,MATCH(IF($C22="GBp","GBP",$C22),'Rates 2y'!$A$2:$A$11,0))-'Dividend yield'!G22)*2))</f>
        <v>8.936080843066925</v>
      </c>
      <c r="H22" s="6">
        <f>IF('Year-end close'!H22="","",'Year-end close'!H22*EXP((INDEX('Rates 2y'!$F$2:$F$11,MATCH(IF($C22="GBp","GBP",$C22),'Rates 2y'!$A$2:$A$11,0))-'Dividend yield'!H22)*2))</f>
        <v>7.457428177419517</v>
      </c>
      <c r="I22" s="6">
        <f>IF('Year-end close'!I22="","",'Year-end close'!I22*EXP((INDEX('Rates 2y'!$G$2:$G$11,MATCH(IF($C22="GBp","GBP",$C22),'Rates 2y'!$A$2:$A$11,0))-'Dividend yield'!I22)*2))</f>
        <v>5.812280523130181</v>
      </c>
      <c r="J22" s="6">
        <f>IF('Year-end close'!J22="","",'Year-end close'!J22*EXP((INDEX('Rates 2y'!$H$2:$H$11,MATCH(IF($C22="GBp","GBP",$C22),'Rates 2y'!$A$2:$A$11,0))-'Dividend yield'!J22)*2))</f>
        <v>7.372602586428081</v>
      </c>
      <c r="K22" s="6">
        <f>IF('Year-end close'!K22="","",'Year-end close'!K22*EXP((INDEX('Rates 2y'!$I$2:$I$11,MATCH(IF($C22="GBp","GBP",$C22),'Rates 2y'!$A$2:$A$11,0))-'Dividend yield'!K22)*2))</f>
        <v>9.57879423650995</v>
      </c>
      <c r="L22" s="6">
        <f>IF('Year-end close'!L22="","",'Year-end close'!L22*EXP((INDEX('Rates 2y'!$J$2:$J$11,MATCH(IF($C22="GBp","GBP",$C22),'Rates 2y'!$A$2:$A$11,0))-'Dividend yield'!L22)*2))</f>
        <v>9.27380221598005</v>
      </c>
      <c r="M22" s="6">
        <f>IF('Year-end close'!M22="","",'Year-end close'!M22*EXP((INDEX('Rates 2y'!$K$2:$K$11,MATCH(IF($C22="GBp","GBP",$C22),'Rates 2y'!$A$2:$A$11,0))-'Dividend yield'!M22)*2))</f>
        <v>13.05661742094819</v>
      </c>
    </row>
    <row r="23">
      <c r="A23" s="2" t="inlineStr">
        <is>
          <t>NST.AX</t>
        </is>
      </c>
      <c r="B23" s="2" t="inlineStr">
        <is>
          <t>Northern Star Resources Ltd</t>
        </is>
      </c>
      <c r="C23" s="2" t="inlineStr">
        <is>
          <t>AUD</t>
        </is>
      </c>
      <c r="D23" s="6">
        <f>IF('Year-end close'!D23="","",'Year-end close'!D23*EXP((INDEX('Rates 2y'!$B$2:$B$11,MATCH(IF($C23="GBp","GBP",$C23),'Rates 2y'!$A$2:$A$11,0))-'Dividend yield'!D23)*2))</f>
        <v>6.16433812761238</v>
      </c>
      <c r="E23" s="6">
        <f>IF('Year-end close'!E23="","",'Year-end close'!E23*EXP((INDEX('Rates 2y'!$C$2:$C$11,MATCH(IF($C23="GBp","GBP",$C23),'Rates 2y'!$A$2:$A$11,0))-'Dividend yield'!E23)*2))</f>
        <v>9.40254018910926</v>
      </c>
      <c r="F23" s="6">
        <f>IF('Year-end close'!F23="","",'Year-end close'!F23*EXP((INDEX('Rates 2y'!$D$2:$D$11,MATCH(IF($C23="GBp","GBP",$C23),'Rates 2y'!$A$2:$A$11,0))-'Dividend yield'!F23)*2))</f>
        <v>11.243782285477415</v>
      </c>
      <c r="G23" s="6">
        <f>IF('Year-end close'!G23="","",'Year-end close'!G23*EXP((INDEX('Rates 2y'!$E$2:$E$11,MATCH(IF($C23="GBp","GBP",$C23),'Rates 2y'!$A$2:$A$11,0))-'Dividend yield'!G23)*2))</f>
        <v>12.185665253959097</v>
      </c>
      <c r="H23" s="6">
        <f>IF('Year-end close'!H23="","",'Year-end close'!H23*EXP((INDEX('Rates 2y'!$F$2:$F$11,MATCH(IF($C23="GBp","GBP",$C23),'Rates 2y'!$A$2:$A$11,0))-'Dividend yield'!H23)*2))</f>
        <v>9.146679832458695</v>
      </c>
      <c r="I23" s="6">
        <f>IF('Year-end close'!I23="","",'Year-end close'!I23*EXP((INDEX('Rates 2y'!$G$2:$G$11,MATCH(IF($C23="GBp","GBP",$C23),'Rates 2y'!$A$2:$A$11,0))-'Dividend yield'!I23)*2))</f>
        <v>11.248848859837095</v>
      </c>
      <c r="J23" s="6">
        <f>IF('Year-end close'!J23="","",'Year-end close'!J23*EXP((INDEX('Rates 2y'!$H$2:$H$11,MATCH(IF($C23="GBp","GBP",$C23),'Rates 2y'!$A$2:$A$11,0))-'Dividend yield'!J23)*2))</f>
        <v>14.138640662181972</v>
      </c>
      <c r="K23" s="6">
        <f>IF('Year-end close'!K23="","",'Year-end close'!K23*EXP((INDEX('Rates 2y'!$I$2:$I$11,MATCH(IF($C23="GBp","GBP",$C23),'Rates 2y'!$A$2:$A$11,0))-'Dividend yield'!K23)*2))</f>
        <v>15.833810275732196</v>
      </c>
      <c r="L23" s="6">
        <f>IF('Year-end close'!L23="","",'Year-end close'!L23*EXP((INDEX('Rates 2y'!$J$2:$J$11,MATCH(IF($C23="GBp","GBP",$C23),'Rates 2y'!$A$2:$A$11,0))-'Dividend yield'!L23)*2))</f>
        <v>27.73331866217576</v>
      </c>
      <c r="M23" s="6">
        <f>IF('Year-end close'!M23="","",'Year-end close'!M23*EXP((INDEX('Rates 2y'!$K$2:$K$11,MATCH(IF($C23="GBp","GBP",$C23),'Rates 2y'!$A$2:$A$11,0))-'Dividend yield'!M23)*2))</f>
        <v>22.743468263337693</v>
      </c>
    </row>
    <row r="24">
      <c r="A24" s="2" t="inlineStr">
        <is>
          <t>RIO.L</t>
        </is>
      </c>
      <c r="B24" s="2" t="inlineStr">
        <is>
          <t>Rio Tinto plc</t>
        </is>
      </c>
      <c r="C24" s="2" t="inlineStr">
        <is>
          <t>GBp</t>
        </is>
      </c>
      <c r="D24" s="6">
        <f>IF('Year-end close'!D24="","",'Year-end close'!D24*EXP((INDEX('Rates 2y'!$B$2:$B$11,MATCH(IF($C24="GBp","GBP",$C24),'Rates 2y'!$A$2:$A$11,0))-'Dividend yield'!D24)*2))</f>
        <v>3623.6876991296112</v>
      </c>
      <c r="E24" s="6">
        <f>IF('Year-end close'!E24="","",'Year-end close'!E24*EXP((INDEX('Rates 2y'!$C$2:$C$11,MATCH(IF($C24="GBp","GBP",$C24),'Rates 2y'!$A$2:$A$11,0))-'Dividend yield'!E24)*2))</f>
        <v>3353.8006785571574</v>
      </c>
      <c r="F24" s="6">
        <f>IF('Year-end close'!F24="","",'Year-end close'!F24*EXP((INDEX('Rates 2y'!$D$2:$D$11,MATCH(IF($C24="GBp","GBP",$C24),'Rates 2y'!$A$2:$A$11,0))-'Dividend yield'!F24)*2))</f>
        <v>3658.06325230794</v>
      </c>
      <c r="G24" s="6">
        <f>IF('Year-end close'!G24="","",'Year-end close'!G24*EXP((INDEX('Rates 2y'!$E$2:$E$11,MATCH(IF($C24="GBp","GBP",$C24),'Rates 2y'!$A$2:$A$11,0))-'Dividend yield'!G24)*2))</f>
        <v>4892.036194128945</v>
      </c>
      <c r="H24" s="6">
        <f>IF('Year-end close'!H24="","",'Year-end close'!H24*EXP((INDEX('Rates 2y'!$F$2:$F$11,MATCH(IF($C24="GBp","GBP",$C24),'Rates 2y'!$A$2:$A$11,0))-'Dividend yield'!H24)*2))</f>
        <v>3738.9066077885686</v>
      </c>
      <c r="I24" s="6">
        <f>IF('Year-end close'!I24="","",'Year-end close'!I24*EXP((INDEX('Rates 2y'!$G$2:$G$11,MATCH(IF($C24="GBp","GBP",$C24),'Rates 2y'!$A$2:$A$11,0))-'Dividend yield'!I24)*2))</f>
        <v>5111.6948913302</v>
      </c>
      <c r="J24" s="6">
        <f>IF('Year-end close'!J24="","",'Year-end close'!J24*EXP((INDEX('Rates 2y'!$H$2:$H$11,MATCH(IF($C24="GBp","GBP",$C24),'Rates 2y'!$A$2:$A$11,0))-'Dividend yield'!J24)*2))</f>
        <v>5666.021545330197</v>
      </c>
      <c r="K24" s="6">
        <f>IF('Year-end close'!K24="","",'Year-end close'!K24*EXP((INDEX('Rates 2y'!$I$2:$I$11,MATCH(IF($C24="GBp","GBP",$C24),'Rates 2y'!$A$2:$A$11,0))-'Dividend yield'!K24)*2))</f>
        <v>4469.686137849077</v>
      </c>
      <c r="L24" s="6">
        <f>IF('Year-end close'!L24="","",'Year-end close'!L24*EXP((INDEX('Rates 2y'!$J$2:$J$11,MATCH(IF($C24="GBp","GBP",$C24),'Rates 2y'!$A$2:$A$11,0))-'Dividend yield'!L24)*2))</f>
        <v>5875.6046206873425</v>
      </c>
      <c r="M24" s="6">
        <f>IF('Year-end close'!M24="","",'Year-end close'!M24*EXP((INDEX('Rates 2y'!$K$2:$K$11,MATCH(IF($C24="GBp","GBP",$C24),'Rates 2y'!$A$2:$A$11,0))-'Dividend yield'!M24)*2))</f>
        <v>6924.6479504623985</v>
      </c>
    </row>
    <row r="25">
      <c r="A25" s="2" t="inlineStr">
        <is>
          <t>SCCO</t>
        </is>
      </c>
      <c r="B25" s="2" t="inlineStr">
        <is>
          <t>Southern Copper Corp</t>
        </is>
      </c>
      <c r="C25" s="2" t="inlineStr">
        <is>
          <t>USD</t>
        </is>
      </c>
      <c r="D25" s="6">
        <f>IF('Year-end close'!D25="","",'Year-end close'!D25*EXP((INDEX('Rates 2y'!$B$2:$B$11,MATCH(IF($C25="GBp","GBP",$C25),'Rates 2y'!$A$2:$A$11,0))-'Dividend yield'!D25)*2))</f>
        <v>48.06760824772728</v>
      </c>
      <c r="E25" s="6">
        <f>IF('Year-end close'!E25="","",'Year-end close'!E25*EXP((INDEX('Rates 2y'!$C$2:$C$11,MATCH(IF($C25="GBp","GBP",$C25),'Rates 2y'!$A$2:$A$11,0))-'Dividend yield'!E25)*2))</f>
        <v>29.52809518679886</v>
      </c>
      <c r="F25" s="6">
        <f>IF('Year-end close'!F25="","",'Year-end close'!F25*EXP((INDEX('Rates 2y'!$D$2:$D$11,MATCH(IF($C25="GBp","GBP",$C25),'Rates 2y'!$A$2:$A$11,0))-'Dividend yield'!F25)*2))</f>
        <v>39.82119773582458</v>
      </c>
      <c r="G25" s="6">
        <f>IF('Year-end close'!G25="","",'Year-end close'!G25*EXP((INDEX('Rates 2y'!$E$2:$E$11,MATCH(IF($C25="GBp","GBP",$C25),'Rates 2y'!$A$2:$A$11,0))-'Dividend yield'!G25)*2))</f>
        <v>62.35000309057981</v>
      </c>
      <c r="H25" s="6">
        <f>IF('Year-end close'!H25="","",'Year-end close'!H25*EXP((INDEX('Rates 2y'!$F$2:$F$11,MATCH(IF($C25="GBp","GBP",$C25),'Rates 2y'!$A$2:$A$11,0))-'Dividend yield'!H25)*2))</f>
        <v>56.44891062358241</v>
      </c>
      <c r="I25" s="6">
        <f>IF('Year-end close'!I25="","",'Year-end close'!I25*EXP((INDEX('Rates 2y'!$G$2:$G$11,MATCH(IF($C25="GBp","GBP",$C25),'Rates 2y'!$A$2:$A$11,0))-'Dividend yield'!I25)*2))</f>
        <v>58.76283094954327</v>
      </c>
      <c r="J25" s="6">
        <f>IF('Year-end close'!J25="","",'Year-end close'!J25*EXP((INDEX('Rates 2y'!$H$2:$H$11,MATCH(IF($C25="GBp","GBP",$C25),'Rates 2y'!$A$2:$A$11,0))-'Dividend yield'!J25)*2))</f>
        <v>85.38862700318654</v>
      </c>
      <c r="K25" s="6">
        <f>IF('Year-end close'!K25="","",'Year-end close'!K25*EXP((INDEX('Rates 2y'!$I$2:$I$11,MATCH(IF($C25="GBp","GBP",$C25),'Rates 2y'!$A$2:$A$11,0))-'Dividend yield'!K25)*2))</f>
        <v>94.76717163401403</v>
      </c>
      <c r="L25" s="6">
        <f>IF('Year-end close'!L25="","",'Year-end close'!L25*EXP((INDEX('Rates 2y'!$J$2:$J$11,MATCH(IF($C25="GBp","GBP",$C25),'Rates 2y'!$A$2:$A$11,0))-'Dividend yield'!L25)*2))</f>
        <v>147.43950471282474</v>
      </c>
      <c r="M25" s="6">
        <f>IF('Year-end close'!M25="","",'Year-end close'!M25*EXP((INDEX('Rates 2y'!$K$2:$K$11,MATCH(IF($C25="GBp","GBP",$C25),'Rates 2y'!$A$2:$A$11,0))-'Dividend yield'!M25)*2))</f>
        <v>212.2052061548921</v>
      </c>
    </row>
    <row r="26">
      <c r="A26" s="2" t="inlineStr">
        <is>
          <t>VALE3.SA</t>
        </is>
      </c>
      <c r="B26" s="2" t="inlineStr">
        <is>
          <t>Vale SA</t>
        </is>
      </c>
      <c r="C26" s="2" t="inlineStr">
        <is>
          <t>BRL</t>
        </is>
      </c>
      <c r="D26" s="6">
        <f>IF('Year-end close'!D26="","",'Year-end close'!D26*EXP((INDEX('Rates 2y'!$B$2:$B$11,MATCH(IF($C26="GBp","GBP",$C26),'Rates 2y'!$A$2:$A$11,0))-'Dividend yield'!D26)*2))</f>
        <v>43.79468312665415</v>
      </c>
      <c r="E26" s="6">
        <f>IF('Year-end close'!E26="","",'Year-end close'!E26*EXP((INDEX('Rates 2y'!$C$2:$C$11,MATCH(IF($C26="GBp","GBP",$C26),'Rates 2y'!$A$2:$A$11,0))-'Dividend yield'!E26)*2))</f>
        <v>54.52261843472542</v>
      </c>
      <c r="F26" s="6">
        <f>IF('Year-end close'!F26="","",'Year-end close'!F26*EXP((INDEX('Rates 2y'!$D$2:$D$11,MATCH(IF($C26="GBp","GBP",$C26),'Rates 2y'!$A$2:$A$11,0))-'Dividend yield'!F26)*2))</f>
        <v>56.19705375132531</v>
      </c>
      <c r="G26" s="6">
        <f>IF('Year-end close'!G26="","",'Year-end close'!G26*EXP((INDEX('Rates 2y'!$E$2:$E$11,MATCH(IF($C26="GBp","GBP",$C26),'Rates 2y'!$A$2:$A$11,0))-'Dividend yield'!G26)*2))</f>
        <v>90.1979952728004</v>
      </c>
      <c r="H26" s="6">
        <f>IF('Year-end close'!H26="","",'Year-end close'!H26*EXP((INDEX('Rates 2y'!$F$2:$F$11,MATCH(IF($C26="GBp","GBP",$C26),'Rates 2y'!$A$2:$A$11,0))-'Dividend yield'!H26)*2))</f>
        <v>67.11448380036956</v>
      </c>
      <c r="I26" s="6">
        <f>IF('Year-end close'!I26="","",'Year-end close'!I26*EXP((INDEX('Rates 2y'!$G$2:$G$11,MATCH(IF($C26="GBp","GBP",$C26),'Rates 2y'!$A$2:$A$11,0))-'Dividend yield'!I26)*2))</f>
        <v>97.968416423252</v>
      </c>
      <c r="J26" s="6">
        <f>IF('Year-end close'!J26="","",'Year-end close'!J26*EXP((INDEX('Rates 2y'!$H$2:$H$11,MATCH(IF($C26="GBp","GBP",$C26),'Rates 2y'!$A$2:$A$11,0))-'Dividend yield'!J26)*2))</f>
        <v>81.04004838821257</v>
      </c>
      <c r="K26" s="6">
        <f>IF('Year-end close'!K26="","",'Year-end close'!K26*EXP((INDEX('Rates 2y'!$I$2:$I$11,MATCH(IF($C26="GBp","GBP",$C26),'Rates 2y'!$A$2:$A$11,0))-'Dividend yield'!K26)*2))</f>
        <v>60.999258738955746</v>
      </c>
      <c r="L26" s="6">
        <f>IF('Year-end close'!L26="","",'Year-end close'!L26*EXP((INDEX('Rates 2y'!$J$2:$J$11,MATCH(IF($C26="GBp","GBP",$C26),'Rates 2y'!$A$2:$A$11,0))-'Dividend yield'!L26)*2))</f>
        <v>76.8883530367795</v>
      </c>
      <c r="M26" s="6">
        <f>IF('Year-end close'!M26="","",'Year-end close'!M26*EXP((INDEX('Rates 2y'!$K$2:$K$11,MATCH(IF($C26="GBp","GBP",$C26),'Rates 2y'!$A$2:$A$11,0))-'Dividend yield'!M26)*2))</f>
        <v>88.2386593924333</v>
      </c>
    </row>
    <row r="27"/>
    <row r="28">
      <c r="A28" s="2" t="inlineStr">
        <is>
          <t>Price a 2-year future set at the end of (column year - 2) would have had: close x exp((2y rate - dividend yield) x 2). Carry only, not a forecast.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  <c r="L1" s="1" t="inlineStr">
        <is>
          <t>2027</t>
        </is>
      </c>
      <c r="M1" s="1" t="inlineStr">
        <is>
          <t>2028</t>
        </is>
      </c>
    </row>
    <row r="2">
      <c r="A2" s="2" t="inlineStr">
        <is>
          <t>000408.SZ</t>
        </is>
      </c>
      <c r="B2" s="2" t="inlineStr">
        <is>
          <t>Zangge Mining Co Ltd</t>
        </is>
      </c>
      <c r="C2" s="2" t="inlineStr">
        <is>
          <t>USD</t>
        </is>
      </c>
      <c r="D2" s="6">
        <f>IF('2y forward'!D2="","",'2y forward'!D2/IF('2y forward'!$C2="GBp",100,1)/INDEX('FX 2y forward'!$B$2:$B$11,MATCH(IF('2y forward'!$C2="GBp","GBP",'2y forward'!$C2),'FX 2y forward'!$A$2:$A$11,0)))</f>
        <v>2.7204973240901014</v>
      </c>
      <c r="E2" s="6">
        <f>IF('2y forward'!E2="","",'2y forward'!E2/IF('2y forward'!$C2="GBp",100,1)/INDEX('FX 2y forward'!$C$2:$C$11,MATCH(IF('2y forward'!$C2="GBp","GBP",'2y forward'!$C2),'FX 2y forward'!$A$2:$A$11,0)))</f>
        <v>1.714782598279566</v>
      </c>
      <c r="F2" s="6">
        <f>IF('2y forward'!F2="","",'2y forward'!F2/IF('2y forward'!$C2="GBp",100,1)/INDEX('FX 2y forward'!$D$2:$D$11,MATCH(IF('2y forward'!$C2="GBp","GBP",'2y forward'!$C2),'FX 2y forward'!$A$2:$A$11,0)))</f>
        <v>1.0903605661556002</v>
      </c>
      <c r="G2" s="6">
        <f>IF('2y forward'!G2="","",'2y forward'!G2/IF('2y forward'!$C2="GBp",100,1)/INDEX('FX 2y forward'!$E$2:$E$11,MATCH(IF('2y forward'!$C2="GBp","GBP",'2y forward'!$C2),'FX 2y forward'!$A$2:$A$11,0)))</f>
        <v>1.2313104623101438</v>
      </c>
      <c r="H2" s="6">
        <f>IF('2y forward'!H2="","",'2y forward'!H2/IF('2y forward'!$C2="GBp",100,1)/INDEX('FX 2y forward'!$F$2:$F$11,MATCH(IF('2y forward'!$C2="GBp","GBP",'2y forward'!$C2),'FX 2y forward'!$A$2:$A$11,0)))</f>
        <v>6.528929414810147</v>
      </c>
      <c r="I2" s="6">
        <f>IF('2y forward'!I2="","",'2y forward'!I2/IF('2y forward'!$C2="GBp",100,1)/INDEX('FX 2y forward'!$G$2:$G$11,MATCH(IF('2y forward'!$C2="GBp","GBP",'2y forward'!$C2),'FX 2y forward'!$A$2:$A$11,0)))</f>
        <v>3.521014816465098</v>
      </c>
      <c r="J2" s="6">
        <f>IF('2y forward'!J2="","",'2y forward'!J2/IF('2y forward'!$C2="GBp",100,1)/INDEX('FX 2y forward'!$H$2:$H$11,MATCH(IF('2y forward'!$C2="GBp","GBP",'2y forward'!$C2),'FX 2y forward'!$A$2:$A$11,0)))</f>
        <v>3.37837208240505</v>
      </c>
      <c r="K2" s="6">
        <f>IF('2y forward'!K2="","",'2y forward'!K2/IF('2y forward'!$C2="GBp",100,1)/INDEX('FX 2y forward'!$I$2:$I$11,MATCH(IF('2y forward'!$C2="GBp","GBP",'2y forward'!$C2),'FX 2y forward'!$A$2:$A$11,0)))</f>
        <v>3.831471064218077</v>
      </c>
      <c r="L2" s="6">
        <f>IF('2y forward'!L2="","",'2y forward'!L2/IF('2y forward'!$C2="GBp",100,1)/INDEX('FX 2y forward'!$J$2:$J$11,MATCH(IF('2y forward'!$C2="GBp","GBP",'2y forward'!$C2),'FX 2y forward'!$A$2:$A$11,0)))</f>
        <v>12.630550860660694</v>
      </c>
      <c r="M2" s="6">
        <f>IF('2y forward'!M2="","",'2y forward'!M2/IF('2y forward'!$C2="GBp",100,1)/INDEX('FX 2y forward'!$K$2:$K$11,MATCH(IF('2y forward'!$C2="GBp","GBP",'2y forward'!$C2),'FX 2y forward'!$A$2:$A$11,0)))</f>
        <v>10.642188920464488</v>
      </c>
    </row>
    <row r="3">
      <c r="A3" s="2" t="inlineStr">
        <is>
          <t>1208.HK</t>
        </is>
      </c>
      <c r="B3" s="2" t="inlineStr">
        <is>
          <t>MMG Ltd</t>
        </is>
      </c>
      <c r="C3" s="2" t="inlineStr">
        <is>
          <t>USD</t>
        </is>
      </c>
      <c r="D3" s="6">
        <f>IF('2y forward'!D3="","",'2y forward'!D3/IF('2y forward'!$C3="GBp",100,1)/INDEX('FX 2y forward'!$B$2:$B$11,MATCH(IF('2y forward'!$C3="GBp","GBP",'2y forward'!$C3),'FX 2y forward'!$A$2:$A$11,0)))</f>
        <v>0.5154885897978748</v>
      </c>
      <c r="E3" s="6">
        <f>IF('2y forward'!E3="","",'2y forward'!E3/IF('2y forward'!$C3="GBp",100,1)/INDEX('FX 2y forward'!$C$2:$C$11,MATCH(IF('2y forward'!$C3="GBp","GBP",'2y forward'!$C3),'FX 2y forward'!$A$2:$A$11,0)))</f>
        <v>0.4523203091495476</v>
      </c>
      <c r="F3" s="6">
        <f>IF('2y forward'!F3="","",'2y forward'!F3/IF('2y forward'!$C3="GBp",100,1)/INDEX('FX 2y forward'!$D$2:$D$11,MATCH(IF('2y forward'!$C3="GBp","GBP",'2y forward'!$C3),'FX 2y forward'!$A$2:$A$11,0)))</f>
        <v>0.3101044823885825</v>
      </c>
      <c r="G3" s="6">
        <f>IF('2y forward'!G3="","",'2y forward'!G3/IF('2y forward'!$C3="GBp",100,1)/INDEX('FX 2y forward'!$E$2:$E$11,MATCH(IF('2y forward'!$C3="GBp","GBP",'2y forward'!$C3),'FX 2y forward'!$A$2:$A$11,0)))</f>
        <v>0.4332615255089083</v>
      </c>
      <c r="H3" s="6">
        <f>IF('2y forward'!H3="","",'2y forward'!H3/IF('2y forward'!$C3="GBp",100,1)/INDEX('FX 2y forward'!$F$2:$F$11,MATCH(IF('2y forward'!$C3="GBp","GBP",'2y forward'!$C3),'FX 2y forward'!$A$2:$A$11,0)))</f>
        <v>0.32532840420211295</v>
      </c>
      <c r="I3" s="6">
        <f>IF('2y forward'!I3="","",'2y forward'!I3/IF('2y forward'!$C3="GBp",100,1)/INDEX('FX 2y forward'!$G$2:$G$11,MATCH(IF('2y forward'!$C3="GBp","GBP",'2y forward'!$C3),'FX 2y forward'!$A$2:$A$11,0)))</f>
        <v>0.2803662915679446</v>
      </c>
      <c r="J3" s="6">
        <f>IF('2y forward'!J3="","",'2y forward'!J3/IF('2y forward'!$C3="GBp",100,1)/INDEX('FX 2y forward'!$H$2:$H$11,MATCH(IF('2y forward'!$C3="GBp","GBP",'2y forward'!$C3),'FX 2y forward'!$A$2:$A$11,0)))</f>
        <v>0.32194070816883447</v>
      </c>
      <c r="K3" s="6">
        <f>IF('2y forward'!K3="","",'2y forward'!K3/IF('2y forward'!$C3="GBp",100,1)/INDEX('FX 2y forward'!$I$2:$I$11,MATCH(IF('2y forward'!$C3="GBp","GBP",'2y forward'!$C3),'FX 2y forward'!$A$2:$A$11,0)))</f>
        <v>0.3603327515680979</v>
      </c>
      <c r="L3" s="6">
        <f>IF('2y forward'!L3="","",'2y forward'!L3/IF('2y forward'!$C3="GBp",100,1)/INDEX('FX 2y forward'!$J$2:$J$11,MATCH(IF('2y forward'!$C3="GBp","GBP",'2y forward'!$C3),'FX 2y forward'!$A$2:$A$11,0)))</f>
        <v>1.213909657255541</v>
      </c>
      <c r="M3" s="6">
        <f>IF('2y forward'!M3="","",'2y forward'!M3/IF('2y forward'!$C3="GBp",100,1)/INDEX('FX 2y forward'!$K$2:$K$11,MATCH(IF('2y forward'!$C3="GBp","GBP",'2y forward'!$C3),'FX 2y forward'!$A$2:$A$11,0)))</f>
        <v>1.1679778296303387</v>
      </c>
    </row>
    <row r="4">
      <c r="A4" s="2" t="inlineStr">
        <is>
          <t>1211.SR</t>
        </is>
      </c>
      <c r="B4" s="2" t="inlineStr">
        <is>
          <t>Saudi Arabian Mining Co (Maaden)</t>
        </is>
      </c>
      <c r="C4" s="2" t="inlineStr">
        <is>
          <t>USD</t>
        </is>
      </c>
      <c r="D4" s="6">
        <f>IF('2y forward'!D4="","",'2y forward'!D4/IF('2y forward'!$C4="GBp",100,1)/INDEX('FX 2y forward'!$B$2:$B$11,MATCH(IF('2y forward'!$C4="GBp","GBP",'2y forward'!$C4),'FX 2y forward'!$A$2:$A$11,0)))</f>
        <v>14.445502652661503</v>
      </c>
      <c r="E4" s="6">
        <f>IF('2y forward'!E4="","",'2y forward'!E4/IF('2y forward'!$C4="GBp",100,1)/INDEX('FX 2y forward'!$C$2:$C$11,MATCH(IF('2y forward'!$C4="GBp","GBP",'2y forward'!$C4),'FX 2y forward'!$A$2:$A$11,0)))</f>
        <v>13.81242184587816</v>
      </c>
      <c r="F4" s="6">
        <f>IF('2y forward'!F4="","",'2y forward'!F4/IF('2y forward'!$C4="GBp",100,1)/INDEX('FX 2y forward'!$D$2:$D$11,MATCH(IF('2y forward'!$C4="GBp","GBP",'2y forward'!$C4),'FX 2y forward'!$A$2:$A$11,0)))</f>
        <v>12.225464841068167</v>
      </c>
      <c r="G4" s="6">
        <f>IF('2y forward'!G4="","",'2y forward'!G4/IF('2y forward'!$C4="GBp",100,1)/INDEX('FX 2y forward'!$E$2:$E$11,MATCH(IF('2y forward'!$C4="GBp","GBP",'2y forward'!$C4),'FX 2y forward'!$A$2:$A$11,0)))</f>
        <v>10.83474451003231</v>
      </c>
      <c r="H4" s="6">
        <f>IF('2y forward'!H4="","",'2y forward'!H4/IF('2y forward'!$C4="GBp",100,1)/INDEX('FX 2y forward'!$F$2:$F$11,MATCH(IF('2y forward'!$C4="GBp","GBP",'2y forward'!$C4),'FX 2y forward'!$A$2:$A$11,0)))</f>
        <v>21.241360574469663</v>
      </c>
      <c r="I4" s="6">
        <f>IF('2y forward'!I4="","",'2y forward'!I4/IF('2y forward'!$C4="GBp",100,1)/INDEX('FX 2y forward'!$G$2:$G$11,MATCH(IF('2y forward'!$C4="GBp","GBP",'2y forward'!$C4),'FX 2y forward'!$A$2:$A$11,0)))</f>
        <v>18.826931333149496</v>
      </c>
      <c r="J4" s="6">
        <f>IF('2y forward'!J4="","",'2y forward'!J4/IF('2y forward'!$C4="GBp",100,1)/INDEX('FX 2y forward'!$H$2:$H$11,MATCH(IF('2y forward'!$C4="GBp","GBP",'2y forward'!$C4),'FX 2y forward'!$A$2:$A$11,0)))</f>
        <v>14.113250410244968</v>
      </c>
      <c r="K4" s="6">
        <f>IF('2y forward'!K4="","",'2y forward'!K4/IF('2y forward'!$C4="GBp",100,1)/INDEX('FX 2y forward'!$I$2:$I$11,MATCH(IF('2y forward'!$C4="GBp","GBP",'2y forward'!$C4),'FX 2y forward'!$A$2:$A$11,0)))</f>
        <v>14.592687934997256</v>
      </c>
      <c r="L4" s="6">
        <f>IF('2y forward'!L4="","",'2y forward'!L4/IF('2y forward'!$C4="GBp",100,1)/INDEX('FX 2y forward'!$J$2:$J$11,MATCH(IF('2y forward'!$C4="GBp","GBP",'2y forward'!$C4),'FX 2y forward'!$A$2:$A$11,0)))</f>
        <v>17.43462502383687</v>
      </c>
      <c r="M4" s="6">
        <f>IF('2y forward'!M4="","",'2y forward'!M4/IF('2y forward'!$C4="GBp",100,1)/INDEX('FX 2y forward'!$K$2:$K$11,MATCH(IF('2y forward'!$C4="GBp","GBP",'2y forward'!$C4),'FX 2y forward'!$A$2:$A$11,0)))</f>
        <v>17.447738064726803</v>
      </c>
    </row>
    <row r="5">
      <c r="A5" s="2" t="inlineStr">
        <is>
          <t>2899.HK</t>
        </is>
      </c>
      <c r="B5" s="2" t="inlineStr">
        <is>
          <t>Zijin Mining Group Co Ltd</t>
        </is>
      </c>
      <c r="C5" s="2" t="inlineStr">
        <is>
          <t>USD</t>
        </is>
      </c>
      <c r="D5" s="6">
        <f>IF('2y forward'!D5="","",'2y forward'!D5/IF('2y forward'!$C5="GBp",100,1)/INDEX('FX 2y forward'!$B$2:$B$11,MATCH(IF('2y forward'!$C5="GBp","GBP",'2y forward'!$C5),'FX 2y forward'!$A$2:$A$11,0)))</f>
        <v>0.37410076478529647</v>
      </c>
      <c r="E5" s="6">
        <f>IF('2y forward'!E5="","",'2y forward'!E5/IF('2y forward'!$C5="GBp",100,1)/INDEX('FX 2y forward'!$C$2:$C$11,MATCH(IF('2y forward'!$C5="GBp","GBP",'2y forward'!$C5),'FX 2y forward'!$A$2:$A$11,0)))</f>
        <v>0.3698907848080283</v>
      </c>
      <c r="F5" s="6">
        <f>IF('2y forward'!F5="","",'2y forward'!F5/IF('2y forward'!$C5="GBp",100,1)/INDEX('FX 2y forward'!$D$2:$D$11,MATCH(IF('2y forward'!$C5="GBp","GBP",'2y forward'!$C5),'FX 2y forward'!$A$2:$A$11,0)))</f>
        <v>0.48489166988300875</v>
      </c>
      <c r="G5" s="6">
        <f>IF('2y forward'!G5="","",'2y forward'!G5/IF('2y forward'!$C5="GBp",100,1)/INDEX('FX 2y forward'!$E$2:$E$11,MATCH(IF('2y forward'!$C5="GBp","GBP",'2y forward'!$C5),'FX 2y forward'!$A$2:$A$11,0)))</f>
        <v>1.1062641544608003</v>
      </c>
      <c r="H5" s="6">
        <f>IF('2y forward'!H5="","",'2y forward'!H5/IF('2y forward'!$C5="GBp",100,1)/INDEX('FX 2y forward'!$F$2:$F$11,MATCH(IF('2y forward'!$C5="GBp","GBP",'2y forward'!$C5),'FX 2y forward'!$A$2:$A$11,0)))</f>
        <v>1.1704504591736922</v>
      </c>
      <c r="I5" s="6">
        <f>IF('2y forward'!I5="","",'2y forward'!I5/IF('2y forward'!$C5="GBp",100,1)/INDEX('FX 2y forward'!$G$2:$G$11,MATCH(IF('2y forward'!$C5="GBp","GBP",'2y forward'!$C5),'FX 2y forward'!$A$2:$A$11,0)))</f>
        <v>1.419337054117678</v>
      </c>
      <c r="J5" s="6">
        <f>IF('2y forward'!J5="","",'2y forward'!J5/IF('2y forward'!$C5="GBp",100,1)/INDEX('FX 2y forward'!$H$2:$H$11,MATCH(IF('2y forward'!$C5="GBp","GBP",'2y forward'!$C5),'FX 2y forward'!$A$2:$A$11,0)))</f>
        <v>1.6970308188378762</v>
      </c>
      <c r="K5" s="6">
        <f>IF('2y forward'!K5="","",'2y forward'!K5/IF('2y forward'!$C5="GBp",100,1)/INDEX('FX 2y forward'!$I$2:$I$11,MATCH(IF('2y forward'!$C5="GBp","GBP",'2y forward'!$C5),'FX 2y forward'!$A$2:$A$11,0)))</f>
        <v>1.8950776706152277</v>
      </c>
      <c r="L5" s="6">
        <f>IF('2y forward'!L5="","",'2y forward'!L5/IF('2y forward'!$C5="GBp",100,1)/INDEX('FX 2y forward'!$J$2:$J$11,MATCH(IF('2y forward'!$C5="GBp","GBP",'2y forward'!$C5),'FX 2y forward'!$A$2:$A$11,0)))</f>
        <v>4.765776319050806</v>
      </c>
      <c r="M5" s="6">
        <f>IF('2y forward'!M5="","",'2y forward'!M5/IF('2y forward'!$C5="GBp",100,1)/INDEX('FX 2y forward'!$K$2:$K$11,MATCH(IF('2y forward'!$C5="GBp","GBP",'2y forward'!$C5),'FX 2y forward'!$A$2:$A$11,0)))</f>
        <v>4.1975863247568705</v>
      </c>
    </row>
    <row r="6">
      <c r="A6" s="2" t="inlineStr">
        <is>
          <t>AAL.L</t>
        </is>
      </c>
      <c r="B6" s="2" t="inlineStr">
        <is>
          <t>Anglo American plc</t>
        </is>
      </c>
      <c r="C6" s="2" t="inlineStr">
        <is>
          <t>USD</t>
        </is>
      </c>
      <c r="D6" s="6">
        <f>IF('2y forward'!D6="","",'2y forward'!D6/IF('2y forward'!$C6="GBp",100,1)/INDEX('FX 2y forward'!$B$2:$B$11,MATCH(IF('2y forward'!$C6="GBp","GBP",'2y forward'!$C6),'FX 2y forward'!$A$2:$A$11,0)))</f>
        <v>20.462473942265547</v>
      </c>
      <c r="E6" s="6">
        <f>IF('2y forward'!E6="","",'2y forward'!E6/IF('2y forward'!$C6="GBp",100,1)/INDEX('FX 2y forward'!$C$2:$C$11,MATCH(IF('2y forward'!$C6="GBp","GBP",'2y forward'!$C6),'FX 2y forward'!$A$2:$A$11,0)))</f>
        <v>21.060368633953395</v>
      </c>
      <c r="F6" s="6">
        <f>IF('2y forward'!F6="","",'2y forward'!F6/IF('2y forward'!$C6="GBp",100,1)/INDEX('FX 2y forward'!$D$2:$D$11,MATCH(IF('2y forward'!$C6="GBp","GBP",'2y forward'!$C6),'FX 2y forward'!$A$2:$A$11,0)))</f>
        <v>26.698156923985813</v>
      </c>
      <c r="G6" s="6">
        <f>IF('2y forward'!G6="","",'2y forward'!G6/IF('2y forward'!$C6="GBp",100,1)/INDEX('FX 2y forward'!$E$2:$E$11,MATCH(IF('2y forward'!$C6="GBp","GBP",'2y forward'!$C6),'FX 2y forward'!$A$2:$A$11,0)))</f>
        <v>31.30370179926652</v>
      </c>
      <c r="H6" s="6">
        <f>IF('2y forward'!H6="","",'2y forward'!H6/IF('2y forward'!$C6="GBp",100,1)/INDEX('FX 2y forward'!$F$2:$F$11,MATCH(IF('2y forward'!$C6="GBp","GBP",'2y forward'!$C6),'FX 2y forward'!$A$2:$A$11,0)))</f>
        <v>34.530062882419855</v>
      </c>
      <c r="I6" s="6">
        <f>IF('2y forward'!I6="","",'2y forward'!I6/IF('2y forward'!$C6="GBp",100,1)/INDEX('FX 2y forward'!$G$2:$G$11,MATCH(IF('2y forward'!$C6="GBp","GBP",'2y forward'!$C6),'FX 2y forward'!$A$2:$A$11,0)))</f>
        <v>36.00600536103741</v>
      </c>
      <c r="J6" s="6">
        <f>IF('2y forward'!J6="","",'2y forward'!J6/IF('2y forward'!$C6="GBp",100,1)/INDEX('FX 2y forward'!$H$2:$H$11,MATCH(IF('2y forward'!$C6="GBp","GBP",'2y forward'!$C6),'FX 2y forward'!$A$2:$A$11,0)))</f>
        <v>24.20522001703223</v>
      </c>
      <c r="K6" s="6">
        <f>IF('2y forward'!K6="","",'2y forward'!K6/IF('2y forward'!$C6="GBp",100,1)/INDEX('FX 2y forward'!$I$2:$I$11,MATCH(IF('2y forward'!$C6="GBp","GBP",'2y forward'!$C6),'FX 2y forward'!$A$2:$A$11,0)))</f>
        <v>30.30387404676398</v>
      </c>
      <c r="L6" s="6">
        <f>IF('2y forward'!L6="","",'2y forward'!L6/IF('2y forward'!$C6="GBp",100,1)/INDEX('FX 2y forward'!$J$2:$J$11,MATCH(IF('2y forward'!$C6="GBp","GBP",'2y forward'!$C6),'FX 2y forward'!$A$2:$A$11,0)))</f>
        <v>43.85279928103538</v>
      </c>
      <c r="M6" s="6">
        <f>IF('2y forward'!M6="","",'2y forward'!M6/IF('2y forward'!$C6="GBp",100,1)/INDEX('FX 2y forward'!$K$2:$K$11,MATCH(IF('2y forward'!$C6="GBp","GBP",'2y forward'!$C6),'FX 2y forward'!$A$2:$A$11,0)))</f>
        <v>56.533560411197755</v>
      </c>
    </row>
    <row r="7">
      <c r="A7" s="2" t="inlineStr">
        <is>
          <t>AEM</t>
        </is>
      </c>
      <c r="B7" s="2" t="inlineStr">
        <is>
          <t>Agnico Eagle Mines Ltd</t>
        </is>
      </c>
      <c r="C7" s="2" t="inlineStr">
        <is>
          <t>USD</t>
        </is>
      </c>
      <c r="D7" s="6">
        <f>IF('2y forward'!D7="","",'2y forward'!D7/IF('2y forward'!$C7="GBp",100,1)/INDEX('FX 2y forward'!$B$2:$B$11,MATCH(IF('2y forward'!$C7="GBp","GBP",'2y forward'!$C7),'FX 2y forward'!$A$2:$A$11,0)))</f>
        <v>47.11497089554837</v>
      </c>
      <c r="E7" s="6">
        <f>IF('2y forward'!E7="","",'2y forward'!E7/IF('2y forward'!$C7="GBp",100,1)/INDEX('FX 2y forward'!$C$2:$C$11,MATCH(IF('2y forward'!$C7="GBp","GBP",'2y forward'!$C7),'FX 2y forward'!$A$2:$A$11,0)))</f>
        <v>41.547933506697966</v>
      </c>
      <c r="F7" s="6">
        <f>IF('2y forward'!F7="","",'2y forward'!F7/IF('2y forward'!$C7="GBp",100,1)/INDEX('FX 2y forward'!$D$2:$D$11,MATCH(IF('2y forward'!$C7="GBp","GBP",'2y forward'!$C7),'FX 2y forward'!$A$2:$A$11,0)))</f>
        <v>62.46273850452674</v>
      </c>
      <c r="G7" s="6">
        <f>IF('2y forward'!G7="","",'2y forward'!G7/IF('2y forward'!$C7="GBp",100,1)/INDEX('FX 2y forward'!$E$2:$E$11,MATCH(IF('2y forward'!$C7="GBp","GBP",'2y forward'!$C7),'FX 2y forward'!$A$2:$A$11,0)))</f>
        <v>68.81409159978766</v>
      </c>
      <c r="H7" s="6">
        <f>IF('2y forward'!H7="","",'2y forward'!H7/IF('2y forward'!$C7="GBp",100,1)/INDEX('FX 2y forward'!$F$2:$F$11,MATCH(IF('2y forward'!$C7="GBp","GBP",'2y forward'!$C7),'FX 2y forward'!$A$2:$A$11,0)))</f>
        <v>51.15385930741229</v>
      </c>
      <c r="I7" s="6">
        <f>IF('2y forward'!I7="","",'2y forward'!I7/IF('2y forward'!$C7="GBp",100,1)/INDEX('FX 2y forward'!$G$2:$G$11,MATCH(IF('2y forward'!$C7="GBp","GBP",'2y forward'!$C7),'FX 2y forward'!$A$2:$A$11,0)))</f>
        <v>53.41552277504428</v>
      </c>
      <c r="J7" s="6">
        <f>IF('2y forward'!J7="","",'2y forward'!J7/IF('2y forward'!$C7="GBp",100,1)/INDEX('FX 2y forward'!$H$2:$H$11,MATCH(IF('2y forward'!$C7="GBp","GBP",'2y forward'!$C7),'FX 2y forward'!$A$2:$A$11,0)))</f>
        <v>56.33196785614951</v>
      </c>
      <c r="K7" s="6">
        <f>IF('2y forward'!K7="","",'2y forward'!K7/IF('2y forward'!$C7="GBp",100,1)/INDEX('FX 2y forward'!$I$2:$I$11,MATCH(IF('2y forward'!$C7="GBp","GBP",'2y forward'!$C7),'FX 2y forward'!$A$2:$A$11,0)))</f>
        <v>81.71859006955317</v>
      </c>
      <c r="L7" s="6">
        <f>IF('2y forward'!L7="","",'2y forward'!L7/IF('2y forward'!$C7="GBp",100,1)/INDEX('FX 2y forward'!$J$2:$J$11,MATCH(IF('2y forward'!$C7="GBp","GBP",'2y forward'!$C7),'FX 2y forward'!$A$2:$A$11,0)))</f>
        <v>178.35106840975996</v>
      </c>
      <c r="M7" s="6">
        <f>IF('2y forward'!M7="","",'2y forward'!M7/IF('2y forward'!$C7="GBp",100,1)/INDEX('FX 2y forward'!$K$2:$K$11,MATCH(IF('2y forward'!$C7="GBp","GBP",'2y forward'!$C7),'FX 2y forward'!$A$2:$A$11,0)))</f>
        <v>205.62319225333906</v>
      </c>
    </row>
    <row r="8">
      <c r="A8" s="2" t="inlineStr">
        <is>
          <t>B</t>
        </is>
      </c>
      <c r="B8" s="2" t="inlineStr">
        <is>
          <t>Barrick Mining Corp</t>
        </is>
      </c>
      <c r="C8" s="2" t="inlineStr">
        <is>
          <t>USD</t>
        </is>
      </c>
      <c r="D8" s="6">
        <f>IF('2y forward'!D8="","",'2y forward'!D8/IF('2y forward'!$C8="GBp",100,1)/INDEX('FX 2y forward'!$B$2:$B$11,MATCH(IF('2y forward'!$C8="GBp","GBP",'2y forward'!$C8),'FX 2y forward'!$A$2:$A$11,0)))</f>
        <v>14.780245721365489</v>
      </c>
      <c r="E8" s="6">
        <f>IF('2y forward'!E8="","",'2y forward'!E8/IF('2y forward'!$C8="GBp",100,1)/INDEX('FX 2y forward'!$C$2:$C$11,MATCH(IF('2y forward'!$C8="GBp","GBP",'2y forward'!$C8),'FX 2y forward'!$A$2:$A$11,0)))</f>
        <v>13.837527252282543</v>
      </c>
      <c r="F8" s="6">
        <f>IF('2y forward'!F8="","",'2y forward'!F8/IF('2y forward'!$C8="GBp",100,1)/INDEX('FX 2y forward'!$D$2:$D$11,MATCH(IF('2y forward'!$C8="GBp","GBP",'2y forward'!$C8),'FX 2y forward'!$A$2:$A$11,0)))</f>
        <v>18.920345068180705</v>
      </c>
      <c r="G8" s="6">
        <f>IF('2y forward'!G8="","",'2y forward'!G8/IF('2y forward'!$C8="GBp",100,1)/INDEX('FX 2y forward'!$E$2:$E$11,MATCH(IF('2y forward'!$C8="GBp","GBP",'2y forward'!$C8),'FX 2y forward'!$A$2:$A$11,0)))</f>
        <v>22.226092977233026</v>
      </c>
      <c r="H8" s="6">
        <f>IF('2y forward'!H8="","",'2y forward'!H8/IF('2y forward'!$C8="GBp",100,1)/INDEX('FX 2y forward'!$F$2:$F$11,MATCH(IF('2y forward'!$C8="GBp","GBP",'2y forward'!$C8),'FX 2y forward'!$A$2:$A$11,0)))</f>
        <v>17.75972013306405</v>
      </c>
      <c r="I8" s="6">
        <f>IF('2y forward'!I8="","",'2y forward'!I8/IF('2y forward'!$C8="GBp",100,1)/INDEX('FX 2y forward'!$G$2:$G$11,MATCH(IF('2y forward'!$C8="GBp","GBP",'2y forward'!$C8),'FX 2y forward'!$A$2:$A$11,0)))</f>
        <v>17.403579728020794</v>
      </c>
      <c r="J8" s="6">
        <f>IF('2y forward'!J8="","",'2y forward'!J8/IF('2y forward'!$C8="GBp",100,1)/INDEX('FX 2y forward'!$H$2:$H$11,MATCH(IF('2y forward'!$C8="GBp","GBP",'2y forward'!$C8),'FX 2y forward'!$A$2:$A$11,0)))</f>
        <v>18.842883310690574</v>
      </c>
      <c r="K8" s="6">
        <f>IF('2y forward'!K8="","",'2y forward'!K8/IF('2y forward'!$C8="GBp",100,1)/INDEX('FX 2y forward'!$I$2:$I$11,MATCH(IF('2y forward'!$C8="GBp","GBP",'2y forward'!$C8),'FX 2y forward'!$A$2:$A$11,0)))</f>
        <v>16.023045407635355</v>
      </c>
      <c r="L8" s="6">
        <f>IF('2y forward'!L8="","",'2y forward'!L8/IF('2y forward'!$C8="GBp",100,1)/INDEX('FX 2y forward'!$J$2:$J$11,MATCH(IF('2y forward'!$C8="GBp","GBP",'2y forward'!$C8),'FX 2y forward'!$A$2:$A$11,0)))</f>
        <v>45.57684048025381</v>
      </c>
      <c r="M8" s="6">
        <f>IF('2y forward'!M8="","",'2y forward'!M8/IF('2y forward'!$C8="GBp",100,1)/INDEX('FX 2y forward'!$K$2:$K$11,MATCH(IF('2y forward'!$C8="GBp","GBP",'2y forward'!$C8),'FX 2y forward'!$A$2:$A$11,0)))</f>
        <v>44.34906014506732</v>
      </c>
    </row>
    <row r="9">
      <c r="A9" s="2" t="inlineStr">
        <is>
          <t>BHP.AX</t>
        </is>
      </c>
      <c r="B9" s="2" t="inlineStr">
        <is>
          <t>BHP Group Ltd</t>
        </is>
      </c>
      <c r="C9" s="2" t="inlineStr">
        <is>
          <t>USD</t>
        </is>
      </c>
      <c r="D9" s="6">
        <f>IF('2y forward'!D9="","",'2y forward'!D9/IF('2y forward'!$C9="GBp",100,1)/INDEX('FX 2y forward'!$B$2:$B$11,MATCH(IF('2y forward'!$C9="GBp","GBP",'2y forward'!$C9),'FX 2y forward'!$A$2:$A$11,0)))</f>
        <v>22.081709925355394</v>
      </c>
      <c r="E9" s="6">
        <f>IF('2y forward'!E9="","",'2y forward'!E9/IF('2y forward'!$C9="GBp",100,1)/INDEX('FX 2y forward'!$C$2:$C$11,MATCH(IF('2y forward'!$C9="GBp","GBP",'2y forward'!$C9),'FX 2y forward'!$A$2:$A$11,0)))</f>
        <v>22.87646914901911</v>
      </c>
      <c r="F9" s="6">
        <f>IF('2y forward'!F9="","",'2y forward'!F9/IF('2y forward'!$C9="GBp",100,1)/INDEX('FX 2y forward'!$D$2:$D$11,MATCH(IF('2y forward'!$C9="GBp","GBP",'2y forward'!$C9),'FX 2y forward'!$A$2:$A$11,0)))</f>
        <v>23.206085816875465</v>
      </c>
      <c r="G9" s="6">
        <f>IF('2y forward'!G9="","",'2y forward'!G9/IF('2y forward'!$C9="GBp",100,1)/INDEX('FX 2y forward'!$E$2:$E$11,MATCH(IF('2y forward'!$C9="GBp","GBP",'2y forward'!$C9),'FX 2y forward'!$A$2:$A$11,0)))</f>
        <v>29.81849406315659</v>
      </c>
      <c r="H9" s="6">
        <f>IF('2y forward'!H9="","",'2y forward'!H9/IF('2y forward'!$C9="GBp",100,1)/INDEX('FX 2y forward'!$F$2:$F$11,MATCH(IF('2y forward'!$C9="GBp","GBP",'2y forward'!$C9),'FX 2y forward'!$A$2:$A$11,0)))</f>
        <v>24.550742393400895</v>
      </c>
      <c r="I9" s="6">
        <f>IF('2y forward'!I9="","",'2y forward'!I9/IF('2y forward'!$C9="GBp",100,1)/INDEX('FX 2y forward'!$G$2:$G$11,MATCH(IF('2y forward'!$C9="GBp","GBP",'2y forward'!$C9),'FX 2y forward'!$A$2:$A$11,0)))</f>
        <v>27.53473937665794</v>
      </c>
      <c r="J9" s="6">
        <f>IF('2y forward'!J9="","",'2y forward'!J9/IF('2y forward'!$C9="GBp",100,1)/INDEX('FX 2y forward'!$H$2:$H$11,MATCH(IF('2y forward'!$C9="GBp","GBP",'2y forward'!$C9),'FX 2y forward'!$A$2:$A$11,0)))</f>
        <v>33.77319935135391</v>
      </c>
      <c r="K9" s="6">
        <f>IF('2y forward'!K9="","",'2y forward'!K9/IF('2y forward'!$C9="GBp",100,1)/INDEX('FX 2y forward'!$I$2:$I$11,MATCH(IF('2y forward'!$C9="GBp","GBP",'2y forward'!$C9),'FX 2y forward'!$A$2:$A$11,0)))</f>
        <v>23.950436136196092</v>
      </c>
      <c r="L9" s="6">
        <f>IF('2y forward'!L9="","",'2y forward'!L9/IF('2y forward'!$C9="GBp",100,1)/INDEX('FX 2y forward'!$J$2:$J$11,MATCH(IF('2y forward'!$C9="GBp","GBP",'2y forward'!$C9),'FX 2y forward'!$A$2:$A$11,0)))</f>
        <v>30.299353921338234</v>
      </c>
      <c r="M9" s="6">
        <f>IF('2y forward'!M9="","",'2y forward'!M9/IF('2y forward'!$C9="GBp",100,1)/INDEX('FX 2y forward'!$K$2:$K$11,MATCH(IF('2y forward'!$C9="GBp","GBP",'2y forward'!$C9),'FX 2y forward'!$A$2:$A$11,0)))</f>
        <v>42.16051305460699</v>
      </c>
    </row>
    <row r="10">
      <c r="A10" s="2" t="inlineStr">
        <is>
          <t>EQX</t>
        </is>
      </c>
      <c r="B10" s="2" t="inlineStr">
        <is>
          <t>Equinox Gold Corp</t>
        </is>
      </c>
      <c r="C10" s="2" t="inlineStr">
        <is>
          <t>USD</t>
        </is>
      </c>
      <c r="D10" s="6" t="str">
        <f>IF('2y forward'!D10="","",'2y forward'!D10/IF('2y forward'!$C10="GBp",100,1)/INDEX('FX 2y forward'!$B$2:$B$11,MATCH(IF('2y forward'!$C10="GBp","GBP",'2y forward'!$C10),'FX 2y forward'!$A$2:$A$11,0)))</f>
        <v/>
      </c>
      <c r="E10" s="6" t="str">
        <f>IF('2y forward'!E10="","",'2y forward'!E10/IF('2y forward'!$C10="GBp",100,1)/INDEX('FX 2y forward'!$C$2:$C$11,MATCH(IF('2y forward'!$C10="GBp","GBP",'2y forward'!$C10),'FX 2y forward'!$A$2:$A$11,0)))</f>
        <v/>
      </c>
      <c r="F10" s="6">
        <f>IF('2y forward'!F10="","",'2y forward'!F10/IF('2y forward'!$C10="GBp",100,1)/INDEX('FX 2y forward'!$D$2:$D$11,MATCH(IF('2y forward'!$C10="GBp","GBP",'2y forward'!$C10),'FX 2y forward'!$A$2:$A$11,0)))</f>
        <v>7.94720527287906</v>
      </c>
      <c r="G10" s="6">
        <f>IF('2y forward'!G10="","",'2y forward'!G10/IF('2y forward'!$C10="GBp",100,1)/INDEX('FX 2y forward'!$E$2:$E$11,MATCH(IF('2y forward'!$C10="GBp","GBP",'2y forward'!$C10),'FX 2y forward'!$A$2:$A$11,0)))</f>
        <v>10.366918979509006</v>
      </c>
      <c r="H10" s="6">
        <f>IF('2y forward'!H10="","",'2y forward'!H10/IF('2y forward'!$C10="GBp",100,1)/INDEX('FX 2y forward'!$F$2:$F$11,MATCH(IF('2y forward'!$C10="GBp","GBP",'2y forward'!$C10),'FX 2y forward'!$A$2:$A$11,0)))</f>
        <v>6.859419999975495</v>
      </c>
      <c r="I10" s="6">
        <f>IF('2y forward'!I10="","",'2y forward'!I10/IF('2y forward'!$C10="GBp",100,1)/INDEX('FX 2y forward'!$G$2:$G$11,MATCH(IF('2y forward'!$C10="GBp","GBP",'2y forward'!$C10),'FX 2y forward'!$A$2:$A$11,0)))</f>
        <v>3.5838707177153872</v>
      </c>
      <c r="J10" s="6">
        <f>IF('2y forward'!J10="","",'2y forward'!J10/IF('2y forward'!$C10="GBp",100,1)/INDEX('FX 2y forward'!$H$2:$H$11,MATCH(IF('2y forward'!$C10="GBp","GBP",'2y forward'!$C10),'FX 2y forward'!$A$2:$A$11,0)))</f>
        <v>5.323826456155169</v>
      </c>
      <c r="K10" s="6">
        <f>IF('2y forward'!K10="","",'2y forward'!K10/IF('2y forward'!$C10="GBp",100,1)/INDEX('FX 2y forward'!$I$2:$I$11,MATCH(IF('2y forward'!$C10="GBp","GBP",'2y forward'!$C10),'FX 2y forward'!$A$2:$A$11,0)))</f>
        <v>5.464266712190902</v>
      </c>
      <c r="L10" s="6">
        <f>IF('2y forward'!L10="","",'2y forward'!L10/IF('2y forward'!$C10="GBp",100,1)/INDEX('FX 2y forward'!$J$2:$J$11,MATCH(IF('2y forward'!$C10="GBp","GBP",'2y forward'!$C10),'FX 2y forward'!$A$2:$A$11,0)))</f>
        <v>15.051992863343862</v>
      </c>
      <c r="M10" s="6">
        <f>IF('2y forward'!M10="","",'2y forward'!M10/IF('2y forward'!$C10="GBp",100,1)/INDEX('FX 2y forward'!$K$2:$K$11,MATCH(IF('2y forward'!$C10="GBp","GBP",'2y forward'!$C10),'FX 2y forward'!$A$2:$A$11,0)))</f>
        <v>12.687485424131955</v>
      </c>
    </row>
    <row r="11">
      <c r="A11" s="2" t="inlineStr">
        <is>
          <t>EVN.AX</t>
        </is>
      </c>
      <c r="B11" s="2" t="inlineStr">
        <is>
          <t>Evolution Mining Ltd</t>
        </is>
      </c>
      <c r="C11" s="2" t="inlineStr">
        <is>
          <t>USD</t>
        </is>
      </c>
      <c r="D11" s="6">
        <f>IF('2y forward'!D11="","",'2y forward'!D11/IF('2y forward'!$C11="GBp",100,1)/INDEX('FX 2y forward'!$B$2:$B$11,MATCH(IF('2y forward'!$C11="GBp","GBP",'2y forward'!$C11),'FX 2y forward'!$A$2:$A$11,0)))</f>
        <v>2.065619845382517</v>
      </c>
      <c r="E11" s="6">
        <f>IF('2y forward'!E11="","",'2y forward'!E11/IF('2y forward'!$C11="GBp",100,1)/INDEX('FX 2y forward'!$C$2:$C$11,MATCH(IF('2y forward'!$C11="GBp","GBP",'2y forward'!$C11),'FX 2y forward'!$A$2:$A$11,0)))</f>
        <v>2.6234015077278037</v>
      </c>
      <c r="F11" s="6">
        <f>IF('2y forward'!F11="","",'2y forward'!F11/IF('2y forward'!$C11="GBp",100,1)/INDEX('FX 2y forward'!$D$2:$D$11,MATCH(IF('2y forward'!$C11="GBp","GBP",'2y forward'!$C11),'FX 2y forward'!$A$2:$A$11,0)))</f>
        <v>2.612025418389248</v>
      </c>
      <c r="G11" s="6">
        <f>IF('2y forward'!G11="","",'2y forward'!G11/IF('2y forward'!$C11="GBp",100,1)/INDEX('FX 2y forward'!$E$2:$E$11,MATCH(IF('2y forward'!$C11="GBp","GBP",'2y forward'!$C11),'FX 2y forward'!$A$2:$A$11,0)))</f>
        <v>3.6079921069161776</v>
      </c>
      <c r="H11" s="6">
        <f>IF('2y forward'!H11="","",'2y forward'!H11/IF('2y forward'!$C11="GBp",100,1)/INDEX('FX 2y forward'!$F$2:$F$11,MATCH(IF('2y forward'!$C11="GBp","GBP",'2y forward'!$C11),'FX 2y forward'!$A$2:$A$11,0)))</f>
        <v>2.815269656886842</v>
      </c>
      <c r="I11" s="6">
        <f>IF('2y forward'!I11="","",'2y forward'!I11/IF('2y forward'!$C11="GBp",100,1)/INDEX('FX 2y forward'!$G$2:$G$11,MATCH(IF('2y forward'!$C11="GBp","GBP",'2y forward'!$C11),'FX 2y forward'!$A$2:$A$11,0)))</f>
        <v>2.116111831620488</v>
      </c>
      <c r="J11" s="6">
        <f>IF('2y forward'!J11="","",'2y forward'!J11/IF('2y forward'!$C11="GBp",100,1)/INDEX('FX 2y forward'!$H$2:$H$11,MATCH(IF('2y forward'!$C11="GBp","GBP",'2y forward'!$C11),'FX 2y forward'!$A$2:$A$11,0)))</f>
        <v>2.884178257222322</v>
      </c>
      <c r="K11" s="6">
        <f>IF('2y forward'!K11="","",'2y forward'!K11/IF('2y forward'!$C11="GBp",100,1)/INDEX('FX 2y forward'!$I$2:$I$11,MATCH(IF('2y forward'!$C11="GBp","GBP",'2y forward'!$C11),'FX 2y forward'!$A$2:$A$11,0)))</f>
        <v>3.163173905101016</v>
      </c>
      <c r="L11" s="6">
        <f>IF('2y forward'!L11="","",'2y forward'!L11/IF('2y forward'!$C11="GBp",100,1)/INDEX('FX 2y forward'!$J$2:$J$11,MATCH(IF('2y forward'!$C11="GBp","GBP",'2y forward'!$C11),'FX 2y forward'!$A$2:$A$11,0)))</f>
        <v>8.822487122862722</v>
      </c>
      <c r="M11" s="6">
        <f>IF('2y forward'!M11="","",'2y forward'!M11/IF('2y forward'!$C11="GBp",100,1)/INDEX('FX 2y forward'!$K$2:$K$11,MATCH(IF('2y forward'!$C11="GBp","GBP",'2y forward'!$C11),'FX 2y forward'!$A$2:$A$11,0)))</f>
        <v>9.710253935061187</v>
      </c>
    </row>
    <row r="12">
      <c r="A12" s="2" t="inlineStr">
        <is>
          <t>FCX</t>
        </is>
      </c>
      <c r="B12" s="2" t="inlineStr">
        <is>
          <t>Freeport-McMoRan Inc</t>
        </is>
      </c>
      <c r="C12" s="2" t="inlineStr">
        <is>
          <t>USD</t>
        </is>
      </c>
      <c r="D12" s="6">
        <f>IF('2y forward'!D12="","",'2y forward'!D12/IF('2y forward'!$C12="GBp",100,1)/INDEX('FX 2y forward'!$B$2:$B$11,MATCH(IF('2y forward'!$C12="GBp","GBP",'2y forward'!$C12),'FX 2y forward'!$A$2:$A$11,0)))</f>
        <v>19.690405700401868</v>
      </c>
      <c r="E12" s="6">
        <f>IF('2y forward'!E12="","",'2y forward'!E12/IF('2y forward'!$C12="GBp",100,1)/INDEX('FX 2y forward'!$C$2:$C$11,MATCH(IF('2y forward'!$C12="GBp","GBP",'2y forward'!$C12),'FX 2y forward'!$A$2:$A$11,0)))</f>
        <v>10.525662237629225</v>
      </c>
      <c r="F12" s="6">
        <f>IF('2y forward'!F12="","",'2y forward'!F12/IF('2y forward'!$C12="GBp",100,1)/INDEX('FX 2y forward'!$D$2:$D$11,MATCH(IF('2y forward'!$C12="GBp","GBP",'2y forward'!$C12),'FX 2y forward'!$A$2:$A$11,0)))</f>
        <v>13.13459755473622</v>
      </c>
      <c r="G12" s="6">
        <f>IF('2y forward'!G12="","",'2y forward'!G12/IF('2y forward'!$C12="GBp",100,1)/INDEX('FX 2y forward'!$E$2:$E$11,MATCH(IF('2y forward'!$C12="GBp","GBP",'2y forward'!$C12),'FX 2y forward'!$A$2:$A$11,0)))</f>
        <v>25.98765124509729</v>
      </c>
      <c r="H12" s="6">
        <f>IF('2y forward'!H12="","",'2y forward'!H12/IF('2y forward'!$C12="GBp",100,1)/INDEX('FX 2y forward'!$F$2:$F$11,MATCH(IF('2y forward'!$C12="GBp","GBP",'2y forward'!$C12),'FX 2y forward'!$A$2:$A$11,0)))</f>
        <v>41.88954589997015</v>
      </c>
      <c r="I12" s="6">
        <f>IF('2y forward'!I12="","",'2y forward'!I12/IF('2y forward'!$C12="GBp",100,1)/INDEX('FX 2y forward'!$G$2:$G$11,MATCH(IF('2y forward'!$C12="GBp","GBP",'2y forward'!$C12),'FX 2y forward'!$A$2:$A$11,0)))</f>
        <v>40.229805841021964</v>
      </c>
      <c r="J12" s="6">
        <f>IF('2y forward'!J12="","",'2y forward'!J12/IF('2y forward'!$C12="GBp",100,1)/INDEX('FX 2y forward'!$H$2:$H$11,MATCH(IF('2y forward'!$C12="GBp","GBP",'2y forward'!$C12),'FX 2y forward'!$A$2:$A$11,0)))</f>
        <v>45.058506053074645</v>
      </c>
      <c r="K12" s="6">
        <f>IF('2y forward'!K12="","",'2y forward'!K12/IF('2y forward'!$C12="GBp",100,1)/INDEX('FX 2y forward'!$I$2:$I$11,MATCH(IF('2y forward'!$C12="GBp","GBP",'2y forward'!$C12),'FX 2y forward'!$A$2:$A$11,0)))</f>
        <v>40.164246523612135</v>
      </c>
      <c r="L12" s="6">
        <f>IF('2y forward'!L12="","",'2y forward'!L12/IF('2y forward'!$C12="GBp",100,1)/INDEX('FX 2y forward'!$J$2:$J$11,MATCH(IF('2y forward'!$C12="GBp","GBP",'2y forward'!$C12),'FX 2y forward'!$A$2:$A$11,0)))</f>
        <v>53.179526646835185</v>
      </c>
      <c r="M12" s="6">
        <f>IF('2y forward'!M12="","",'2y forward'!M12/IF('2y forward'!$C12="GBp",100,1)/INDEX('FX 2y forward'!$K$2:$K$11,MATCH(IF('2y forward'!$C12="GBp","GBP",'2y forward'!$C12),'FX 2y forward'!$A$2:$A$11,0)))</f>
        <v>76.56319147334578</v>
      </c>
    </row>
    <row r="13">
      <c r="A13" s="2" t="inlineStr">
        <is>
          <t>FMG.AX</t>
        </is>
      </c>
      <c r="B13" s="2" t="inlineStr">
        <is>
          <t>Fortescue Ltd</t>
        </is>
      </c>
      <c r="C13" s="2" t="inlineStr">
        <is>
          <t>USD</t>
        </is>
      </c>
      <c r="D13" s="6">
        <f>IF('2y forward'!D13="","",'2y forward'!D13/IF('2y forward'!$C13="GBp",100,1)/INDEX('FX 2y forward'!$B$2:$B$11,MATCH(IF('2y forward'!$C13="GBp","GBP",'2y forward'!$C13),'FX 2y forward'!$A$2:$A$11,0)))</f>
        <v>3.2848662262156845</v>
      </c>
      <c r="E13" s="6">
        <f>IF('2y forward'!E13="","",'2y forward'!E13/IF('2y forward'!$C13="GBp",100,1)/INDEX('FX 2y forward'!$C$2:$C$11,MATCH(IF('2y forward'!$C13="GBp","GBP",'2y forward'!$C13),'FX 2y forward'!$A$2:$A$11,0)))</f>
        <v>2.779886326179818</v>
      </c>
      <c r="F13" s="6">
        <f>IF('2y forward'!F13="","",'2y forward'!F13/IF('2y forward'!$C13="GBp",100,1)/INDEX('FX 2y forward'!$D$2:$D$11,MATCH(IF('2y forward'!$C13="GBp","GBP",'2y forward'!$C13),'FX 2y forward'!$A$2:$A$11,0)))</f>
        <v>6.241057262117928</v>
      </c>
      <c r="G13" s="6">
        <f>IF('2y forward'!G13="","",'2y forward'!G13/IF('2y forward'!$C13="GBp",100,1)/INDEX('FX 2y forward'!$E$2:$E$11,MATCH(IF('2y forward'!$C13="GBp","GBP",'2y forward'!$C13),'FX 2y forward'!$A$2:$A$11,0)))</f>
        <v>15.543254608730532</v>
      </c>
      <c r="H13" s="6">
        <f>IF('2y forward'!H13="","",'2y forward'!H13/IF('2y forward'!$C13="GBp",100,1)/INDEX('FX 2y forward'!$F$2:$F$11,MATCH(IF('2y forward'!$C13="GBp","GBP",'2y forward'!$C13),'FX 2y forward'!$A$2:$A$11,0)))</f>
        <v>9.734711986511968</v>
      </c>
      <c r="I13" s="6">
        <f>IF('2y forward'!I13="","",'2y forward'!I13/IF('2y forward'!$C13="GBp",100,1)/INDEX('FX 2y forward'!$G$2:$G$11,MATCH(IF('2y forward'!$C13="GBp","GBP",'2y forward'!$C13),'FX 2y forward'!$A$2:$A$11,0)))</f>
        <v>12.391188741327982</v>
      </c>
      <c r="J13" s="6">
        <f>IF('2y forward'!J13="","",'2y forward'!J13/IF('2y forward'!$C13="GBp",100,1)/INDEX('FX 2y forward'!$H$2:$H$11,MATCH(IF('2y forward'!$C13="GBp","GBP",'2y forward'!$C13),'FX 2y forward'!$A$2:$A$11,0)))</f>
        <v>19.116985799484205</v>
      </c>
      <c r="K13" s="6">
        <f>IF('2y forward'!K13="","",'2y forward'!K13/IF('2y forward'!$C13="GBp",100,1)/INDEX('FX 2y forward'!$I$2:$I$11,MATCH(IF('2y forward'!$C13="GBp","GBP",'2y forward'!$C13),'FX 2y forward'!$A$2:$A$11,0)))</f>
        <v>9.9568416688245</v>
      </c>
      <c r="L13" s="6">
        <f>IF('2y forward'!L13="","",'2y forward'!L13/IF('2y forward'!$C13="GBp",100,1)/INDEX('FX 2y forward'!$J$2:$J$11,MATCH(IF('2y forward'!$C13="GBp","GBP",'2y forward'!$C13),'FX 2y forward'!$A$2:$A$11,0)))</f>
        <v>14.301533417591648</v>
      </c>
      <c r="M13" s="6">
        <f>IF('2y forward'!M13="","",'2y forward'!M13/IF('2y forward'!$C13="GBp",100,1)/INDEX('FX 2y forward'!$K$2:$K$11,MATCH(IF('2y forward'!$C13="GBp","GBP",'2y forward'!$C13),'FX 2y forward'!$A$2:$A$11,0)))</f>
        <v>10.787298008888966</v>
      </c>
    </row>
    <row r="14">
      <c r="A14" s="2" t="inlineStr">
        <is>
          <t>FRES.L</t>
        </is>
      </c>
      <c r="B14" s="2" t="inlineStr">
        <is>
          <t>Fresnillo plc</t>
        </is>
      </c>
      <c r="C14" s="2" t="inlineStr">
        <is>
          <t>USD</t>
        </is>
      </c>
      <c r="D14" s="6">
        <f>IF('2y forward'!D14="","",'2y forward'!D14/IF('2y forward'!$C14="GBp",100,1)/INDEX('FX 2y forward'!$B$2:$B$11,MATCH(IF('2y forward'!$C14="GBp","GBP",'2y forward'!$C14),'FX 2y forward'!$A$2:$A$11,0)))</f>
        <v>19.26635356816362</v>
      </c>
      <c r="E14" s="6">
        <f>IF('2y forward'!E14="","",'2y forward'!E14/IF('2y forward'!$C14="GBp",100,1)/INDEX('FX 2y forward'!$C$2:$C$11,MATCH(IF('2y forward'!$C14="GBp","GBP",'2y forward'!$C14),'FX 2y forward'!$A$2:$A$11,0)))</f>
        <v>10.700529558639067</v>
      </c>
      <c r="F14" s="6">
        <f>IF('2y forward'!F14="","",'2y forward'!F14/IF('2y forward'!$C14="GBp",100,1)/INDEX('FX 2y forward'!$D$2:$D$11,MATCH(IF('2y forward'!$C14="GBp","GBP",'2y forward'!$C14),'FX 2y forward'!$A$2:$A$11,0)))</f>
        <v>8.265928557409646</v>
      </c>
      <c r="G14" s="6">
        <f>IF('2y forward'!G14="","",'2y forward'!G14/IF('2y forward'!$C14="GBp",100,1)/INDEX('FX 2y forward'!$E$2:$E$11,MATCH(IF('2y forward'!$C14="GBp","GBP",'2y forward'!$C14),'FX 2y forward'!$A$2:$A$11,0)))</f>
        <v>15.128993223065425</v>
      </c>
      <c r="H14" s="6">
        <f>IF('2y forward'!H14="","",'2y forward'!H14/IF('2y forward'!$C14="GBp",100,1)/INDEX('FX 2y forward'!$F$2:$F$11,MATCH(IF('2y forward'!$C14="GBp","GBP",'2y forward'!$C14),'FX 2y forward'!$A$2:$A$11,0)))</f>
        <v>11.595261292110386</v>
      </c>
      <c r="I14" s="6">
        <f>IF('2y forward'!I14="","",'2y forward'!I14/IF('2y forward'!$C14="GBp",100,1)/INDEX('FX 2y forward'!$G$2:$G$11,MATCH(IF('2y forward'!$C14="GBp","GBP",'2y forward'!$C14),'FX 2y forward'!$A$2:$A$11,0)))</f>
        <v>11.314115265087809</v>
      </c>
      <c r="J14" s="6">
        <f>IF('2y forward'!J14="","",'2y forward'!J14/IF('2y forward'!$C14="GBp",100,1)/INDEX('FX 2y forward'!$H$2:$H$11,MATCH(IF('2y forward'!$C14="GBp","GBP",'2y forward'!$C14),'FX 2y forward'!$A$2:$A$11,0)))</f>
        <v>7.920305481799426</v>
      </c>
      <c r="K14" s="6">
        <f>IF('2y forward'!K14="","",'2y forward'!K14/IF('2y forward'!$C14="GBp",100,1)/INDEX('FX 2y forward'!$I$2:$I$11,MATCH(IF('2y forward'!$C14="GBp","GBP",'2y forward'!$C14),'FX 2y forward'!$A$2:$A$11,0)))</f>
        <v>8.262766428192391</v>
      </c>
      <c r="L14" s="6">
        <f>IF('2y forward'!L14="","",'2y forward'!L14/IF('2y forward'!$C14="GBp",100,1)/INDEX('FX 2y forward'!$J$2:$J$11,MATCH(IF('2y forward'!$C14="GBp","GBP",'2y forward'!$C14),'FX 2y forward'!$A$2:$A$11,0)))</f>
        <v>46.253155164465454</v>
      </c>
      <c r="M14" s="6">
        <f>IF('2y forward'!M14="","",'2y forward'!M14/IF('2y forward'!$C14="GBp",100,1)/INDEX('FX 2y forward'!$K$2:$K$11,MATCH(IF('2y forward'!$C14="GBp","GBP",'2y forward'!$C14),'FX 2y forward'!$A$2:$A$11,0)))</f>
        <v>37.94946227851049</v>
      </c>
    </row>
    <row r="15">
      <c r="A15" s="2" t="inlineStr">
        <is>
          <t>GLEN.L</t>
        </is>
      </c>
      <c r="B15" s="2" t="inlineStr">
        <is>
          <t>Glencore plc</t>
        </is>
      </c>
      <c r="C15" s="2" t="inlineStr">
        <is>
          <t>USD</t>
        </is>
      </c>
      <c r="D15" s="6">
        <f>IF('2y forward'!D15="","",'2y forward'!D15/IF('2y forward'!$C15="GBp",100,1)/INDEX('FX 2y forward'!$B$2:$B$11,MATCH(IF('2y forward'!$C15="GBp","GBP",'2y forward'!$C15),'FX 2y forward'!$A$2:$A$11,0)))</f>
        <v>5.298187586612268</v>
      </c>
      <c r="E15" s="6">
        <f>IF('2y forward'!E15="","",'2y forward'!E15/IF('2y forward'!$C15="GBp",100,1)/INDEX('FX 2y forward'!$C$2:$C$11,MATCH(IF('2y forward'!$C15="GBp","GBP",'2y forward'!$C15),'FX 2y forward'!$A$2:$A$11,0)))</f>
        <v>3.5060012255129807</v>
      </c>
      <c r="F15" s="6">
        <f>IF('2y forward'!F15="","",'2y forward'!F15/IF('2y forward'!$C15="GBp",100,1)/INDEX('FX 2y forward'!$D$2:$D$11,MATCH(IF('2y forward'!$C15="GBp","GBP",'2y forward'!$C15),'FX 2y forward'!$A$2:$A$11,0)))</f>
        <v>2.7884146636419755</v>
      </c>
      <c r="G15" s="6">
        <f>IF('2y forward'!G15="","",'2y forward'!G15/IF('2y forward'!$C15="GBp",100,1)/INDEX('FX 2y forward'!$E$2:$E$11,MATCH(IF('2y forward'!$C15="GBp","GBP",'2y forward'!$C15),'FX 2y forward'!$A$2:$A$11,0)))</f>
        <v>3.1842128049585425</v>
      </c>
      <c r="H15" s="6">
        <f>IF('2y forward'!H15="","",'2y forward'!H15/IF('2y forward'!$C15="GBp",100,1)/INDEX('FX 2y forward'!$F$2:$F$11,MATCH(IF('2y forward'!$C15="GBp","GBP",'2y forward'!$C15),'FX 2y forward'!$A$2:$A$11,0)))</f>
        <v>4.820851621765729</v>
      </c>
      <c r="I15" s="6">
        <f>IF('2y forward'!I15="","",'2y forward'!I15/IF('2y forward'!$C15="GBp",100,1)/INDEX('FX 2y forward'!$G$2:$G$11,MATCH(IF('2y forward'!$C15="GBp","GBP",'2y forward'!$C15),'FX 2y forward'!$A$2:$A$11,0)))</f>
        <v>6.496338693288705</v>
      </c>
      <c r="J15" s="6">
        <f>IF('2y forward'!J15="","",'2y forward'!J15/IF('2y forward'!$C15="GBp",100,1)/INDEX('FX 2y forward'!$H$2:$H$11,MATCH(IF('2y forward'!$C15="GBp","GBP",'2y forward'!$C15),'FX 2y forward'!$A$2:$A$11,0)))</f>
        <v>5.485543132052936</v>
      </c>
      <c r="K15" s="6">
        <f>IF('2y forward'!K15="","",'2y forward'!K15/IF('2y forward'!$C15="GBp",100,1)/INDEX('FX 2y forward'!$I$2:$I$11,MATCH(IF('2y forward'!$C15="GBp","GBP",'2y forward'!$C15),'FX 2y forward'!$A$2:$A$11,0)))</f>
        <v>4.558256022022748</v>
      </c>
      <c r="L15" s="6">
        <f>IF('2y forward'!L15="","",'2y forward'!L15/IF('2y forward'!$C15="GBp",100,1)/INDEX('FX 2y forward'!$J$2:$J$11,MATCH(IF('2y forward'!$C15="GBp","GBP",'2y forward'!$C15),'FX 2y forward'!$A$2:$A$11,0)))</f>
        <v>5.657649598845137</v>
      </c>
      <c r="M15" s="6">
        <f>IF('2y forward'!M15="","",'2y forward'!M15/IF('2y forward'!$C15="GBp",100,1)/INDEX('FX 2y forward'!$K$2:$K$11,MATCH(IF('2y forward'!$C15="GBp","GBP",'2y forward'!$C15),'FX 2y forward'!$A$2:$A$11,0)))</f>
        <v>7.611853445661098</v>
      </c>
    </row>
    <row r="16">
      <c r="A16" s="2" t="inlineStr">
        <is>
          <t>GMEXICOB.MX</t>
        </is>
      </c>
      <c r="B16" s="2" t="inlineStr">
        <is>
          <t>Grupo Mexico SAB de CV</t>
        </is>
      </c>
      <c r="C16" s="2" t="inlineStr">
        <is>
          <t>USD</t>
        </is>
      </c>
      <c r="D16" s="6">
        <f>IF('2y forward'!D16="","",'2y forward'!D16/IF('2y forward'!$C16="GBp",100,1)/INDEX('FX 2y forward'!$B$2:$B$11,MATCH(IF('2y forward'!$C16="GBp","GBP",'2y forward'!$C16),'FX 2y forward'!$A$2:$A$11,0)))</f>
        <v>3.299022109452977</v>
      </c>
      <c r="E16" s="6">
        <f>IF('2y forward'!E16="","",'2y forward'!E16/IF('2y forward'!$C16="GBp",100,1)/INDEX('FX 2y forward'!$C$2:$C$11,MATCH(IF('2y forward'!$C16="GBp","GBP",'2y forward'!$C16),'FX 2y forward'!$A$2:$A$11,0)))</f>
        <v>1.8931568127389808</v>
      </c>
      <c r="F16" s="6">
        <f>IF('2y forward'!F16="","",'2y forward'!F16/IF('2y forward'!$C16="GBp",100,1)/INDEX('FX 2y forward'!$D$2:$D$11,MATCH(IF('2y forward'!$C16="GBp","GBP",'2y forward'!$C16),'FX 2y forward'!$A$2:$A$11,0)))</f>
        <v>2.5808636774799956</v>
      </c>
      <c r="G16" s="6">
        <f>IF('2y forward'!G16="","",'2y forward'!G16/IF('2y forward'!$C16="GBp",100,1)/INDEX('FX 2y forward'!$E$2:$E$11,MATCH(IF('2y forward'!$C16="GBp","GBP",'2y forward'!$C16),'FX 2y forward'!$A$2:$A$11,0)))</f>
        <v>3.9481851203444753</v>
      </c>
      <c r="H16" s="6">
        <f>IF('2y forward'!H16="","",'2y forward'!H16/IF('2y forward'!$C16="GBp",100,1)/INDEX('FX 2y forward'!$F$2:$F$11,MATCH(IF('2y forward'!$C16="GBp","GBP",'2y forward'!$C16),'FX 2y forward'!$A$2:$A$11,0)))</f>
        <v>3.8499789446588055</v>
      </c>
      <c r="I16" s="6">
        <f>IF('2y forward'!I16="","",'2y forward'!I16/IF('2y forward'!$C16="GBp",100,1)/INDEX('FX 2y forward'!$G$2:$G$11,MATCH(IF('2y forward'!$C16="GBp","GBP",'2y forward'!$C16),'FX 2y forward'!$A$2:$A$11,0)))</f>
        <v>3.335262743704175</v>
      </c>
      <c r="J16" s="6">
        <f>IF('2y forward'!J16="","",'2y forward'!J16/IF('2y forward'!$C16="GBp",100,1)/INDEX('FX 2y forward'!$H$2:$H$11,MATCH(IF('2y forward'!$C16="GBp","GBP",'2y forward'!$C16),'FX 2y forward'!$A$2:$A$11,0)))</f>
        <v>5.592713325145798</v>
      </c>
      <c r="K16" s="6">
        <f>IF('2y forward'!K16="","",'2y forward'!K16/IF('2y forward'!$C16="GBp",100,1)/INDEX('FX 2y forward'!$I$2:$I$11,MATCH(IF('2y forward'!$C16="GBp","GBP",'2y forward'!$C16),'FX 2y forward'!$A$2:$A$11,0)))</f>
        <v>4.803127069857918</v>
      </c>
      <c r="L16" s="6">
        <f>IF('2y forward'!L16="","",'2y forward'!L16/IF('2y forward'!$C16="GBp",100,1)/INDEX('FX 2y forward'!$J$2:$J$11,MATCH(IF('2y forward'!$C16="GBp","GBP",'2y forward'!$C16),'FX 2y forward'!$A$2:$A$11,0)))</f>
        <v>9.55869792707137</v>
      </c>
      <c r="M16" s="6">
        <f>IF('2y forward'!M16="","",'2y forward'!M16/IF('2y forward'!$C16="GBp",100,1)/INDEX('FX 2y forward'!$K$2:$K$11,MATCH(IF('2y forward'!$C16="GBp","GBP",'2y forward'!$C16),'FX 2y forward'!$A$2:$A$11,0)))</f>
        <v>13.081929999901483</v>
      </c>
    </row>
    <row r="17">
      <c r="A17" s="2" t="inlineStr">
        <is>
          <t>INCO.JK</t>
        </is>
      </c>
      <c r="B17" s="2" t="inlineStr">
        <is>
          <t>PT Vale Indonesia Tbk</t>
        </is>
      </c>
      <c r="C17" s="2" t="inlineStr">
        <is>
          <t>USD</t>
        </is>
      </c>
      <c r="D17" s="6">
        <f>IF('2y forward'!D17="","",'2y forward'!D17/IF('2y forward'!$C17="GBp",100,1)/INDEX('FX 2y forward'!$B$2:$B$11,MATCH(IF('2y forward'!$C17="GBp","GBP",'2y forward'!$C17),'FX 2y forward'!$A$2:$A$11,0)))</f>
        <v>0.22136988762361098</v>
      </c>
      <c r="E17" s="6">
        <f>IF('2y forward'!E17="","",'2y forward'!E17/IF('2y forward'!$C17="GBp",100,1)/INDEX('FX 2y forward'!$C$2:$C$11,MATCH(IF('2y forward'!$C17="GBp","GBP",'2y forward'!$C17),'FX 2y forward'!$A$2:$A$11,0)))</f>
        <v>0.2354468778924832</v>
      </c>
      <c r="F17" s="6">
        <f>IF('2y forward'!F17="","",'2y forward'!F17/IF('2y forward'!$C17="GBp",100,1)/INDEX('FX 2y forward'!$D$2:$D$11,MATCH(IF('2y forward'!$C17="GBp","GBP",'2y forward'!$C17),'FX 2y forward'!$A$2:$A$11,0)))</f>
        <v>0.26990880626854796</v>
      </c>
      <c r="G17" s="6">
        <f>IF('2y forward'!G17="","",'2y forward'!G17/IF('2y forward'!$C17="GBp",100,1)/INDEX('FX 2y forward'!$E$2:$E$11,MATCH(IF('2y forward'!$C17="GBp","GBP",'2y forward'!$C17),'FX 2y forward'!$A$2:$A$11,0)))</f>
        <v>0.369655176764174</v>
      </c>
      <c r="H17" s="6">
        <f>IF('2y forward'!H17="","",'2y forward'!H17/IF('2y forward'!$C17="GBp",100,1)/INDEX('FX 2y forward'!$F$2:$F$11,MATCH(IF('2y forward'!$C17="GBp","GBP",'2y forward'!$C17),'FX 2y forward'!$A$2:$A$11,0)))</f>
        <v>0.32587091574387816</v>
      </c>
      <c r="I17" s="6">
        <f>IF('2y forward'!I17="","",'2y forward'!I17/IF('2y forward'!$C17="GBp",100,1)/INDEX('FX 2y forward'!$G$2:$G$11,MATCH(IF('2y forward'!$C17="GBp","GBP",'2y forward'!$C17),'FX 2y forward'!$A$2:$A$11,0)))</f>
        <v>0.49665614159027</v>
      </c>
      <c r="J17" s="6">
        <f>IF('2y forward'!J17="","",'2y forward'!J17/IF('2y forward'!$C17="GBp",100,1)/INDEX('FX 2y forward'!$H$2:$H$11,MATCH(IF('2y forward'!$C17="GBp","GBP",'2y forward'!$C17),'FX 2y forward'!$A$2:$A$11,0)))</f>
        <v>0.2919882650589227</v>
      </c>
      <c r="K17" s="6">
        <f>IF('2y forward'!K17="","",'2y forward'!K17/IF('2y forward'!$C17="GBp",100,1)/INDEX('FX 2y forward'!$I$2:$I$11,MATCH(IF('2y forward'!$C17="GBp","GBP",'2y forward'!$C17),'FX 2y forward'!$A$2:$A$11,0)))</f>
        <v>0.2449624337848813</v>
      </c>
      <c r="L17" s="6">
        <f>IF('2y forward'!L17="","",'2y forward'!L17/IF('2y forward'!$C17="GBp",100,1)/INDEX('FX 2y forward'!$J$2:$J$11,MATCH(IF('2y forward'!$C17="GBp","GBP",'2y forward'!$C17),'FX 2y forward'!$A$2:$A$11,0)))</f>
        <v>0.3252548801946025</v>
      </c>
      <c r="M17" s="6">
        <f>IF('2y forward'!M17="","",'2y forward'!M17/IF('2y forward'!$C17="GBp",100,1)/INDEX('FX 2y forward'!$K$2:$K$11,MATCH(IF('2y forward'!$C17="GBp","GBP",'2y forward'!$C17),'FX 2y forward'!$A$2:$A$11,0)))</f>
        <v>0.270938676586682</v>
      </c>
    </row>
    <row r="18">
      <c r="A18" s="2" t="inlineStr">
        <is>
          <t>LUN.TO</t>
        </is>
      </c>
      <c r="B18" s="2" t="inlineStr">
        <is>
          <t>Lundin Mining Corp</t>
        </is>
      </c>
      <c r="C18" s="2" t="inlineStr">
        <is>
          <t>USD</t>
        </is>
      </c>
      <c r="D18" s="6">
        <f>IF('2y forward'!D18="","",'2y forward'!D18/IF('2y forward'!$C18="GBp",100,1)/INDEX('FX 2y forward'!$B$2:$B$11,MATCH(IF('2y forward'!$C18="GBp","GBP",'2y forward'!$C18),'FX 2y forward'!$A$2:$A$11,0)))</f>
        <v>6.713903710200962</v>
      </c>
      <c r="E18" s="6">
        <f>IF('2y forward'!E18="","",'2y forward'!E18/IF('2y forward'!$C18="GBp",100,1)/INDEX('FX 2y forward'!$C$2:$C$11,MATCH(IF('2y forward'!$C18="GBp","GBP",'2y forward'!$C18),'FX 2y forward'!$A$2:$A$11,0)))</f>
        <v>4.170471194394911</v>
      </c>
      <c r="F18" s="6">
        <f>IF('2y forward'!F18="","",'2y forward'!F18/IF('2y forward'!$C18="GBp",100,1)/INDEX('FX 2y forward'!$D$2:$D$11,MATCH(IF('2y forward'!$C18="GBp","GBP",'2y forward'!$C18),'FX 2y forward'!$A$2:$A$11,0)))</f>
        <v>5.9455281323510905</v>
      </c>
      <c r="G18" s="6">
        <f>IF('2y forward'!G18="","",'2y forward'!G18/IF('2y forward'!$C18="GBp",100,1)/INDEX('FX 2y forward'!$E$2:$E$11,MATCH(IF('2y forward'!$C18="GBp","GBP",'2y forward'!$C18),'FX 2y forward'!$A$2:$A$11,0)))</f>
        <v>8.637244830947049</v>
      </c>
      <c r="H18" s="6">
        <f>IF('2y forward'!H18="","",'2y forward'!H18/IF('2y forward'!$C18="GBp",100,1)/INDEX('FX 2y forward'!$F$2:$F$11,MATCH(IF('2y forward'!$C18="GBp","GBP",'2y forward'!$C18),'FX 2y forward'!$A$2:$A$11,0)))</f>
        <v>7.269282877306072</v>
      </c>
      <c r="I18" s="6">
        <f>IF('2y forward'!I18="","",'2y forward'!I18/IF('2y forward'!$C18="GBp",100,1)/INDEX('FX 2y forward'!$G$2:$G$11,MATCH(IF('2y forward'!$C18="GBp","GBP",'2y forward'!$C18),'FX 2y forward'!$A$2:$A$11,0)))</f>
        <v>5.983433481323184</v>
      </c>
      <c r="J18" s="6">
        <f>IF('2y forward'!J18="","",'2y forward'!J18/IF('2y forward'!$C18="GBp",100,1)/INDEX('FX 2y forward'!$H$2:$H$11,MATCH(IF('2y forward'!$C18="GBp","GBP",'2y forward'!$C18),'FX 2y forward'!$A$2:$A$11,0)))</f>
        <v>8.347410288363832</v>
      </c>
      <c r="K18" s="6">
        <f>IF('2y forward'!K18="","",'2y forward'!K18/IF('2y forward'!$C18="GBp",100,1)/INDEX('FX 2y forward'!$I$2:$I$11,MATCH(IF('2y forward'!$C18="GBp","GBP",'2y forward'!$C18),'FX 2y forward'!$A$2:$A$11,0)))</f>
        <v>8.724780189338988</v>
      </c>
      <c r="L18" s="6">
        <f>IF('2y forward'!L18="","",'2y forward'!L18/IF('2y forward'!$C18="GBp",100,1)/INDEX('FX 2y forward'!$J$2:$J$11,MATCH(IF('2y forward'!$C18="GBp","GBP",'2y forward'!$C18),'FX 2y forward'!$A$2:$A$11,0)))</f>
        <v>22.823037891871838</v>
      </c>
      <c r="M18" s="6">
        <f>IF('2y forward'!M18="","",'2y forward'!M18/IF('2y forward'!$C18="GBp",100,1)/INDEX('FX 2y forward'!$K$2:$K$11,MATCH(IF('2y forward'!$C18="GBp","GBP",'2y forward'!$C18),'FX 2y forward'!$A$2:$A$11,0)))</f>
        <v>26.41308063094029</v>
      </c>
    </row>
    <row r="19">
      <c r="A19" s="2" t="inlineStr">
        <is>
          <t>MIN.AX</t>
        </is>
      </c>
      <c r="B19" s="2" t="inlineStr">
        <is>
          <t>Mineral Resources Ltd</t>
        </is>
      </c>
      <c r="C19" s="2" t="inlineStr">
        <is>
          <t>USD</t>
        </is>
      </c>
      <c r="D19" s="6">
        <f>IF('2y forward'!D19="","",'2y forward'!D19/IF('2y forward'!$C19="GBp",100,1)/INDEX('FX 2y forward'!$B$2:$B$11,MATCH(IF('2y forward'!$C19="GBp","GBP",'2y forward'!$C19),'FX 2y forward'!$A$2:$A$11,0)))</f>
        <v>16.259635535397308</v>
      </c>
      <c r="E19" s="6">
        <f>IF('2y forward'!E19="","",'2y forward'!E19/IF('2y forward'!$C19="GBp",100,1)/INDEX('FX 2y forward'!$C$2:$C$11,MATCH(IF('2y forward'!$C19="GBp","GBP",'2y forward'!$C19),'FX 2y forward'!$A$2:$A$11,0)))</f>
        <v>10.531428401954471</v>
      </c>
      <c r="F19" s="6">
        <f>IF('2y forward'!F19="","",'2y forward'!F19/IF('2y forward'!$C19="GBp",100,1)/INDEX('FX 2y forward'!$D$2:$D$11,MATCH(IF('2y forward'!$C19="GBp","GBP",'2y forward'!$C19),'FX 2y forward'!$A$2:$A$11,0)))</f>
        <v>11.303939089105587</v>
      </c>
      <c r="G19" s="6">
        <f>IF('2y forward'!G19="","",'2y forward'!G19/IF('2y forward'!$C19="GBp",100,1)/INDEX('FX 2y forward'!$E$2:$E$11,MATCH(IF('2y forward'!$C19="GBp","GBP",'2y forward'!$C19),'FX 2y forward'!$A$2:$A$11,0)))</f>
        <v>27.369964191397663</v>
      </c>
      <c r="H19" s="6">
        <f>IF('2y forward'!H19="","",'2y forward'!H19/IF('2y forward'!$C19="GBp",100,1)/INDEX('FX 2y forward'!$F$2:$F$11,MATCH(IF('2y forward'!$C19="GBp","GBP",'2y forward'!$C19),'FX 2y forward'!$A$2:$A$11,0)))</f>
        <v>37.3423012927967</v>
      </c>
      <c r="I19" s="6">
        <f>IF('2y forward'!I19="","",'2y forward'!I19/IF('2y forward'!$C19="GBp",100,1)/INDEX('FX 2y forward'!$G$2:$G$11,MATCH(IF('2y forward'!$C19="GBp","GBP",'2y forward'!$C19),'FX 2y forward'!$A$2:$A$11,0)))</f>
        <v>55.61308523916796</v>
      </c>
      <c r="J19" s="6">
        <f>IF('2y forward'!J19="","",'2y forward'!J19/IF('2y forward'!$C19="GBp",100,1)/INDEX('FX 2y forward'!$H$2:$H$11,MATCH(IF('2y forward'!$C19="GBp","GBP",'2y forward'!$C19),'FX 2y forward'!$A$2:$A$11,0)))</f>
        <v>49.274526483311654</v>
      </c>
      <c r="K19" s="6">
        <f>IF('2y forward'!K19="","",'2y forward'!K19/IF('2y forward'!$C19="GBp",100,1)/INDEX('FX 2y forward'!$I$2:$I$11,MATCH(IF('2y forward'!$C19="GBp","GBP",'2y forward'!$C19),'FX 2y forward'!$A$2:$A$11,0)))</f>
        <v>22.91962211233668</v>
      </c>
      <c r="L19" s="6">
        <f>IF('2y forward'!L19="","",'2y forward'!L19/IF('2y forward'!$C19="GBp",100,1)/INDEX('FX 2y forward'!$J$2:$J$11,MATCH(IF('2y forward'!$C19="GBp","GBP",'2y forward'!$C19),'FX 2y forward'!$A$2:$A$11,0)))</f>
        <v>39.04911868645737</v>
      </c>
      <c r="M19" s="6">
        <f>IF('2y forward'!M19="","",'2y forward'!M19/IF('2y forward'!$C19="GBp",100,1)/INDEX('FX 2y forward'!$K$2:$K$11,MATCH(IF('2y forward'!$C19="GBp","GBP",'2y forward'!$C19),'FX 2y forward'!$A$2:$A$11,0)))</f>
        <v>38.179180468035575</v>
      </c>
    </row>
    <row r="20">
      <c r="A20" s="2" t="inlineStr">
        <is>
          <t>MT</t>
        </is>
      </c>
      <c r="B20" s="2" t="inlineStr">
        <is>
          <t>ArcelorMittal SA</t>
        </is>
      </c>
      <c r="C20" s="2" t="inlineStr">
        <is>
          <t>USD</t>
        </is>
      </c>
      <c r="D20" s="6">
        <f>IF('2y forward'!D20="","",'2y forward'!D20/IF('2y forward'!$C20="GBp",100,1)/INDEX('FX 2y forward'!$B$2:$B$11,MATCH(IF('2y forward'!$C20="GBp","GBP",'2y forward'!$C20),'FX 2y forward'!$A$2:$A$11,0)))</f>
        <v>33.55469452426078</v>
      </c>
      <c r="E20" s="6">
        <f>IF('2y forward'!E20="","",'2y forward'!E20/IF('2y forward'!$C20="GBp",100,1)/INDEX('FX 2y forward'!$C$2:$C$11,MATCH(IF('2y forward'!$C20="GBp","GBP",'2y forward'!$C20),'FX 2y forward'!$A$2:$A$11,0)))</f>
        <v>21.516226549238862</v>
      </c>
      <c r="F20" s="6">
        <f>IF('2y forward'!F20="","",'2y forward'!F20/IF('2y forward'!$C20="GBp",100,1)/INDEX('FX 2y forward'!$D$2:$D$11,MATCH(IF('2y forward'!$C20="GBp","GBP",'2y forward'!$C20),'FX 2y forward'!$A$2:$A$11,0)))</f>
        <v>17.694926975479948</v>
      </c>
      <c r="G20" s="6">
        <f>IF('2y forward'!G20="","",'2y forward'!G20/IF('2y forward'!$C20="GBp",100,1)/INDEX('FX 2y forward'!$E$2:$E$11,MATCH(IF('2y forward'!$C20="GBp","GBP",'2y forward'!$C20),'FX 2y forward'!$A$2:$A$11,0)))</f>
        <v>22.95961746912536</v>
      </c>
      <c r="H20" s="6">
        <f>IF('2y forward'!H20="","",'2y forward'!H20/IF('2y forward'!$C20="GBp",100,1)/INDEX('FX 2y forward'!$F$2:$F$11,MATCH(IF('2y forward'!$C20="GBp","GBP",'2y forward'!$C20),'FX 2y forward'!$A$2:$A$11,0)))</f>
        <v>31.695009557878187</v>
      </c>
      <c r="I20" s="6">
        <f>IF('2y forward'!I20="","",'2y forward'!I20/IF('2y forward'!$C20="GBp",100,1)/INDEX('FX 2y forward'!$G$2:$G$11,MATCH(IF('2y forward'!$C20="GBp","GBP",'2y forward'!$C20),'FX 2y forward'!$A$2:$A$11,0)))</f>
        <v>27.83060956153703</v>
      </c>
      <c r="J20" s="6">
        <f>IF('2y forward'!J20="","",'2y forward'!J20/IF('2y forward'!$C20="GBp",100,1)/INDEX('FX 2y forward'!$H$2:$H$11,MATCH(IF('2y forward'!$C20="GBp","GBP",'2y forward'!$C20),'FX 2y forward'!$A$2:$A$11,0)))</f>
        <v>29.965327716253864</v>
      </c>
      <c r="K20" s="6">
        <f>IF('2y forward'!K20="","",'2y forward'!K20/IF('2y forward'!$C20="GBp",100,1)/INDEX('FX 2y forward'!$I$2:$I$11,MATCH(IF('2y forward'!$C20="GBp","GBP",'2y forward'!$C20),'FX 2y forward'!$A$2:$A$11,0)))</f>
        <v>24.111682552158936</v>
      </c>
      <c r="L20" s="6">
        <f>IF('2y forward'!L20="","",'2y forward'!L20/IF('2y forward'!$C20="GBp",100,1)/INDEX('FX 2y forward'!$J$2:$J$11,MATCH(IF('2y forward'!$C20="GBp","GBP",'2y forward'!$C20),'FX 2y forward'!$A$2:$A$11,0)))</f>
        <v>47.689517044177705</v>
      </c>
      <c r="M20" s="6">
        <f>IF('2y forward'!M20="","",'2y forward'!M20/IF('2y forward'!$C20="GBp",100,1)/INDEX('FX 2y forward'!$K$2:$K$11,MATCH(IF('2y forward'!$C20="GBp","GBP",'2y forward'!$C20),'FX 2y forward'!$A$2:$A$11,0)))</f>
        <v>74.83723632183798</v>
      </c>
    </row>
    <row r="21">
      <c r="A21" s="2" t="inlineStr">
        <is>
          <t>NEM</t>
        </is>
      </c>
      <c r="B21" s="2" t="inlineStr">
        <is>
          <t>Newmont Corp</t>
        </is>
      </c>
      <c r="C21" s="2" t="inlineStr">
        <is>
          <t>USD</t>
        </is>
      </c>
      <c r="D21" s="6">
        <f>IF('2y forward'!D21="","",'2y forward'!D21/IF('2y forward'!$C21="GBp",100,1)/INDEX('FX 2y forward'!$B$2:$B$11,MATCH(IF('2y forward'!$C21="GBp","GBP",'2y forward'!$C21),'FX 2y forward'!$A$2:$A$11,0)))</f>
        <v>38.44959351591461</v>
      </c>
      <c r="E21" s="6">
        <f>IF('2y forward'!E21="","",'2y forward'!E21/IF('2y forward'!$C21="GBp",100,1)/INDEX('FX 2y forward'!$C$2:$C$11,MATCH(IF('2y forward'!$C21="GBp","GBP",'2y forward'!$C21),'FX 2y forward'!$A$2:$A$11,0)))</f>
        <v>35.26086559659437</v>
      </c>
      <c r="F21" s="6">
        <f>IF('2y forward'!F21="","",'2y forward'!F21/IF('2y forward'!$C21="GBp",100,1)/INDEX('FX 2y forward'!$D$2:$D$11,MATCH(IF('2y forward'!$C21="GBp","GBP",'2y forward'!$C21),'FX 2y forward'!$A$2:$A$11,0)))</f>
        <v>41.9688153868552</v>
      </c>
      <c r="G21" s="6">
        <f>IF('2y forward'!G21="","",'2y forward'!G21/IF('2y forward'!$C21="GBp",100,1)/INDEX('FX 2y forward'!$E$2:$E$11,MATCH(IF('2y forward'!$C21="GBp","GBP",'2y forward'!$C21),'FX 2y forward'!$A$2:$A$11,0)))</f>
        <v>57.99631918913842</v>
      </c>
      <c r="H21" s="6">
        <f>IF('2y forward'!H21="","",'2y forward'!H21/IF('2y forward'!$C21="GBp",100,1)/INDEX('FX 2y forward'!$F$2:$F$11,MATCH(IF('2y forward'!$C21="GBp","GBP",'2y forward'!$C21),'FX 2y forward'!$A$2:$A$11,0)))</f>
        <v>58.622167713274834</v>
      </c>
      <c r="I21" s="6">
        <f>IF('2y forward'!I21="","",'2y forward'!I21/IF('2y forward'!$C21="GBp",100,1)/INDEX('FX 2y forward'!$G$2:$G$11,MATCH(IF('2y forward'!$C21="GBp","GBP",'2y forward'!$C21),'FX 2y forward'!$A$2:$A$11,0)))</f>
        <v>46.982438952994286</v>
      </c>
      <c r="J21" s="6">
        <f>IF('2y forward'!J21="","",'2y forward'!J21/IF('2y forward'!$C21="GBp",100,1)/INDEX('FX 2y forward'!$H$2:$H$11,MATCH(IF('2y forward'!$C21="GBp","GBP",'2y forward'!$C21),'FX 2y forward'!$A$2:$A$11,0)))</f>
        <v>41.70934922696188</v>
      </c>
      <c r="K21" s="6">
        <f>IF('2y forward'!K21="","",'2y forward'!K21/IF('2y forward'!$C21="GBp",100,1)/INDEX('FX 2y forward'!$I$2:$I$11,MATCH(IF('2y forward'!$C21="GBp","GBP",'2y forward'!$C21),'FX 2y forward'!$A$2:$A$11,0)))</f>
        <v>38.39442440304576</v>
      </c>
      <c r="L21" s="6">
        <f>IF('2y forward'!L21="","",'2y forward'!L21/IF('2y forward'!$C21="GBp",100,1)/INDEX('FX 2y forward'!$J$2:$J$11,MATCH(IF('2y forward'!$C21="GBp","GBP",'2y forward'!$C21),'FX 2y forward'!$A$2:$A$11,0)))</f>
        <v>104.9242918260195</v>
      </c>
      <c r="M21" s="6">
        <f>IF('2y forward'!M21="","",'2y forward'!M21/IF('2y forward'!$C21="GBp",100,1)/INDEX('FX 2y forward'!$K$2:$K$11,MATCH(IF('2y forward'!$C21="GBp","GBP",'2y forward'!$C21),'FX 2y forward'!$A$2:$A$11,0)))</f>
        <v>128.5209550122866</v>
      </c>
    </row>
    <row r="22">
      <c r="A22" s="2" t="inlineStr">
        <is>
          <t>NEXA</t>
        </is>
      </c>
      <c r="B22" s="2" t="inlineStr">
        <is>
          <t>Nexa Resources SA</t>
        </is>
      </c>
      <c r="C22" s="2" t="inlineStr">
        <is>
          <t>USD</t>
        </is>
      </c>
      <c r="D22" s="6">
        <f>IF('2y forward'!D22="","",'2y forward'!D22/IF('2y forward'!$C22="GBp",100,1)/INDEX('FX 2y forward'!$B$2:$B$11,MATCH(IF('2y forward'!$C22="GBp","GBP",'2y forward'!$C22),'FX 2y forward'!$A$2:$A$11,0)))</f>
        <v>20.36544598021522</v>
      </c>
      <c r="E22" s="6">
        <f>IF('2y forward'!E22="","",'2y forward'!E22/IF('2y forward'!$C22="GBp",100,1)/INDEX('FX 2y forward'!$C$2:$C$11,MATCH(IF('2y forward'!$C22="GBp","GBP",'2y forward'!$C22),'FX 2y forward'!$A$2:$A$11,0)))</f>
        <v>11.30786385573524</v>
      </c>
      <c r="F22" s="6">
        <f>IF('2y forward'!F22="","",'2y forward'!F22/IF('2y forward'!$C22="GBp",100,1)/INDEX('FX 2y forward'!$D$2:$D$11,MATCH(IF('2y forward'!$C22="GBp","GBP",'2y forward'!$C22),'FX 2y forward'!$A$2:$A$11,0)))</f>
        <v>7.384610555138683</v>
      </c>
      <c r="G22" s="6">
        <f>IF('2y forward'!G22="","",'2y forward'!G22/IF('2y forward'!$C22="GBp",100,1)/INDEX('FX 2y forward'!$E$2:$E$11,MATCH(IF('2y forward'!$C22="GBp","GBP",'2y forward'!$C22),'FX 2y forward'!$A$2:$A$11,0)))</f>
        <v>8.936080843066925</v>
      </c>
      <c r="H22" s="6">
        <f>IF('2y forward'!H22="","",'2y forward'!H22/IF('2y forward'!$C22="GBp",100,1)/INDEX('FX 2y forward'!$F$2:$F$11,MATCH(IF('2y forward'!$C22="GBp","GBP",'2y forward'!$C22),'FX 2y forward'!$A$2:$A$11,0)))</f>
        <v>7.457428177419517</v>
      </c>
      <c r="I22" s="6">
        <f>IF('2y forward'!I22="","",'2y forward'!I22/IF('2y forward'!$C22="GBp",100,1)/INDEX('FX 2y forward'!$G$2:$G$11,MATCH(IF('2y forward'!$C22="GBp","GBP",'2y forward'!$C22),'FX 2y forward'!$A$2:$A$11,0)))</f>
        <v>5.812280523130181</v>
      </c>
      <c r="J22" s="6">
        <f>IF('2y forward'!J22="","",'2y forward'!J22/IF('2y forward'!$C22="GBp",100,1)/INDEX('FX 2y forward'!$H$2:$H$11,MATCH(IF('2y forward'!$C22="GBp","GBP",'2y forward'!$C22),'FX 2y forward'!$A$2:$A$11,0)))</f>
        <v>7.372602586428081</v>
      </c>
      <c r="K22" s="6">
        <f>IF('2y forward'!K22="","",'2y forward'!K22/IF('2y forward'!$C22="GBp",100,1)/INDEX('FX 2y forward'!$I$2:$I$11,MATCH(IF('2y forward'!$C22="GBp","GBP",'2y forward'!$C22),'FX 2y forward'!$A$2:$A$11,0)))</f>
        <v>9.57879423650995</v>
      </c>
      <c r="L22" s="6">
        <f>IF('2y forward'!L22="","",'2y forward'!L22/IF('2y forward'!$C22="GBp",100,1)/INDEX('FX 2y forward'!$J$2:$J$11,MATCH(IF('2y forward'!$C22="GBp","GBP",'2y forward'!$C22),'FX 2y forward'!$A$2:$A$11,0)))</f>
        <v>9.27380221598005</v>
      </c>
      <c r="M22" s="6">
        <f>IF('2y forward'!M22="","",'2y forward'!M22/IF('2y forward'!$C22="GBp",100,1)/INDEX('FX 2y forward'!$K$2:$K$11,MATCH(IF('2y forward'!$C22="GBp","GBP",'2y forward'!$C22),'FX 2y forward'!$A$2:$A$11,0)))</f>
        <v>13.05661742094819</v>
      </c>
    </row>
    <row r="23">
      <c r="A23" s="2" t="inlineStr">
        <is>
          <t>NST.AX</t>
        </is>
      </c>
      <c r="B23" s="2" t="inlineStr">
        <is>
          <t>Northern Star Resources Ltd</t>
        </is>
      </c>
      <c r="C23" s="2" t="inlineStr">
        <is>
          <t>USD</t>
        </is>
      </c>
      <c r="D23" s="6">
        <f>IF('2y forward'!D23="","",'2y forward'!D23/IF('2y forward'!$C23="GBp",100,1)/INDEX('FX 2y forward'!$B$2:$B$11,MATCH(IF('2y forward'!$C23="GBp","GBP",'2y forward'!$C23),'FX 2y forward'!$A$2:$A$11,0)))</f>
        <v>4.794107117355763</v>
      </c>
      <c r="E23" s="6">
        <f>IF('2y forward'!E23="","",'2y forward'!E23/IF('2y forward'!$C23="GBp",100,1)/INDEX('FX 2y forward'!$C$2:$C$11,MATCH(IF('2y forward'!$C23="GBp","GBP",'2y forward'!$C23),'FX 2y forward'!$A$2:$A$11,0)))</f>
        <v>6.7024637904764655</v>
      </c>
      <c r="F23" s="6">
        <f>IF('2y forward'!F23="","",'2y forward'!F23/IF('2y forward'!$C23="GBp",100,1)/INDEX('FX 2y forward'!$D$2:$D$11,MATCH(IF('2y forward'!$C23="GBp","GBP",'2y forward'!$C23),'FX 2y forward'!$A$2:$A$11,0)))</f>
        <v>7.980014002440548</v>
      </c>
      <c r="G23" s="6">
        <f>IF('2y forward'!G23="","",'2y forward'!G23/IF('2y forward'!$C23="GBp",100,1)/INDEX('FX 2y forward'!$E$2:$E$11,MATCH(IF('2y forward'!$C23="GBp","GBP",'2y forward'!$C23),'FX 2y forward'!$A$2:$A$11,0)))</f>
        <v>9.375536402618948</v>
      </c>
      <c r="H23" s="6">
        <f>IF('2y forward'!H23="","",'2y forward'!H23/IF('2y forward'!$C23="GBp",100,1)/INDEX('FX 2y forward'!$F$2:$F$11,MATCH(IF('2y forward'!$C23="GBp","GBP",'2y forward'!$C23),'FX 2y forward'!$A$2:$A$11,0)))</f>
        <v>6.648425301382987</v>
      </c>
      <c r="I23" s="6">
        <f>IF('2y forward'!I23="","",'2y forward'!I23/IF('2y forward'!$C23="GBp",100,1)/INDEX('FX 2y forward'!$G$2:$G$11,MATCH(IF('2y forward'!$C23="GBp","GBP",'2y forward'!$C23),'FX 2y forward'!$A$2:$A$11,0)))</f>
        <v>7.753860608841108</v>
      </c>
      <c r="J23" s="6">
        <f>IF('2y forward'!J23="","",'2y forward'!J23/IF('2y forward'!$C23="GBp",100,1)/INDEX('FX 2y forward'!$H$2:$H$11,MATCH(IF('2y forward'!$C23="GBp","GBP",'2y forward'!$C23),'FX 2y forward'!$A$2:$A$11,0)))</f>
        <v>9.75821527855544</v>
      </c>
      <c r="K23" s="6">
        <f>IF('2y forward'!K23="","",'2y forward'!K23/IF('2y forward'!$C23="GBp",100,1)/INDEX('FX 2y forward'!$I$2:$I$11,MATCH(IF('2y forward'!$C23="GBp","GBP",'2y forward'!$C23),'FX 2y forward'!$A$2:$A$11,0)))</f>
        <v>9.925749939302172</v>
      </c>
      <c r="L23" s="6">
        <f>IF('2y forward'!L23="","",'2y forward'!L23/IF('2y forward'!$C23="GBp",100,1)/INDEX('FX 2y forward'!$J$2:$J$11,MATCH(IF('2y forward'!$C23="GBp","GBP",'2y forward'!$C23),'FX 2y forward'!$A$2:$A$11,0)))</f>
        <v>18.42039358990106</v>
      </c>
      <c r="M23" s="6">
        <f>IF('2y forward'!M23="","",'2y forward'!M23/IF('2y forward'!$C23="GBp",100,1)/INDEX('FX 2y forward'!$K$2:$K$11,MATCH(IF('2y forward'!$C23="GBp","GBP",'2y forward'!$C23),'FX 2y forward'!$A$2:$A$11,0)))</f>
        <v>15.817943103875265</v>
      </c>
    </row>
    <row r="24">
      <c r="A24" s="2" t="inlineStr">
        <is>
          <t>RIO.L</t>
        </is>
      </c>
      <c r="B24" s="2" t="inlineStr">
        <is>
          <t>Rio Tinto plc</t>
        </is>
      </c>
      <c r="C24" s="2" t="inlineStr">
        <is>
          <t>USD</t>
        </is>
      </c>
      <c r="D24" s="6">
        <f>IF('2y forward'!D24="","",'2y forward'!D24/IF('2y forward'!$C24="GBp",100,1)/INDEX('FX 2y forward'!$B$2:$B$11,MATCH(IF('2y forward'!$C24="GBp","GBP",'2y forward'!$C24),'FX 2y forward'!$A$2:$A$11,0)))</f>
        <v>50.12859209857897</v>
      </c>
      <c r="E24" s="6">
        <f>IF('2y forward'!E24="","",'2y forward'!E24/IF('2y forward'!$C24="GBp",100,1)/INDEX('FX 2y forward'!$C$2:$C$11,MATCH(IF('2y forward'!$C24="GBp","GBP",'2y forward'!$C24),'FX 2y forward'!$A$2:$A$11,0)))</f>
        <v>44.07930311174833</v>
      </c>
      <c r="F24" s="6">
        <f>IF('2y forward'!F24="","",'2y forward'!F24/IF('2y forward'!$C24="GBp",100,1)/INDEX('FX 2y forward'!$D$2:$D$11,MATCH(IF('2y forward'!$C24="GBp","GBP",'2y forward'!$C24),'FX 2y forward'!$A$2:$A$11,0)))</f>
        <v>48.966704437630405</v>
      </c>
      <c r="G24" s="6">
        <f>IF('2y forward'!G24="","",'2y forward'!G24/IF('2y forward'!$C24="GBp",100,1)/INDEX('FX 2y forward'!$E$2:$E$11,MATCH(IF('2y forward'!$C24="GBp","GBP",'2y forward'!$C24),'FX 2y forward'!$A$2:$A$11,0)))</f>
        <v>67.05616443120488</v>
      </c>
      <c r="H24" s="6">
        <f>IF('2y forward'!H24="","",'2y forward'!H24/IF('2y forward'!$C24="GBp",100,1)/INDEX('FX 2y forward'!$F$2:$F$11,MATCH(IF('2y forward'!$C24="GBp","GBP",'2y forward'!$C24),'FX 2y forward'!$A$2:$A$11,0)))</f>
        <v>50.499448252514775</v>
      </c>
      <c r="I24" s="6">
        <f>IF('2y forward'!I24="","",'2y forward'!I24/IF('2y forward'!$C24="GBp",100,1)/INDEX('FX 2y forward'!$G$2:$G$11,MATCH(IF('2y forward'!$C24="GBp","GBP",'2y forward'!$C24),'FX 2y forward'!$A$2:$A$11,0)))</f>
        <v>62.659833491785605</v>
      </c>
      <c r="J24" s="6">
        <f>IF('2y forward'!J24="","",'2y forward'!J24/IF('2y forward'!$C24="GBp",100,1)/INDEX('FX 2y forward'!$H$2:$H$11,MATCH(IF('2y forward'!$C24="GBp","GBP",'2y forward'!$C24),'FX 2y forward'!$A$2:$A$11,0)))</f>
        <v>72.51270338107705</v>
      </c>
      <c r="K24" s="6">
        <f>IF('2y forward'!K24="","",'2y forward'!K24/IF('2y forward'!$C24="GBp",100,1)/INDEX('FX 2y forward'!$I$2:$I$11,MATCH(IF('2y forward'!$C24="GBp","GBP",'2y forward'!$C24),'FX 2y forward'!$A$2:$A$11,0)))</f>
        <v>55.91132810383193</v>
      </c>
      <c r="L24" s="6">
        <f>IF('2y forward'!L24="","",'2y forward'!L24/IF('2y forward'!$C24="GBp",100,1)/INDEX('FX 2y forward'!$J$2:$J$11,MATCH(IF('2y forward'!$C24="GBp","GBP",'2y forward'!$C24),'FX 2y forward'!$A$2:$A$11,0)))</f>
        <v>78.70178734029018</v>
      </c>
      <c r="M24" s="6">
        <f>IF('2y forward'!M24="","",'2y forward'!M24/IF('2y forward'!$C24="GBp",100,1)/INDEX('FX 2y forward'!$K$2:$K$11,MATCH(IF('2y forward'!$C24="GBp","GBP",'2y forward'!$C24),'FX 2y forward'!$A$2:$A$11,0)))</f>
        <v>91.14357821522418</v>
      </c>
    </row>
    <row r="25">
      <c r="A25" s="2" t="inlineStr">
        <is>
          <t>SCCO</t>
        </is>
      </c>
      <c r="B25" s="2" t="inlineStr">
        <is>
          <t>Southern Copper Corp</t>
        </is>
      </c>
      <c r="C25" s="2" t="inlineStr">
        <is>
          <t>USD</t>
        </is>
      </c>
      <c r="D25" s="6">
        <f>IF('2y forward'!D25="","",'2y forward'!D25/IF('2y forward'!$C25="GBp",100,1)/INDEX('FX 2y forward'!$B$2:$B$11,MATCH(IF('2y forward'!$C25="GBp","GBP",'2y forward'!$C25),'FX 2y forward'!$A$2:$A$11,0)))</f>
        <v>48.06760824772728</v>
      </c>
      <c r="E25" s="6">
        <f>IF('2y forward'!E25="","",'2y forward'!E25/IF('2y forward'!$C25="GBp",100,1)/INDEX('FX 2y forward'!$C$2:$C$11,MATCH(IF('2y forward'!$C25="GBp","GBP",'2y forward'!$C25),'FX 2y forward'!$A$2:$A$11,0)))</f>
        <v>29.52809518679886</v>
      </c>
      <c r="F25" s="6">
        <f>IF('2y forward'!F25="","",'2y forward'!F25/IF('2y forward'!$C25="GBp",100,1)/INDEX('FX 2y forward'!$D$2:$D$11,MATCH(IF('2y forward'!$C25="GBp","GBP",'2y forward'!$C25),'FX 2y forward'!$A$2:$A$11,0)))</f>
        <v>39.82119773582458</v>
      </c>
      <c r="G25" s="6">
        <f>IF('2y forward'!G25="","",'2y forward'!G25/IF('2y forward'!$C25="GBp",100,1)/INDEX('FX 2y forward'!$E$2:$E$11,MATCH(IF('2y forward'!$C25="GBp","GBP",'2y forward'!$C25),'FX 2y forward'!$A$2:$A$11,0)))</f>
        <v>62.35000309057981</v>
      </c>
      <c r="H25" s="6">
        <f>IF('2y forward'!H25="","",'2y forward'!H25/IF('2y forward'!$C25="GBp",100,1)/INDEX('FX 2y forward'!$F$2:$F$11,MATCH(IF('2y forward'!$C25="GBp","GBP",'2y forward'!$C25),'FX 2y forward'!$A$2:$A$11,0)))</f>
        <v>56.44891062358241</v>
      </c>
      <c r="I25" s="6">
        <f>IF('2y forward'!I25="","",'2y forward'!I25/IF('2y forward'!$C25="GBp",100,1)/INDEX('FX 2y forward'!$G$2:$G$11,MATCH(IF('2y forward'!$C25="GBp","GBP",'2y forward'!$C25),'FX 2y forward'!$A$2:$A$11,0)))</f>
        <v>58.76283094954327</v>
      </c>
      <c r="J25" s="6">
        <f>IF('2y forward'!J25="","",'2y forward'!J25/IF('2y forward'!$C25="GBp",100,1)/INDEX('FX 2y forward'!$H$2:$H$11,MATCH(IF('2y forward'!$C25="GBp","GBP",'2y forward'!$C25),'FX 2y forward'!$A$2:$A$11,0)))</f>
        <v>85.38862700318654</v>
      </c>
      <c r="K25" s="6">
        <f>IF('2y forward'!K25="","",'2y forward'!K25/IF('2y forward'!$C25="GBp",100,1)/INDEX('FX 2y forward'!$I$2:$I$11,MATCH(IF('2y forward'!$C25="GBp","GBP",'2y forward'!$C25),'FX 2y forward'!$A$2:$A$11,0)))</f>
        <v>94.76717163401403</v>
      </c>
      <c r="L25" s="6">
        <f>IF('2y forward'!L25="","",'2y forward'!L25/IF('2y forward'!$C25="GBp",100,1)/INDEX('FX 2y forward'!$J$2:$J$11,MATCH(IF('2y forward'!$C25="GBp","GBP",'2y forward'!$C25),'FX 2y forward'!$A$2:$A$11,0)))</f>
        <v>147.43950471282474</v>
      </c>
      <c r="M25" s="6">
        <f>IF('2y forward'!M25="","",'2y forward'!M25/IF('2y forward'!$C25="GBp",100,1)/INDEX('FX 2y forward'!$K$2:$K$11,MATCH(IF('2y forward'!$C25="GBp","GBP",'2y forward'!$C25),'FX 2y forward'!$A$2:$A$11,0)))</f>
        <v>212.2052061548921</v>
      </c>
    </row>
    <row r="26">
      <c r="A26" s="2" t="inlineStr">
        <is>
          <t>VALE3.SA</t>
        </is>
      </c>
      <c r="B26" s="2" t="inlineStr">
        <is>
          <t>Vale SA</t>
        </is>
      </c>
      <c r="C26" s="2" t="inlineStr">
        <is>
          <t>USD</t>
        </is>
      </c>
      <c r="D26" s="6">
        <f>IF('2y forward'!D26="","",'2y forward'!D26/IF('2y forward'!$C26="GBp",100,1)/INDEX('FX 2y forward'!$B$2:$B$11,MATCH(IF('2y forward'!$C26="GBp","GBP",'2y forward'!$C26),'FX 2y forward'!$A$2:$A$11,0)))</f>
        <v>11.82282470009264</v>
      </c>
      <c r="E26" s="6">
        <f>IF('2y forward'!E26="","",'2y forward'!E26/IF('2y forward'!$C26="GBp",100,1)/INDEX('FX 2y forward'!$C$2:$C$11,MATCH(IF('2y forward'!$C26="GBp","GBP",'2y forward'!$C26),'FX 2y forward'!$A$2:$A$11,0)))</f>
        <v>12.808082831545189</v>
      </c>
      <c r="F26" s="6">
        <f>IF('2y forward'!F26="","",'2y forward'!F26/IF('2y forward'!$C26="GBp",100,1)/INDEX('FX 2y forward'!$D$2:$D$11,MATCH(IF('2y forward'!$C26="GBp","GBP",'2y forward'!$C26),'FX 2y forward'!$A$2:$A$11,0)))</f>
        <v>12.990910408001751</v>
      </c>
      <c r="G26" s="6">
        <f>IF('2y forward'!G26="","",'2y forward'!G26/IF('2y forward'!$C26="GBp",100,1)/INDEX('FX 2y forward'!$E$2:$E$11,MATCH(IF('2y forward'!$C26="GBp","GBP",'2y forward'!$C26),'FX 2y forward'!$A$2:$A$11,0)))</f>
        <v>15.985976358567006</v>
      </c>
      <c r="H26" s="6">
        <f>IF('2y forward'!H26="","",'2y forward'!H26/IF('2y forward'!$C26="GBp",100,1)/INDEX('FX 2y forward'!$F$2:$F$11,MATCH(IF('2y forward'!$C26="GBp","GBP",'2y forward'!$C26),'FX 2y forward'!$A$2:$A$11,0)))</f>
        <v>9.752941333074425</v>
      </c>
      <c r="I26" s="6">
        <f>IF('2y forward'!I26="","",'2y forward'!I26/IF('2y forward'!$C26="GBp",100,1)/INDEX('FX 2y forward'!$G$2:$G$11,MATCH(IF('2y forward'!$C26="GBp","GBP",'2y forward'!$C26),'FX 2y forward'!$A$2:$A$11,0)))</f>
        <v>15.493928147784132</v>
      </c>
      <c r="J26" s="6">
        <f>IF('2y forward'!J26="","",'2y forward'!J26/IF('2y forward'!$C26="GBp",100,1)/INDEX('FX 2y forward'!$H$2:$H$11,MATCH(IF('2y forward'!$C26="GBp","GBP",'2y forward'!$C26),'FX 2y forward'!$A$2:$A$11,0)))</f>
        <v>14.804386408602989</v>
      </c>
      <c r="K26" s="6">
        <f>IF('2y forward'!K26="","",'2y forward'!K26/IF('2y forward'!$C26="GBp",100,1)/INDEX('FX 2y forward'!$I$2:$I$11,MATCH(IF('2y forward'!$C26="GBp","GBP",'2y forward'!$C26),'FX 2y forward'!$A$2:$A$11,0)))</f>
        <v>7.8985824319784514</v>
      </c>
      <c r="L26" s="6">
        <f>IF('2y forward'!L26="","",'2y forward'!L26/IF('2y forward'!$C26="GBp",100,1)/INDEX('FX 2y forward'!$J$2:$J$11,MATCH(IF('2y forward'!$C26="GBp","GBP",'2y forward'!$C26),'FX 2y forward'!$A$2:$A$11,0)))</f>
        <v>11.399197740839977</v>
      </c>
      <c r="M26" s="6">
        <f>IF('2y forward'!M26="","",'2y forward'!M26/IF('2y forward'!$C26="GBp",100,1)/INDEX('FX 2y forward'!$K$2:$K$11,MATCH(IF('2y forward'!$C26="GBp","GBP",'2y forward'!$C26),'FX 2y forward'!$A$2:$A$11,0)))</f>
        <v>13.818795296712196</v>
      </c>
    </row>
    <row r="27"/>
    <row r="28">
      <c r="A28" s="2" t="inlineStr">
        <is>
          <t>2y forward (local) / 2-year FX forward from the 'FX 2y forward'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000408.SZ</t>
        </is>
      </c>
      <c r="B2" s="2" t="inlineStr">
        <is>
          <t>Zangge Mining Co Ltd</t>
        </is>
      </c>
      <c r="C2" s="2" t="inlineStr">
        <is>
          <t>CNY</t>
        </is>
      </c>
      <c r="D2" s="7" t="n">
        <v>0.016949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0.073084</v>
      </c>
      <c r="J2" s="7" t="n">
        <v>0.069455</v>
      </c>
      <c r="K2" s="7" t="n">
        <v>0.038226</v>
      </c>
      <c r="L2" s="7" t="n">
        <v>0.011848</v>
      </c>
      <c r="M2" s="7" t="n">
        <v>0.034985</v>
      </c>
    </row>
    <row r="3">
      <c r="A3" s="2" t="inlineStr">
        <is>
          <t>1208.HK</t>
        </is>
      </c>
      <c r="B3" s="2" t="inlineStr">
        <is>
          <t>MMG Ltd</t>
        </is>
      </c>
      <c r="C3" s="2" t="inlineStr">
        <is>
          <t>HKD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</row>
    <row r="4">
      <c r="A4" s="2" t="inlineStr">
        <is>
          <t>1211.SR</t>
        </is>
      </c>
      <c r="B4" s="2" t="inlineStr">
        <is>
          <t>Saudi Arabian Mining Co (Maaden)</t>
        </is>
      </c>
      <c r="C4" s="2" t="inlineStr">
        <is>
          <t>SAR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2" t="inlineStr">
        <is>
          <t>2899.HK</t>
        </is>
      </c>
      <c r="B5" s="2" t="inlineStr">
        <is>
          <t>Zijin Mining Group Co Ltd</t>
        </is>
      </c>
      <c r="C5" s="2" t="inlineStr">
        <is>
          <t>HKD</t>
        </is>
      </c>
      <c r="D5" s="7" t="n">
        <v>0.02328</v>
      </c>
      <c r="E5" s="7" t="n">
        <v>0.037416</v>
      </c>
      <c r="F5" s="7" t="n">
        <v>0.029334</v>
      </c>
      <c r="G5" s="7" t="n">
        <v>0.012487</v>
      </c>
      <c r="H5" s="7" t="n">
        <v>0.015631</v>
      </c>
      <c r="I5" s="7" t="n">
        <v>0.021985</v>
      </c>
      <c r="J5" s="7" t="n">
        <v>0.02183</v>
      </c>
      <c r="K5" s="7" t="n">
        <v>0.023264</v>
      </c>
      <c r="L5" s="7" t="n">
        <v>0.015264</v>
      </c>
      <c r="M5" s="7" t="n">
        <v>0.028329</v>
      </c>
    </row>
    <row r="6">
      <c r="A6" s="2" t="inlineStr">
        <is>
          <t>AAL.L</t>
        </is>
      </c>
      <c r="B6" s="2" t="inlineStr">
        <is>
          <t>Anglo American plc</t>
        </is>
      </c>
      <c r="C6" s="2" t="inlineStr">
        <is>
          <t>GBp</t>
        </is>
      </c>
      <c r="D6" s="7" t="n">
        <v>0.027722</v>
      </c>
      <c r="E6" s="7" t="n">
        <v>0.050933</v>
      </c>
      <c r="F6" s="7" t="n">
        <v>0.048363</v>
      </c>
      <c r="G6" s="7" t="n">
        <v>0.028408</v>
      </c>
      <c r="H6" s="7" t="n">
        <v>0.089633</v>
      </c>
      <c r="I6" s="7" t="n">
        <v>0.084496</v>
      </c>
      <c r="J6" s="7" t="n">
        <v>0.06052</v>
      </c>
      <c r="K6" s="7" t="n">
        <v>0.031762</v>
      </c>
      <c r="L6" s="7" t="n">
        <v>0.007785</v>
      </c>
      <c r="M6" s="7" t="n">
        <v>0.007127</v>
      </c>
    </row>
    <row r="7">
      <c r="A7" s="2" t="inlineStr">
        <is>
          <t>AEM</t>
        </is>
      </c>
      <c r="B7" s="2" t="inlineStr">
        <is>
          <t>Agnico Eagle Mines Ltd</t>
        </is>
      </c>
      <c r="C7" s="2" t="inlineStr">
        <is>
          <t>USD</t>
        </is>
      </c>
      <c r="D7" s="7" t="n">
        <v>0.008878</v>
      </c>
      <c r="E7" s="7" t="n">
        <v>0.010891</v>
      </c>
      <c r="F7" s="7" t="n">
        <v>0.008926999999999999</v>
      </c>
      <c r="G7" s="7" t="n">
        <v>0.013473</v>
      </c>
      <c r="H7" s="7" t="n">
        <v>0.026346</v>
      </c>
      <c r="I7" s="7" t="n">
        <v>0.030775</v>
      </c>
      <c r="J7" s="7" t="n">
        <v>0.02917</v>
      </c>
      <c r="K7" s="7" t="n">
        <v>0.020458</v>
      </c>
      <c r="L7" s="7" t="n">
        <v>0.009438</v>
      </c>
      <c r="M7" s="7" t="n">
        <v>0.006942</v>
      </c>
    </row>
    <row r="8">
      <c r="A8" s="2" t="inlineStr">
        <is>
          <t>B</t>
        </is>
      </c>
      <c r="B8" s="2" t="inlineStr">
        <is>
          <t>Barrick Mining Corp</t>
        </is>
      </c>
      <c r="C8" s="2" t="inlineStr">
        <is>
          <t>USD</t>
        </is>
      </c>
      <c r="D8" s="7" t="n">
        <v>0.008293</v>
      </c>
      <c r="E8" s="7" t="n">
        <v>0.014032</v>
      </c>
      <c r="F8" s="7" t="n">
        <v>0.006993</v>
      </c>
      <c r="G8" s="7" t="n">
        <v>0.013608</v>
      </c>
      <c r="H8" s="7" t="n">
        <v>0.041053</v>
      </c>
      <c r="I8" s="7" t="n">
        <v>0.037835</v>
      </c>
      <c r="J8" s="7" t="n">
        <v>0.022112</v>
      </c>
      <c r="K8" s="7" t="n">
        <v>0.025806</v>
      </c>
      <c r="L8" s="7" t="n">
        <v>0.012055</v>
      </c>
      <c r="M8" s="7" t="n">
        <v>0.017957</v>
      </c>
    </row>
    <row r="9">
      <c r="A9" s="2" t="inlineStr">
        <is>
          <t>BHP.AX</t>
        </is>
      </c>
      <c r="B9" s="2" t="inlineStr">
        <is>
          <t>BHP Group Ltd</t>
        </is>
      </c>
      <c r="C9" s="2" t="inlineStr">
        <is>
          <t>AUD</t>
        </is>
      </c>
      <c r="D9" s="7" t="n">
        <v>0.040307</v>
      </c>
      <c r="E9" s="7" t="n">
        <v>0.051243</v>
      </c>
      <c r="F9" s="7" t="n">
        <v>0.096108</v>
      </c>
      <c r="G9" s="7" t="n">
        <v>0.046284</v>
      </c>
      <c r="H9" s="7" t="n">
        <v>0.108969</v>
      </c>
      <c r="I9" s="7" t="n">
        <v>0.101521</v>
      </c>
      <c r="J9" s="7" t="n">
        <v>0.05186</v>
      </c>
      <c r="K9" s="7" t="n">
        <v>0.055782</v>
      </c>
      <c r="L9" s="7" t="n">
        <v>0.037595</v>
      </c>
      <c r="M9" s="7" t="n">
        <v>0.039828</v>
      </c>
    </row>
    <row r="10">
      <c r="A10" s="2" t="inlineStr">
        <is>
          <t>EQX</t>
        </is>
      </c>
      <c r="B10" s="2" t="inlineStr">
        <is>
          <t>Equinox Gold Corp</t>
        </is>
      </c>
      <c r="C10" s="2" t="inlineStr">
        <is>
          <t>USD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0.004439</v>
      </c>
    </row>
    <row r="11">
      <c r="A11" s="2" t="inlineStr">
        <is>
          <t>EVN.AX</t>
        </is>
      </c>
      <c r="B11" s="2" t="inlineStr">
        <is>
          <t>Evolution Mining Ltd</t>
        </is>
      </c>
      <c r="C11" s="2" t="inlineStr">
        <is>
          <t>AUD</t>
        </is>
      </c>
      <c r="D11" s="7" t="n">
        <v>0.018868</v>
      </c>
      <c r="E11" s="7" t="n">
        <v>0.020325</v>
      </c>
      <c r="F11" s="7" t="n">
        <v>0.025</v>
      </c>
      <c r="G11" s="7" t="n">
        <v>0.032064</v>
      </c>
      <c r="H11" s="7" t="n">
        <v>0.029557</v>
      </c>
      <c r="I11" s="7" t="n">
        <v>0.020134</v>
      </c>
      <c r="J11" s="7" t="n">
        <v>0.010101</v>
      </c>
      <c r="K11" s="7" t="n">
        <v>0.014553</v>
      </c>
      <c r="L11" s="7" t="n">
        <v>0.015773</v>
      </c>
      <c r="M11" s="7" t="n">
        <v>0.029905</v>
      </c>
    </row>
    <row r="12">
      <c r="A12" s="2" t="inlineStr">
        <is>
          <t>FCX</t>
        </is>
      </c>
      <c r="B12" s="2" t="inlineStr">
        <is>
          <t>Freeport-McMoRan Inc</t>
        </is>
      </c>
      <c r="C12" s="2" t="inlineStr">
        <is>
          <t>USD</t>
        </is>
      </c>
      <c r="D12" s="7" t="n">
        <v>0</v>
      </c>
      <c r="E12" s="7" t="n">
        <v>0.014549</v>
      </c>
      <c r="F12" s="7" t="n">
        <v>0.015244</v>
      </c>
      <c r="G12" s="7" t="n">
        <v>0.001922</v>
      </c>
      <c r="H12" s="7" t="n">
        <v>0.005392</v>
      </c>
      <c r="I12" s="7" t="n">
        <v>0.015789</v>
      </c>
      <c r="J12" s="7" t="n">
        <v>0.014094</v>
      </c>
      <c r="K12" s="7" t="n">
        <v>0.015756</v>
      </c>
      <c r="L12" s="7" t="n">
        <v>0.011813</v>
      </c>
      <c r="M12" s="7" t="n">
        <v>0.006223</v>
      </c>
    </row>
    <row r="13">
      <c r="A13" s="2" t="inlineStr">
        <is>
          <t>FMG.AX</t>
        </is>
      </c>
      <c r="B13" s="2" t="inlineStr">
        <is>
          <t>Fortescue Ltd</t>
        </is>
      </c>
      <c r="C13" s="2" t="inlineStr">
        <is>
          <t>AUD</t>
        </is>
      </c>
      <c r="D13" s="7" t="n">
        <v>0.092213</v>
      </c>
      <c r="E13" s="7" t="n">
        <v>0.054893</v>
      </c>
      <c r="F13" s="7" t="n">
        <v>0.106642</v>
      </c>
      <c r="G13" s="7" t="n">
        <v>0.075117</v>
      </c>
      <c r="H13" s="7" t="n">
        <v>0.186361</v>
      </c>
      <c r="I13" s="7" t="n">
        <v>0.100926</v>
      </c>
      <c r="J13" s="7" t="n">
        <v>0.060303</v>
      </c>
      <c r="K13" s="7" t="n">
        <v>0.107945</v>
      </c>
      <c r="L13" s="7" t="n">
        <v>0.049977</v>
      </c>
      <c r="M13" s="7" t="n">
        <v>0.065974</v>
      </c>
    </row>
    <row r="14">
      <c r="A14" s="2" t="inlineStr">
        <is>
          <t>FRES.L</t>
        </is>
      </c>
      <c r="B14" s="2" t="inlineStr">
        <is>
          <t>Fresnillo plc</t>
        </is>
      </c>
      <c r="C14" s="2" t="inlineStr">
        <is>
          <t>GBp</t>
        </is>
      </c>
      <c r="D14" s="7" t="n">
        <v>0.017357</v>
      </c>
      <c r="E14" s="7" t="n">
        <v>0.03489</v>
      </c>
      <c r="F14" s="7" t="n">
        <v>0.023545</v>
      </c>
      <c r="G14" s="7" t="n">
        <v>0.010042</v>
      </c>
      <c r="H14" s="7" t="n">
        <v>0.02659</v>
      </c>
      <c r="I14" s="7" t="n">
        <v>0.024388</v>
      </c>
      <c r="J14" s="7" t="n">
        <v>0.019821</v>
      </c>
      <c r="K14" s="7" t="n">
        <v>0.013535</v>
      </c>
      <c r="L14" s="7" t="n">
        <v>0.01995</v>
      </c>
      <c r="M14" s="7" t="n">
        <v>0.038675</v>
      </c>
    </row>
    <row r="15">
      <c r="A15" s="2" t="inlineStr">
        <is>
          <t>GLEN.L</t>
        </is>
      </c>
      <c r="B15" s="2" t="inlineStr">
        <is>
          <t>Glencore plc</t>
        </is>
      </c>
      <c r="C15" s="2" t="inlineStr">
        <is>
          <t>GBp</t>
        </is>
      </c>
      <c r="D15" s="7" t="n">
        <v>0.013563</v>
      </c>
      <c r="E15" s="7" t="n">
        <v>0.051595</v>
      </c>
      <c r="F15" s="7" t="n">
        <v>0.066526</v>
      </c>
      <c r="G15" s="7" t="n">
        <v>0</v>
      </c>
      <c r="H15" s="7" t="n">
        <v>0.031628</v>
      </c>
      <c r="I15" s="7" t="n">
        <v>0.056734</v>
      </c>
      <c r="J15" s="7" t="n">
        <v>0.088297</v>
      </c>
      <c r="K15" s="7" t="n">
        <v>0.028677</v>
      </c>
      <c r="L15" s="7" t="n">
        <v>0.0184</v>
      </c>
      <c r="M15" s="7" t="n">
        <v>0.022393</v>
      </c>
    </row>
    <row r="16">
      <c r="A16" s="2" t="inlineStr">
        <is>
          <t>GMEXICOB.MX</t>
        </is>
      </c>
      <c r="B16" s="2" t="inlineStr">
        <is>
          <t>Grupo Mexico SAB de CV</t>
        </is>
      </c>
      <c r="C16" s="2" t="inlineStr">
        <is>
          <t>MXN</t>
        </is>
      </c>
      <c r="D16" s="7" t="n">
        <v>0.019412</v>
      </c>
      <c r="E16" s="7" t="n">
        <v>0.06676600000000001</v>
      </c>
      <c r="F16" s="7" t="n">
        <v>0.046252</v>
      </c>
      <c r="G16" s="7" t="n">
        <v>0.035663</v>
      </c>
      <c r="H16" s="7" t="n">
        <v>0.069997</v>
      </c>
      <c r="I16" s="7" t="n">
        <v>0.07278</v>
      </c>
      <c r="J16" s="7" t="n">
        <v>0.040263</v>
      </c>
      <c r="K16" s="7" t="n">
        <v>0.043312</v>
      </c>
      <c r="L16" s="7" t="n">
        <v>0.029965</v>
      </c>
      <c r="M16" s="7" t="n">
        <v>0.017553</v>
      </c>
    </row>
    <row r="17">
      <c r="A17" s="2" t="inlineStr">
        <is>
          <t>INCO.JK</t>
        </is>
      </c>
      <c r="B17" s="2" t="inlineStr">
        <is>
          <t>PT Vale Indonesia Tbk</t>
        </is>
      </c>
      <c r="C17" s="2" t="inlineStr">
        <is>
          <t>IDR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0.009964000000000001</v>
      </c>
      <c r="I17" s="7" t="n">
        <v>0</v>
      </c>
      <c r="J17" s="7" t="n">
        <v>0.020495</v>
      </c>
      <c r="K17" s="7" t="n">
        <v>0</v>
      </c>
      <c r="L17" s="7" t="n">
        <v>0.010319</v>
      </c>
      <c r="M17" s="7" t="n">
        <v>0.016645</v>
      </c>
    </row>
    <row r="18">
      <c r="A18" s="2" t="inlineStr">
        <is>
          <t>LUN.TO</t>
        </is>
      </c>
      <c r="B18" s="2" t="inlineStr">
        <is>
          <t>Lundin Mining Corp</t>
        </is>
      </c>
      <c r="C18" s="2" t="inlineStr">
        <is>
          <t>CAD</t>
        </is>
      </c>
      <c r="D18" s="7" t="n">
        <v>0.014354</v>
      </c>
      <c r="E18" s="7" t="n">
        <v>0.021277</v>
      </c>
      <c r="F18" s="7" t="n">
        <v>0.015464</v>
      </c>
      <c r="G18" s="7" t="n">
        <v>0.014159</v>
      </c>
      <c r="H18" s="7" t="n">
        <v>0.039474</v>
      </c>
      <c r="I18" s="7" t="n">
        <v>0.056558</v>
      </c>
      <c r="J18" s="7" t="n">
        <v>0.03321</v>
      </c>
      <c r="K18" s="7" t="n">
        <v>0.036378</v>
      </c>
      <c r="L18" s="7" t="n">
        <v>0.005898</v>
      </c>
      <c r="M18" s="7" t="n">
        <v>0.002401</v>
      </c>
    </row>
    <row r="19">
      <c r="A19" s="2" t="inlineStr">
        <is>
          <t>MIN.AX</t>
        </is>
      </c>
      <c r="B19" s="2" t="inlineStr">
        <is>
          <t>Mineral Resources Ltd</t>
        </is>
      </c>
      <c r="C19" s="2" t="inlineStr">
        <is>
          <t>AUD</t>
        </is>
      </c>
      <c r="D19" s="7" t="n">
        <v>0.025544</v>
      </c>
      <c r="E19" s="7" t="n">
        <v>0.042017</v>
      </c>
      <c r="F19" s="7" t="n">
        <v>0.026667</v>
      </c>
      <c r="G19" s="7" t="n">
        <v>0.026702</v>
      </c>
      <c r="H19" s="7" t="n">
        <v>0.049107</v>
      </c>
      <c r="I19" s="7" t="n">
        <v>0.012953</v>
      </c>
      <c r="J19" s="7" t="n">
        <v>0.027143</v>
      </c>
      <c r="K19" s="7" t="n">
        <v>0.005839</v>
      </c>
      <c r="L19" s="7" t="n">
        <v>0</v>
      </c>
      <c r="M19" s="7" t="n">
        <v>0.015837</v>
      </c>
    </row>
    <row r="20">
      <c r="A20" s="2" t="inlineStr">
        <is>
          <t>MT</t>
        </is>
      </c>
      <c r="B20" s="2" t="inlineStr">
        <is>
          <t>ArcelorMittal SA</t>
        </is>
      </c>
      <c r="C20" s="2" t="inlineStr">
        <is>
          <t>USD</t>
        </is>
      </c>
      <c r="D20" s="7" t="n">
        <v>0</v>
      </c>
      <c r="E20" s="7" t="n">
        <v>0.004838</v>
      </c>
      <c r="F20" s="7" t="n">
        <v>0.011403</v>
      </c>
      <c r="G20" s="7" t="n">
        <v>0</v>
      </c>
      <c r="H20" s="7" t="n">
        <v>0.009424999999999999</v>
      </c>
      <c r="I20" s="7" t="n">
        <v>0.014493</v>
      </c>
      <c r="J20" s="7" t="n">
        <v>0.015498</v>
      </c>
      <c r="K20" s="7" t="n">
        <v>0.021617</v>
      </c>
      <c r="L20" s="7" t="n">
        <v>0.012069</v>
      </c>
      <c r="M20" s="7" t="n">
        <v>0.006365</v>
      </c>
    </row>
    <row r="21">
      <c r="A21" s="2" t="inlineStr">
        <is>
          <t>NEM</t>
        </is>
      </c>
      <c r="B21" s="2" t="inlineStr">
        <is>
          <t>Newmont Corp</t>
        </is>
      </c>
      <c r="C21" s="2" t="inlineStr">
        <is>
          <t>USD</t>
        </is>
      </c>
      <c r="D21" s="7" t="n">
        <v>0.006663</v>
      </c>
      <c r="E21" s="7" t="n">
        <v>0.016162</v>
      </c>
      <c r="F21" s="7" t="n">
        <v>0.033142</v>
      </c>
      <c r="G21" s="7" t="n">
        <v>0.017365</v>
      </c>
      <c r="H21" s="7" t="n">
        <v>0.035472</v>
      </c>
      <c r="I21" s="7" t="n">
        <v>0.04661</v>
      </c>
      <c r="J21" s="7" t="n">
        <v>0.038657</v>
      </c>
      <c r="K21" s="7" t="n">
        <v>0.026867</v>
      </c>
      <c r="L21" s="7" t="n">
        <v>0.010015</v>
      </c>
      <c r="M21" s="7" t="n">
        <v>0.006423</v>
      </c>
    </row>
    <row r="22">
      <c r="A22" s="2" t="inlineStr">
        <is>
          <t>NEXA</t>
        </is>
      </c>
      <c r="B22" s="2" t="inlineStr">
        <is>
          <t>Nexa Resources SA</t>
        </is>
      </c>
      <c r="C22" s="2" t="inlineStr">
        <is>
          <t>USD</t>
        </is>
      </c>
      <c r="D22" s="7" t="n">
        <v>0</v>
      </c>
      <c r="E22" s="7" t="n">
        <v>0.05042</v>
      </c>
      <c r="F22" s="7" t="n">
        <v>0.064496</v>
      </c>
      <c r="G22" s="7" t="n">
        <v>0.039212</v>
      </c>
      <c r="H22" s="7" t="n">
        <v>0.033588</v>
      </c>
      <c r="I22" s="7" t="n">
        <v>0.06268700000000001</v>
      </c>
      <c r="J22" s="7" t="n">
        <v>0.026471</v>
      </c>
      <c r="K22" s="7" t="n">
        <v>0</v>
      </c>
      <c r="L22" s="7" t="n">
        <v>0.011412</v>
      </c>
      <c r="M22" s="7" t="n">
        <v>0.010611</v>
      </c>
    </row>
    <row r="23">
      <c r="A23" s="2" t="inlineStr">
        <is>
          <t>NST.AX</t>
        </is>
      </c>
      <c r="B23" s="2" t="inlineStr">
        <is>
          <t>Northern Star Resources Ltd</t>
        </is>
      </c>
      <c r="C23" s="2" t="inlineStr">
        <is>
          <t>AUD</t>
        </is>
      </c>
      <c r="D23" s="7" t="n">
        <v>0.014754</v>
      </c>
      <c r="E23" s="7" t="n">
        <v>0.010281</v>
      </c>
      <c r="F23" s="7" t="n">
        <v>0.011936</v>
      </c>
      <c r="G23" s="7" t="n">
        <v>0.021277</v>
      </c>
      <c r="H23" s="7" t="n">
        <v>0.020191</v>
      </c>
      <c r="I23" s="7" t="n">
        <v>0.019707</v>
      </c>
      <c r="J23" s="7" t="n">
        <v>0.019414</v>
      </c>
      <c r="K23" s="7" t="n">
        <v>0.025907</v>
      </c>
      <c r="L23" s="7" t="n">
        <v>0.020576</v>
      </c>
      <c r="M23" s="7" t="n">
        <v>0.024876</v>
      </c>
    </row>
    <row r="24">
      <c r="A24" s="2" t="inlineStr">
        <is>
          <t>RIO.L</t>
        </is>
      </c>
      <c r="B24" s="2" t="inlineStr">
        <is>
          <t>Rio Tinto plc</t>
        </is>
      </c>
      <c r="C24" s="2" t="inlineStr">
        <is>
          <t>GBp</t>
        </is>
      </c>
      <c r="D24" s="7" t="n">
        <v>0.046598</v>
      </c>
      <c r="E24" s="7" t="n">
        <v>0.060657</v>
      </c>
      <c r="F24" s="7" t="n">
        <v>0.109405</v>
      </c>
      <c r="G24" s="7" t="n">
        <v>0.054335</v>
      </c>
      <c r="H24" s="7" t="n">
        <v>0.141404</v>
      </c>
      <c r="I24" s="7" t="n">
        <v>0.098991</v>
      </c>
      <c r="J24" s="7" t="n">
        <v>0.055293</v>
      </c>
      <c r="K24" s="7" t="n">
        <v>0.071563</v>
      </c>
      <c r="L24" s="7" t="n">
        <v>0.047475</v>
      </c>
      <c r="M24" s="7" t="n">
        <v>0.049158</v>
      </c>
    </row>
    <row r="25">
      <c r="A25" s="2" t="inlineStr">
        <is>
          <t>SCCO</t>
        </is>
      </c>
      <c r="B25" s="2" t="inlineStr">
        <is>
          <t>Southern Copper Corp</t>
        </is>
      </c>
      <c r="C25" s="2" t="inlineStr">
        <is>
          <t>USD</t>
        </is>
      </c>
      <c r="D25" s="7" t="n">
        <v>0.012434</v>
      </c>
      <c r="E25" s="7" t="n">
        <v>0.045499</v>
      </c>
      <c r="F25" s="7" t="n">
        <v>0.048117</v>
      </c>
      <c r="G25" s="7" t="n">
        <v>0.023034</v>
      </c>
      <c r="H25" s="7" t="n">
        <v>0.051855</v>
      </c>
      <c r="I25" s="7" t="n">
        <v>0.057957</v>
      </c>
      <c r="J25" s="7" t="n">
        <v>0.046474</v>
      </c>
      <c r="K25" s="7" t="n">
        <v>0.022832</v>
      </c>
      <c r="L25" s="7" t="n">
        <v>0.021154</v>
      </c>
      <c r="M25" s="7" t="n">
        <v>0.014887</v>
      </c>
    </row>
    <row r="26">
      <c r="A26" s="2" t="inlineStr">
        <is>
          <t>VALE3.SA</t>
        </is>
      </c>
      <c r="B26" s="2" t="inlineStr">
        <is>
          <t>Vale SA</t>
        </is>
      </c>
      <c r="C26" s="2" t="inlineStr">
        <is>
          <t>BRL</t>
        </is>
      </c>
      <c r="D26" s="7" t="n">
        <v>0.032923</v>
      </c>
      <c r="E26" s="7" t="n">
        <v>0.038605</v>
      </c>
      <c r="F26" s="7" t="n">
        <v>0.026536</v>
      </c>
      <c r="G26" s="7" t="n">
        <v>0.02753</v>
      </c>
      <c r="H26" s="7" t="n">
        <v>0.187898</v>
      </c>
      <c r="I26" s="7" t="n">
        <v>0.08532099999999999</v>
      </c>
      <c r="J26" s="7" t="n">
        <v>0.07872800000000001</v>
      </c>
      <c r="K26" s="7" t="n">
        <v>0.09812800000000001</v>
      </c>
      <c r="L26" s="7" t="n">
        <v>0.105878</v>
      </c>
      <c r="M26" s="7" t="n">
        <v>0.028695</v>
      </c>
    </row>
    <row r="27"/>
    <row r="28">
      <c r="A28" s="2" t="inlineStr">
        <is>
          <t>Dividends paid during the year / year-end close.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currency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</row>
    <row r="2">
      <c r="A2" t="inlineStr">
        <is>
          <t>USD</t>
        </is>
      </c>
      <c r="B2" s="8" t="n">
        <v>0.0189</v>
      </c>
      <c r="C2" s="8" t="n">
        <v>0.0249</v>
      </c>
      <c r="D2" s="8" t="n">
        <v>0.0158</v>
      </c>
      <c r="E2" s="8" t="n">
        <v>0.0013</v>
      </c>
      <c r="F2" s="8" t="n">
        <v>0.0073</v>
      </c>
      <c r="G2" s="8" t="n">
        <v>0.0443</v>
      </c>
      <c r="H2" s="8" t="n">
        <v>0.0425</v>
      </c>
      <c r="I2" s="8" t="n">
        <v>0.0424</v>
      </c>
      <c r="J2" s="8" t="n">
        <v>0.0348</v>
      </c>
      <c r="K2" s="8" t="n">
        <v>0.0348</v>
      </c>
    </row>
    <row r="3">
      <c r="A3" t="inlineStr">
        <is>
          <t>CAD</t>
        </is>
      </c>
      <c r="B3" s="8" t="n">
        <v>0.0169</v>
      </c>
      <c r="C3" s="8" t="n">
        <v>0.0186</v>
      </c>
      <c r="D3" s="8" t="n">
        <v>0.017</v>
      </c>
      <c r="E3" s="8" t="n">
        <v>0.002</v>
      </c>
      <c r="F3" s="8" t="n">
        <v>0.0095</v>
      </c>
      <c r="G3" s="8" t="n">
        <v>0.0405</v>
      </c>
      <c r="H3" s="8" t="n">
        <v>0.0388</v>
      </c>
      <c r="I3" s="8" t="n">
        <v>0.0293</v>
      </c>
      <c r="J3" s="8" t="n">
        <v>0.026</v>
      </c>
      <c r="K3" s="8" t="n">
        <v>0.026</v>
      </c>
    </row>
    <row r="4">
      <c r="A4" t="inlineStr">
        <is>
          <t>AUD</t>
        </is>
      </c>
      <c r="B4" s="8" t="n">
        <v>0.02</v>
      </c>
      <c r="C4" s="8" t="n">
        <v>0.019</v>
      </c>
      <c r="D4" s="8" t="n">
        <v>0.009000000000000001</v>
      </c>
      <c r="E4" s="8" t="n">
        <v>0.001</v>
      </c>
      <c r="F4" s="8" t="n">
        <v>0.006</v>
      </c>
      <c r="G4" s="8" t="n">
        <v>0.035</v>
      </c>
      <c r="H4" s="8" t="n">
        <v>0.03700000000000001</v>
      </c>
      <c r="I4" s="8" t="n">
        <v>0.0385</v>
      </c>
      <c r="J4" s="8" t="n">
        <v>0.039</v>
      </c>
      <c r="K4" s="8" t="n">
        <v>0.039</v>
      </c>
    </row>
    <row r="5">
      <c r="A5" t="inlineStr">
        <is>
          <t>GBP</t>
        </is>
      </c>
      <c r="B5" s="8" t="n">
        <v>0.004500000000000001</v>
      </c>
      <c r="C5" s="8" t="n">
        <v>0.0075</v>
      </c>
      <c r="D5" s="8" t="n">
        <v>0.005500000000000001</v>
      </c>
      <c r="E5" s="8" t="n">
        <v>-0.0015</v>
      </c>
      <c r="F5" s="8" t="n">
        <v>0.006999999999999999</v>
      </c>
      <c r="G5" s="8" t="n">
        <v>0.036</v>
      </c>
      <c r="H5" s="8" t="n">
        <v>0.04</v>
      </c>
      <c r="I5" s="8" t="n">
        <v>0.044</v>
      </c>
      <c r="J5" s="8" t="n">
        <v>0.0375</v>
      </c>
      <c r="K5" s="8" t="n">
        <v>0.0375</v>
      </c>
    </row>
    <row r="6">
      <c r="A6" t="inlineStr">
        <is>
          <t>MXN</t>
        </is>
      </c>
      <c r="B6" s="8" t="n">
        <v>0.076</v>
      </c>
      <c r="C6" s="8" t="n">
        <v>0.08599999999999999</v>
      </c>
      <c r="D6" s="8" t="n">
        <v>0.06900000000000001</v>
      </c>
      <c r="E6" s="8" t="n">
        <v>0.043</v>
      </c>
      <c r="F6" s="8" t="n">
        <v>0.07200000000000001</v>
      </c>
      <c r="G6" s="8" t="n">
        <v>0.105</v>
      </c>
      <c r="H6" s="8" t="n">
        <v>0.103</v>
      </c>
      <c r="I6" s="8" t="n">
        <v>0.099</v>
      </c>
      <c r="J6" s="8" t="n">
        <v>0.073</v>
      </c>
      <c r="K6" s="8" t="n">
        <v>0.073</v>
      </c>
    </row>
    <row r="7">
      <c r="A7" t="inlineStr">
        <is>
          <t>BRL</t>
        </is>
      </c>
      <c r="B7" s="8" t="n">
        <v>0.075</v>
      </c>
      <c r="C7" s="8" t="n">
        <v>0.07200000000000001</v>
      </c>
      <c r="D7" s="8" t="n">
        <v>0.053</v>
      </c>
      <c r="E7" s="8" t="n">
        <v>0.043</v>
      </c>
      <c r="F7" s="8" t="n">
        <v>0.113</v>
      </c>
      <c r="G7" s="8" t="n">
        <v>0.134</v>
      </c>
      <c r="H7" s="8" t="n">
        <v>0.103</v>
      </c>
      <c r="I7" s="8" t="n">
        <v>0.154</v>
      </c>
      <c r="J7" s="8" t="n">
        <v>0.139</v>
      </c>
      <c r="K7" s="8" t="n">
        <v>0.139</v>
      </c>
    </row>
    <row r="8">
      <c r="A8" t="inlineStr">
        <is>
          <t>SAR</t>
        </is>
      </c>
      <c r="B8" s="8" t="n">
        <v>0.02</v>
      </c>
      <c r="C8" s="8" t="n">
        <v>0.029</v>
      </c>
      <c r="D8" s="8" t="n">
        <v>0.023</v>
      </c>
      <c r="E8" s="8" t="n">
        <v>0.009000000000000001</v>
      </c>
      <c r="F8" s="8" t="n">
        <v>0.012</v>
      </c>
      <c r="G8" s="8" t="n">
        <v>0.05</v>
      </c>
      <c r="H8" s="8" t="n">
        <v>0.05400000000000001</v>
      </c>
      <c r="I8" s="8" t="n">
        <v>0.052</v>
      </c>
      <c r="J8" s="8" t="n">
        <v>0.046</v>
      </c>
      <c r="K8" s="8" t="n">
        <v>0.046</v>
      </c>
    </row>
    <row r="9">
      <c r="A9" t="inlineStr">
        <is>
          <t>HKD</t>
        </is>
      </c>
      <c r="B9" s="8" t="n">
        <v>0.013</v>
      </c>
      <c r="C9" s="8" t="n">
        <v>0.018</v>
      </c>
      <c r="D9" s="8" t="n">
        <v>0.017</v>
      </c>
      <c r="E9" s="8" t="n">
        <v>0.002</v>
      </c>
      <c r="F9" s="8" t="n">
        <v>0.006</v>
      </c>
      <c r="G9" s="8" t="n">
        <v>0.04</v>
      </c>
      <c r="H9" s="8" t="n">
        <v>0.036</v>
      </c>
      <c r="I9" s="8" t="n">
        <v>0.034</v>
      </c>
      <c r="J9" s="8" t="n">
        <v>0.026</v>
      </c>
      <c r="K9" s="8" t="n">
        <v>0.026</v>
      </c>
    </row>
    <row r="10">
      <c r="A10" t="inlineStr">
        <is>
          <t>CNY</t>
        </is>
      </c>
      <c r="B10" s="8" t="n">
        <v>0.035</v>
      </c>
      <c r="C10" s="8" t="n">
        <v>0.027</v>
      </c>
      <c r="D10" s="8" t="n">
        <v>0.026</v>
      </c>
      <c r="E10" s="8" t="n">
        <v>0.027</v>
      </c>
      <c r="F10" s="8" t="n">
        <v>0.023</v>
      </c>
      <c r="G10" s="8" t="n">
        <v>0.023</v>
      </c>
      <c r="H10" s="8" t="n">
        <v>0.022</v>
      </c>
      <c r="I10" s="8" t="n">
        <v>0.011</v>
      </c>
      <c r="J10" s="8" t="n">
        <v>0.014</v>
      </c>
      <c r="K10" s="8" t="n">
        <v>0.014</v>
      </c>
    </row>
    <row r="11">
      <c r="A11" t="inlineStr">
        <is>
          <t>IDR</t>
        </is>
      </c>
      <c r="B11" s="8" t="n">
        <v>0.058</v>
      </c>
      <c r="C11" s="8" t="n">
        <v>0.077</v>
      </c>
      <c r="D11" s="8" t="n">
        <v>0.057</v>
      </c>
      <c r="E11" s="8" t="n">
        <v>0.04099999999999999</v>
      </c>
      <c r="F11" s="8" t="n">
        <v>0.039</v>
      </c>
      <c r="G11" s="8" t="n">
        <v>0.059</v>
      </c>
      <c r="H11" s="8" t="n">
        <v>0.064</v>
      </c>
      <c r="I11" s="8" t="n">
        <v>0.06900000000000001</v>
      </c>
      <c r="J11" s="8" t="n">
        <v>0.05</v>
      </c>
      <c r="K11" s="8" t="n">
        <v>0.05</v>
      </c>
    </row>
    <row r="12"/>
    <row r="13">
      <c r="A13" s="2" t="inlineStr">
        <is>
          <t>Approximate year-end 2-year government bond yields (SAR: interbank proxy). Entered from memory, not from a data source: replace with exact figures if needed. 2026 repeats 2025.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currency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</row>
    <row r="2">
      <c r="A2" t="inlineStr">
        <is>
          <t>USD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CAD</t>
        </is>
      </c>
      <c r="B3" t="n">
        <v>1.25655</v>
      </c>
      <c r="C3" t="n">
        <v>1.3622</v>
      </c>
      <c r="D3" t="n">
        <v>1.30606</v>
      </c>
      <c r="E3" t="n">
        <v>1.27507</v>
      </c>
      <c r="F3" t="n">
        <v>1.27444</v>
      </c>
      <c r="G3" t="n">
        <v>1.3552</v>
      </c>
      <c r="H3" t="n">
        <v>1.32296</v>
      </c>
      <c r="I3" t="n">
        <v>1.43498</v>
      </c>
      <c r="J3" t="n">
        <v>1.36947</v>
      </c>
      <c r="K3" t="n">
        <v>1.413</v>
      </c>
    </row>
    <row r="4">
      <c r="A4" t="inlineStr">
        <is>
          <t>AUD</t>
        </is>
      </c>
      <c r="B4" t="n">
        <v>1.28299</v>
      </c>
      <c r="C4" t="n">
        <v>1.4195</v>
      </c>
      <c r="D4" t="n">
        <v>1.428286</v>
      </c>
      <c r="E4" t="n">
        <v>1.30051</v>
      </c>
      <c r="F4" t="n">
        <v>1.379348</v>
      </c>
      <c r="G4" t="n">
        <v>1.477978</v>
      </c>
      <c r="H4" t="n">
        <v>1.464922</v>
      </c>
      <c r="I4" t="n">
        <v>1.607717</v>
      </c>
      <c r="J4" t="n">
        <v>1.492983</v>
      </c>
      <c r="K4" t="n">
        <v>1.4258</v>
      </c>
    </row>
    <row r="5">
      <c r="A5" t="inlineStr">
        <is>
          <t>GBP</t>
        </is>
      </c>
      <c r="B5" t="n">
        <v>0.744</v>
      </c>
      <c r="C5" t="n">
        <v>0.7877999999999999</v>
      </c>
      <c r="D5" t="n">
        <v>0.7625999999999999</v>
      </c>
      <c r="E5" t="n">
        <v>0.73364</v>
      </c>
      <c r="F5" t="n">
        <v>0.74083</v>
      </c>
      <c r="G5" t="n">
        <v>0.82944</v>
      </c>
      <c r="H5" t="n">
        <v>0.7853</v>
      </c>
      <c r="I5" t="n">
        <v>0.79687</v>
      </c>
      <c r="J5" t="n">
        <v>0.742545</v>
      </c>
      <c r="K5" t="n">
        <v>0.75566</v>
      </c>
    </row>
    <row r="6">
      <c r="A6" t="inlineStr">
        <is>
          <t>MXN</t>
        </is>
      </c>
      <c r="B6" t="n">
        <v>19.65539</v>
      </c>
      <c r="C6" t="n">
        <v>19.64537</v>
      </c>
      <c r="D6" t="n">
        <v>18.9177</v>
      </c>
      <c r="E6" t="n">
        <v>19.8909</v>
      </c>
      <c r="F6" t="n">
        <v>20.459101</v>
      </c>
      <c r="G6" t="n">
        <v>19.4576</v>
      </c>
      <c r="H6" t="n">
        <v>16.9512</v>
      </c>
      <c r="I6" t="n">
        <v>20.6322</v>
      </c>
      <c r="J6" t="n">
        <v>17.9788</v>
      </c>
      <c r="K6" t="n">
        <v>17.7325</v>
      </c>
    </row>
    <row r="7">
      <c r="A7" t="inlineStr">
        <is>
          <t>BRL</t>
        </is>
      </c>
      <c r="B7" t="n">
        <v>3.3111</v>
      </c>
      <c r="C7" t="n">
        <v>3.8742</v>
      </c>
      <c r="D7" t="n">
        <v>4.015711</v>
      </c>
      <c r="E7" t="n">
        <v>5.190839</v>
      </c>
      <c r="F7" t="n">
        <v>5.5702</v>
      </c>
      <c r="G7" t="n">
        <v>5.2846</v>
      </c>
      <c r="H7" t="n">
        <v>4.8502</v>
      </c>
      <c r="I7" t="n">
        <v>6.1779</v>
      </c>
      <c r="J7" t="n">
        <v>5.4762</v>
      </c>
      <c r="K7" t="n">
        <v>5.1842</v>
      </c>
    </row>
    <row r="8">
      <c r="A8" t="inlineStr">
        <is>
          <t>SAR</t>
        </is>
      </c>
      <c r="B8" t="n">
        <v>3.7456</v>
      </c>
      <c r="C8" t="n">
        <v>3.7515</v>
      </c>
      <c r="D8" t="n">
        <v>3.74836</v>
      </c>
      <c r="E8" t="n">
        <v>3.747706</v>
      </c>
      <c r="F8" t="n">
        <v>3.749972</v>
      </c>
      <c r="G8" t="n">
        <v>3.754942</v>
      </c>
      <c r="H8" t="n">
        <v>3.745219</v>
      </c>
      <c r="I8" t="n">
        <v>3.751983</v>
      </c>
      <c r="J8" t="n">
        <v>3.7479</v>
      </c>
      <c r="K8" t="n">
        <v>3.7543</v>
      </c>
    </row>
    <row r="9">
      <c r="A9" t="inlineStr">
        <is>
          <t>HKD</t>
        </is>
      </c>
      <c r="B9" t="n">
        <v>7.8168</v>
      </c>
      <c r="C9" t="n">
        <v>7.8309</v>
      </c>
      <c r="D9" t="n">
        <v>7.7881</v>
      </c>
      <c r="E9" t="n">
        <v>7.75218</v>
      </c>
      <c r="F9" t="n">
        <v>7.79756</v>
      </c>
      <c r="G9" t="n">
        <v>7.7944</v>
      </c>
      <c r="H9" t="n">
        <v>7.8118</v>
      </c>
      <c r="I9" t="n">
        <v>7.7635</v>
      </c>
      <c r="J9" t="n">
        <v>7.78066</v>
      </c>
      <c r="K9" t="n">
        <v>7.8434</v>
      </c>
    </row>
    <row r="10">
      <c r="A10" t="inlineStr">
        <is>
          <t>CNY</t>
        </is>
      </c>
      <c r="B10" t="n">
        <v>6.5316</v>
      </c>
      <c r="C10" t="n">
        <v>6.8772</v>
      </c>
      <c r="D10" t="n">
        <v>6.9857</v>
      </c>
      <c r="E10" t="n">
        <v>6.5222</v>
      </c>
      <c r="F10" t="n">
        <v>6.3721</v>
      </c>
      <c r="G10" t="n">
        <v>6.9631</v>
      </c>
      <c r="H10" t="n">
        <v>7.107</v>
      </c>
      <c r="I10" t="n">
        <v>7.2981</v>
      </c>
      <c r="J10" t="n">
        <v>6.9961</v>
      </c>
      <c r="K10" t="n">
        <v>6.7123</v>
      </c>
    </row>
    <row r="11">
      <c r="A11" t="inlineStr">
        <is>
          <t>IDR</t>
        </is>
      </c>
      <c r="B11" t="n">
        <v>13558</v>
      </c>
      <c r="C11" t="n">
        <v>14553</v>
      </c>
      <c r="D11" t="n">
        <v>13919</v>
      </c>
      <c r="E11" t="n">
        <v>13832.55957</v>
      </c>
      <c r="F11" t="n">
        <v>14285.200195</v>
      </c>
      <c r="G11" t="n">
        <v>15620</v>
      </c>
      <c r="H11" t="n">
        <v>15425</v>
      </c>
      <c r="I11" t="n">
        <v>16085.599609</v>
      </c>
      <c r="J11" t="n">
        <v>16709</v>
      </c>
      <c r="K11" t="n">
        <v>17912</v>
      </c>
    </row>
    <row r="12"/>
    <row r="13">
      <c r="A13" s="2" t="inlineStr">
        <is>
          <t>Units of currency per 1 USD at the last trading day of each year (2026: latest). Source: Yahoo Finance (CAD=X, GBP=X, ...).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currency</t>
        </is>
      </c>
      <c r="B1" s="1" t="inlineStr">
        <is>
          <t>2017-&gt;2019</t>
        </is>
      </c>
      <c r="C1" s="1" t="inlineStr">
        <is>
          <t>2018-&gt;2020</t>
        </is>
      </c>
      <c r="D1" s="1" t="inlineStr">
        <is>
          <t>2019-&gt;2021</t>
        </is>
      </c>
      <c r="E1" s="1" t="inlineStr">
        <is>
          <t>2020-&gt;2022</t>
        </is>
      </c>
      <c r="F1" s="1" t="inlineStr">
        <is>
          <t>2021-&gt;2023</t>
        </is>
      </c>
      <c r="G1" s="1" t="inlineStr">
        <is>
          <t>2022-&gt;2024</t>
        </is>
      </c>
      <c r="H1" s="1" t="inlineStr">
        <is>
          <t>2023-&gt;2025</t>
        </is>
      </c>
      <c r="I1" s="1" t="inlineStr">
        <is>
          <t>2024-&gt;2026</t>
        </is>
      </c>
      <c r="J1" s="1" t="inlineStr">
        <is>
          <t>2025-&gt;2027</t>
        </is>
      </c>
      <c r="K1" s="1" t="inlineStr">
        <is>
          <t>2026-&gt;2028</t>
        </is>
      </c>
    </row>
    <row r="2">
      <c r="A2" t="inlineStr">
        <is>
          <t>USD</t>
        </is>
      </c>
      <c r="B2">
        <f>'FX year-end'!B2*EXP((INDEX('Rates 2y'!$B$2:$B$11,MATCH($A2,'Rates 2y'!$A$2:$A$11,0))-INDEX('Rates 2y'!$B$2:$B$11,MATCH("USD",'Rates 2y'!$A$2:$A$11,0)))*2)</f>
        <v>1.0</v>
      </c>
      <c r="C2">
        <f>'FX year-end'!C2*EXP((INDEX('Rates 2y'!$C$2:$C$11,MATCH($A2,'Rates 2y'!$A$2:$A$11,0))-INDEX('Rates 2y'!$C$2:$C$11,MATCH("USD",'Rates 2y'!$A$2:$A$11,0)))*2)</f>
        <v>1.0</v>
      </c>
      <c r="D2">
        <f>'FX year-end'!D2*EXP((INDEX('Rates 2y'!$D$2:$D$11,MATCH($A2,'Rates 2y'!$A$2:$A$11,0))-INDEX('Rates 2y'!$D$2:$D$11,MATCH("USD",'Rates 2y'!$A$2:$A$11,0)))*2)</f>
        <v>1.0</v>
      </c>
      <c r="E2">
        <f>'FX year-end'!E2*EXP((INDEX('Rates 2y'!$E$2:$E$11,MATCH($A2,'Rates 2y'!$A$2:$A$11,0))-INDEX('Rates 2y'!$E$2:$E$11,MATCH("USD",'Rates 2y'!$A$2:$A$11,0)))*2)</f>
        <v>1.0</v>
      </c>
      <c r="F2">
        <f>'FX year-end'!F2*EXP((INDEX('Rates 2y'!$F$2:$F$11,MATCH($A2,'Rates 2y'!$A$2:$A$11,0))-INDEX('Rates 2y'!$F$2:$F$11,MATCH("USD",'Rates 2y'!$A$2:$A$11,0)))*2)</f>
        <v>1.0</v>
      </c>
      <c r="G2">
        <f>'FX year-end'!G2*EXP((INDEX('Rates 2y'!$G$2:$G$11,MATCH($A2,'Rates 2y'!$A$2:$A$11,0))-INDEX('Rates 2y'!$G$2:$G$11,MATCH("USD",'Rates 2y'!$A$2:$A$11,0)))*2)</f>
        <v>1.0</v>
      </c>
      <c r="H2">
        <f>'FX year-end'!H2*EXP((INDEX('Rates 2y'!$H$2:$H$11,MATCH($A2,'Rates 2y'!$A$2:$A$11,0))-INDEX('Rates 2y'!$H$2:$H$11,MATCH("USD",'Rates 2y'!$A$2:$A$11,0)))*2)</f>
        <v>1.0</v>
      </c>
      <c r="I2">
        <f>'FX year-end'!I2*EXP((INDEX('Rates 2y'!$I$2:$I$11,MATCH($A2,'Rates 2y'!$A$2:$A$11,0))-INDEX('Rates 2y'!$I$2:$I$11,MATCH("USD",'Rates 2y'!$A$2:$A$11,0)))*2)</f>
        <v>1.0</v>
      </c>
      <c r="J2">
        <f>'FX year-end'!J2*EXP((INDEX('Rates 2y'!$J$2:$J$11,MATCH($A2,'Rates 2y'!$A$2:$A$11,0))-INDEX('Rates 2y'!$J$2:$J$11,MATCH("USD",'Rates 2y'!$A$2:$A$11,0)))*2)</f>
        <v>1.0</v>
      </c>
      <c r="K2">
        <f>'FX year-end'!K2*EXP((INDEX('Rates 2y'!$K$2:$K$11,MATCH($A2,'Rates 2y'!$A$2:$A$11,0))-INDEX('Rates 2y'!$K$2:$K$11,MATCH("USD",'Rates 2y'!$A$2:$A$11,0)))*2)</f>
        <v>1.0</v>
      </c>
    </row>
    <row r="3">
      <c r="A3" t="inlineStr">
        <is>
          <t>CAD</t>
        </is>
      </c>
      <c r="B3">
        <f>'FX year-end'!B3*EXP((INDEX('Rates 2y'!$B$2:$B$11,MATCH($A3,'Rates 2y'!$A$2:$A$11,0))-INDEX('Rates 2y'!$B$2:$B$11,MATCH("USD",'Rates 2y'!$A$2:$A$11,0)))*2)</f>
        <v>1.2515338390101927</v>
      </c>
      <c r="C3">
        <f>'FX year-end'!C3*EXP((INDEX('Rates 2y'!$C$2:$C$11,MATCH($A3,'Rates 2y'!$A$2:$A$11,0))-INDEX('Rates 2y'!$C$2:$C$11,MATCH("USD",'Rates 2y'!$A$2:$A$11,0)))*2)</f>
        <v>1.3451439587109504</v>
      </c>
      <c r="D3">
        <f>'FX year-end'!D3*EXP((INDEX('Rates 2y'!$D$2:$D$11,MATCH($A3,'Rates 2y'!$A$2:$A$11,0))-INDEX('Rates 2y'!$D$2:$D$11,MATCH("USD",'Rates 2y'!$A$2:$A$11,0)))*2)</f>
        <v>1.3091983084637686</v>
      </c>
      <c r="E3">
        <f>'FX year-end'!E3*EXP((INDEX('Rates 2y'!$E$2:$E$11,MATCH($A3,'Rates 2y'!$A$2:$A$11,0))-INDEX('Rates 2y'!$E$2:$E$11,MATCH("USD",'Rates 2y'!$A$2:$A$11,0)))*2)</f>
        <v>1.2768563481519362</v>
      </c>
      <c r="F3">
        <f>'FX year-end'!F3*EXP((INDEX('Rates 2y'!$F$2:$F$11,MATCH($A3,'Rates 2y'!$A$2:$A$11,0))-INDEX('Rates 2y'!$F$2:$F$11,MATCH("USD",'Rates 2y'!$A$2:$A$11,0)))*2)</f>
        <v>1.28005989069277</v>
      </c>
      <c r="G3">
        <f>'FX year-end'!G3*EXP((INDEX('Rates 2y'!$G$2:$G$11,MATCH($A3,'Rates 2y'!$A$2:$A$11,0))-INDEX('Rates 2y'!$G$2:$G$11,MATCH("USD",'Rates 2y'!$A$2:$A$11,0)))*2)</f>
        <v>1.3449395192140532</v>
      </c>
      <c r="H3">
        <f>'FX year-end'!H3*EXP((INDEX('Rates 2y'!$H$2:$H$11,MATCH($A3,'Rates 2y'!$A$2:$A$11,0))-INDEX('Rates 2y'!$H$2:$H$11,MATCH("USD",'Rates 2y'!$A$2:$A$11,0)))*2)</f>
        <v>1.3132062294606612</v>
      </c>
      <c r="I3">
        <f>'FX year-end'!I3*EXP((INDEX('Rates 2y'!$I$2:$I$11,MATCH($A3,'Rates 2y'!$A$2:$A$11,0))-INDEX('Rates 2y'!$I$2:$I$11,MATCH("USD",'Rates 2y'!$A$2:$A$11,0)))*2)</f>
        <v>1.3978717645745489</v>
      </c>
      <c r="J3">
        <f>'FX year-end'!J3*EXP((INDEX('Rates 2y'!$J$2:$J$11,MATCH($A3,'Rates 2y'!$A$2:$A$11,0))-INDEX('Rates 2y'!$J$2:$J$11,MATCH("USD",'Rates 2y'!$A$2:$A$11,0)))*2)</f>
        <v>1.3455781926288697</v>
      </c>
      <c r="K3">
        <f>'FX year-end'!K3*EXP((INDEX('Rates 2y'!$K$2:$K$11,MATCH($A3,'Rates 2y'!$A$2:$A$11,0))-INDEX('Rates 2y'!$K$2:$K$11,MATCH("USD",'Rates 2y'!$A$2:$A$11,0)))*2)</f>
        <v>1.3883487671760557</v>
      </c>
    </row>
    <row r="4">
      <c r="A4" t="inlineStr">
        <is>
          <t>AUD</t>
        </is>
      </c>
      <c r="B4">
        <f>'FX year-end'!B4*EXP((INDEX('Rates 2y'!$B$2:$B$11,MATCH($A4,'Rates 2y'!$A$2:$A$11,0))-INDEX('Rates 2y'!$B$2:$B$11,MATCH("USD",'Rates 2y'!$A$2:$A$11,0)))*2)</f>
        <v>1.2858156851139324</v>
      </c>
      <c r="C4">
        <f>'FX year-end'!C4*EXP((INDEX('Rates 2y'!$C$2:$C$11,MATCH($A4,'Rates 2y'!$A$2:$A$11,0))-INDEX('Rates 2y'!$C$2:$C$11,MATCH("USD",'Rates 2y'!$A$2:$A$11,0)))*2)</f>
        <v>1.402848338020018</v>
      </c>
      <c r="D4">
        <f>'FX year-end'!D4*EXP((INDEX('Rates 2y'!$D$2:$D$11,MATCH($A4,'Rates 2y'!$A$2:$A$11,0))-INDEX('Rates 2y'!$D$2:$D$11,MATCH("USD",'Rates 2y'!$A$2:$A$11,0)))*2)</f>
        <v>1.408992801521238</v>
      </c>
      <c r="E4">
        <f>'FX year-end'!E4*EXP((INDEX('Rates 2y'!$E$2:$E$11,MATCH($A4,'Rates 2y'!$A$2:$A$11,0))-INDEX('Rates 2y'!$E$2:$E$11,MATCH("USD",'Rates 2y'!$A$2:$A$11,0)))*2)</f>
        <v>1.2997299280449888</v>
      </c>
      <c r="F4">
        <f>'FX year-end'!F4*EXP((INDEX('Rates 2y'!$F$2:$F$11,MATCH($A4,'Rates 2y'!$A$2:$A$11,0))-INDEX('Rates 2y'!$F$2:$F$11,MATCH("USD",'Rates 2y'!$A$2:$A$11,0)))*2)</f>
        <v>1.375766353358295</v>
      </c>
      <c r="G4">
        <f>'FX year-end'!G4*EXP((INDEX('Rates 2y'!$G$2:$G$11,MATCH($A4,'Rates 2y'!$A$2:$A$11,0))-INDEX('Rates 2y'!$G$2:$G$11,MATCH("USD",'Rates 2y'!$A$2:$A$11,0)))*2)</f>
        <v>1.4507416920818683</v>
      </c>
      <c r="H4">
        <f>'FX year-end'!H4*EXP((INDEX('Rates 2y'!$H$2:$H$11,MATCH($A4,'Rates 2y'!$A$2:$A$11,0))-INDEX('Rates 2y'!$H$2:$H$11,MATCH("USD",'Rates 2y'!$A$2:$A$11,0)))*2)</f>
        <v>1.4488961617041707</v>
      </c>
      <c r="I4">
        <f>'FX year-end'!I4*EXP((INDEX('Rates 2y'!$I$2:$I$11,MATCH($A4,'Rates 2y'!$A$2:$A$11,0))-INDEX('Rates 2y'!$I$2:$I$11,MATCH("USD",'Rates 2y'!$A$2:$A$11,0)))*2)</f>
        <v>1.595225587241158</v>
      </c>
      <c r="J4">
        <f>'FX year-end'!J4*EXP((INDEX('Rates 2y'!$J$2:$J$11,MATCH($A4,'Rates 2y'!$A$2:$A$11,0))-INDEX('Rates 2y'!$J$2:$J$11,MATCH("USD",'Rates 2y'!$A$2:$A$11,0)))*2)</f>
        <v>1.5055768774333078</v>
      </c>
      <c r="K4">
        <f>'FX year-end'!K4*EXP((INDEX('Rates 2y'!$K$2:$K$11,MATCH($A4,'Rates 2y'!$A$2:$A$11,0))-INDEX('Rates 2y'!$K$2:$K$11,MATCH("USD",'Rates 2y'!$A$2:$A$11,0)))*2)</f>
        <v>1.4378271633665018</v>
      </c>
    </row>
    <row r="5">
      <c r="A5" t="inlineStr">
        <is>
          <t>GBP</t>
        </is>
      </c>
      <c r="B5">
        <f>'FX year-end'!B5*EXP((INDEX('Rates 2y'!$B$2:$B$11,MATCH($A5,'Rates 2y'!$A$2:$A$11,0))-INDEX('Rates 2y'!$B$2:$B$11,MATCH("USD",'Rates 2y'!$A$2:$A$11,0)))*2)</f>
        <v>0.7228784107887073</v>
      </c>
      <c r="C5">
        <f>'FX year-end'!C5*EXP((INDEX('Rates 2y'!$C$2:$C$11,MATCH($A5,'Rates 2y'!$A$2:$A$11,0))-INDEX('Rates 2y'!$C$2:$C$11,MATCH("USD",'Rates 2y'!$A$2:$A$11,0)))*2)</f>
        <v>0.7608561029321896</v>
      </c>
      <c r="D5">
        <f>'FX year-end'!D5*EXP((INDEX('Rates 2y'!$D$2:$D$11,MATCH($A5,'Rates 2y'!$A$2:$A$11,0))-INDEX('Rates 2y'!$D$2:$D$11,MATCH("USD",'Rates 2y'!$A$2:$A$11,0)))*2)</f>
        <v>0.7470511430817788</v>
      </c>
      <c r="E5">
        <f>'FX year-end'!E5*EXP((INDEX('Rates 2y'!$E$2:$E$11,MATCH($A5,'Rates 2y'!$A$2:$A$11,0))-INDEX('Rates 2y'!$E$2:$E$11,MATCH("USD",'Rates 2y'!$A$2:$A$11,0)))*2)</f>
        <v>0.7295430980320751</v>
      </c>
      <c r="F5">
        <f>'FX year-end'!F5*EXP((INDEX('Rates 2y'!$F$2:$F$11,MATCH($A5,'Rates 2y'!$A$2:$A$11,0))-INDEX('Rates 2y'!$F$2:$F$11,MATCH("USD",'Rates 2y'!$A$2:$A$11,0)))*2)</f>
        <v>0.7403856353227342</v>
      </c>
      <c r="G5">
        <f>'FX year-end'!G5*EXP((INDEX('Rates 2y'!$G$2:$G$11,MATCH($A5,'Rates 2y'!$A$2:$A$11,0))-INDEX('Rates 2y'!$G$2:$G$11,MATCH("USD",'Rates 2y'!$A$2:$A$11,0)))*2)</f>
        <v>0.8157849465080877</v>
      </c>
      <c r="H5">
        <f>'FX year-end'!H5*EXP((INDEX('Rates 2y'!$H$2:$H$11,MATCH($A5,'Rates 2y'!$A$2:$A$11,0))-INDEX('Rates 2y'!$H$2:$H$11,MATCH("USD",'Rates 2y'!$A$2:$A$11,0)))*2)</f>
        <v>0.7813832999100134</v>
      </c>
      <c r="I5">
        <f>'FX year-end'!I5*EXP((INDEX('Rates 2y'!$I$2:$I$11,MATCH($A5,'Rates 2y'!$A$2:$A$11,0))-INDEX('Rates 2y'!$I$2:$I$11,MATCH("USD",'Rates 2y'!$A$2:$A$11,0)))*2)</f>
        <v>0.7994240683298566</v>
      </c>
      <c r="J5">
        <f>'FX year-end'!J5*EXP((INDEX('Rates 2y'!$J$2:$J$11,MATCH($A5,'Rates 2y'!$A$2:$A$11,0))-INDEX('Rates 2y'!$J$2:$J$11,MATCH("USD",'Rates 2y'!$A$2:$A$11,0)))*2)</f>
        <v>0.7465655888197874</v>
      </c>
      <c r="K5">
        <f>'FX year-end'!K5*EXP((INDEX('Rates 2y'!$K$2:$K$11,MATCH($A5,'Rates 2y'!$A$2:$A$11,0))-INDEX('Rates 2y'!$K$2:$K$11,MATCH("USD",'Rates 2y'!$A$2:$A$11,0)))*2)</f>
        <v>0.7597516013811426</v>
      </c>
    </row>
    <row r="6">
      <c r="A6" t="inlineStr">
        <is>
          <t>MXN</t>
        </is>
      </c>
      <c r="B6">
        <f>'FX year-end'!B6*EXP((INDEX('Rates 2y'!$B$2:$B$11,MATCH($A6,'Rates 2y'!$A$2:$A$11,0))-INDEX('Rates 2y'!$B$2:$B$11,MATCH("USD",'Rates 2y'!$A$2:$A$11,0)))*2)</f>
        <v>22.033226312554095</v>
      </c>
      <c r="C6">
        <f>'FX year-end'!C6*EXP((INDEX('Rates 2y'!$C$2:$C$11,MATCH($A6,'Rates 2y'!$A$2:$A$11,0))-INDEX('Rates 2y'!$C$2:$C$11,MATCH("USD",'Rates 2y'!$A$2:$A$11,0)))*2)</f>
        <v>22.19887666987806</v>
      </c>
      <c r="D6">
        <f>'FX year-end'!D6*EXP((INDEX('Rates 2y'!$D$2:$D$11,MATCH($A6,'Rates 2y'!$A$2:$A$11,0))-INDEX('Rates 2y'!$D$2:$D$11,MATCH("USD",'Rates 2y'!$A$2:$A$11,0)))*2)</f>
        <v>21.041527641146264</v>
      </c>
      <c r="E6">
        <f>'FX year-end'!E6*EXP((INDEX('Rates 2y'!$E$2:$E$11,MATCH($A6,'Rates 2y'!$A$2:$A$11,0))-INDEX('Rates 2y'!$E$2:$E$11,MATCH("USD",'Rates 2y'!$A$2:$A$11,0)))*2)</f>
        <v>21.620941106650115</v>
      </c>
      <c r="F6">
        <f>'FX year-end'!F6*EXP((INDEX('Rates 2y'!$F$2:$F$11,MATCH($A6,'Rates 2y'!$A$2:$A$11,0))-INDEX('Rates 2y'!$F$2:$F$11,MATCH("USD",'Rates 2y'!$A$2:$A$11,0)))*2)</f>
        <v>23.285429466209724</v>
      </c>
      <c r="G6">
        <f>'FX year-end'!G6*EXP((INDEX('Rates 2y'!$G$2:$G$11,MATCH($A6,'Rates 2y'!$A$2:$A$11,0))-INDEX('Rates 2y'!$G$2:$G$11,MATCH("USD",'Rates 2y'!$A$2:$A$11,0)))*2)</f>
        <v>21.96911798477762</v>
      </c>
      <c r="H6">
        <f>'FX year-end'!H6*EXP((INDEX('Rates 2y'!$H$2:$H$11,MATCH($A6,'Rates 2y'!$A$2:$A$11,0))-INDEX('Rates 2y'!$H$2:$H$11,MATCH("USD",'Rates 2y'!$A$2:$A$11,0)))*2)</f>
        <v>19.131546614521323</v>
      </c>
      <c r="I6">
        <f>'FX year-end'!I6*EXP((INDEX('Rates 2y'!$I$2:$I$11,MATCH($A6,'Rates 2y'!$A$2:$A$11,0))-INDEX('Rates 2y'!$I$2:$I$11,MATCH("USD",'Rates 2y'!$A$2:$A$11,0)))*2)</f>
        <v>23.105090523015416</v>
      </c>
      <c r="J6">
        <f>'FX year-end'!J6*EXP((INDEX('Rates 2y'!$J$2:$J$11,MATCH($A6,'Rates 2y'!$A$2:$A$11,0))-INDEX('Rates 2y'!$J$2:$J$11,MATCH("USD",'Rates 2y'!$A$2:$A$11,0)))*2)</f>
        <v>19.406213261273404</v>
      </c>
      <c r="K6">
        <f>'FX year-end'!K6*EXP((INDEX('Rates 2y'!$K$2:$K$11,MATCH($A6,'Rates 2y'!$A$2:$A$11,0))-INDEX('Rates 2y'!$K$2:$K$11,MATCH("USD",'Rates 2y'!$A$2:$A$11,0)))*2)</f>
        <v>19.140358458602947</v>
      </c>
    </row>
    <row r="7">
      <c r="A7" t="inlineStr">
        <is>
          <t>BRL</t>
        </is>
      </c>
      <c r="B7">
        <f>'FX year-end'!B7*EXP((INDEX('Rates 2y'!$B$2:$B$11,MATCH($A7,'Rates 2y'!$A$2:$A$11,0))-INDEX('Rates 2y'!$B$2:$B$11,MATCH("USD",'Rates 2y'!$A$2:$A$11,0)))*2)</f>
        <v>3.7042487085434828</v>
      </c>
      <c r="C7">
        <f>'FX year-end'!C7*EXP((INDEX('Rates 2y'!$C$2:$C$11,MATCH($A7,'Rates 2y'!$A$2:$A$11,0))-INDEX('Rates 2y'!$C$2:$C$11,MATCH("USD",'Rates 2y'!$A$2:$A$11,0)))*2)</f>
        <v>4.256891460792319</v>
      </c>
      <c r="D7">
        <f>'FX year-end'!D7*EXP((INDEX('Rates 2y'!$D$2:$D$11,MATCH($A7,'Rates 2y'!$A$2:$A$11,0))-INDEX('Rates 2y'!$D$2:$D$11,MATCH("USD",'Rates 2y'!$A$2:$A$11,0)))*2)</f>
        <v>4.325874937657236</v>
      </c>
      <c r="E7">
        <f>'FX year-end'!E7*EXP((INDEX('Rates 2y'!$E$2:$E$11,MATCH($A7,'Rates 2y'!$A$2:$A$11,0))-INDEX('Rates 2y'!$E$2:$E$11,MATCH("USD",'Rates 2y'!$A$2:$A$11,0)))*2)</f>
        <v>5.642320071645959</v>
      </c>
      <c r="F7">
        <f>'FX year-end'!F7*EXP((INDEX('Rates 2y'!$F$2:$F$11,MATCH($A7,'Rates 2y'!$A$2:$A$11,0))-INDEX('Rates 2y'!$F$2:$F$11,MATCH("USD",'Rates 2y'!$A$2:$A$11,0)))*2)</f>
        <v>6.881460834053128</v>
      </c>
      <c r="G7">
        <f>'FX year-end'!G7*EXP((INDEX('Rates 2y'!$G$2:$G$11,MATCH($A7,'Rates 2y'!$A$2:$A$11,0))-INDEX('Rates 2y'!$G$2:$G$11,MATCH("USD",'Rates 2y'!$A$2:$A$11,0)))*2)</f>
        <v>6.323019926826173</v>
      </c>
      <c r="H7">
        <f>'FX year-end'!H7*EXP((INDEX('Rates 2y'!$H$2:$H$11,MATCH($A7,'Rates 2y'!$A$2:$A$11,0))-INDEX('Rates 2y'!$H$2:$H$11,MATCH("USD",'Rates 2y'!$A$2:$A$11,0)))*2)</f>
        <v>5.474056549964092</v>
      </c>
      <c r="I7">
        <f>'FX year-end'!I7*EXP((INDEX('Rates 2y'!$I$2:$I$11,MATCH($A7,'Rates 2y'!$A$2:$A$11,0))-INDEX('Rates 2y'!$I$2:$I$11,MATCH("USD",'Rates 2y'!$A$2:$A$11,0)))*2)</f>
        <v>7.722810930223658</v>
      </c>
      <c r="J7">
        <f>'FX year-end'!J7*EXP((INDEX('Rates 2y'!$J$2:$J$11,MATCH($A7,'Rates 2y'!$A$2:$A$11,0))-INDEX('Rates 2y'!$J$2:$J$11,MATCH("USD",'Rates 2y'!$A$2:$A$11,0)))*2)</f>
        <v>6.745067046368634</v>
      </c>
      <c r="K7">
        <f>'FX year-end'!K7*EXP((INDEX('Rates 2y'!$K$2:$K$11,MATCH($A7,'Rates 2y'!$A$2:$A$11,0))-INDEX('Rates 2y'!$K$2:$K$11,MATCH("USD",'Rates 2y'!$A$2:$A$11,0)))*2)</f>
        <v>6.385408966397185</v>
      </c>
    </row>
    <row r="8">
      <c r="A8" t="inlineStr">
        <is>
          <t>SAR</t>
        </is>
      </c>
      <c r="B8">
        <f>'FX year-end'!B8*EXP((INDEX('Rates 2y'!$B$2:$B$11,MATCH($A8,'Rates 2y'!$A$2:$A$11,0))-INDEX('Rates 2y'!$B$2:$B$11,MATCH("USD",'Rates 2y'!$A$2:$A$11,0)))*2)</f>
        <v>3.753849391002849</v>
      </c>
      <c r="C8">
        <f>'FX year-end'!C8*EXP((INDEX('Rates 2y'!$C$2:$C$11,MATCH($A8,'Rates 2y'!$A$2:$A$11,0))-INDEX('Rates 2y'!$C$2:$C$11,MATCH("USD",'Rates 2y'!$A$2:$A$11,0)))*2)</f>
        <v>3.782388770880726</v>
      </c>
      <c r="D8">
        <f>'FX year-end'!D8*EXP((INDEX('Rates 2y'!$D$2:$D$11,MATCH($A8,'Rates 2y'!$A$2:$A$11,0))-INDEX('Rates 2y'!$D$2:$D$11,MATCH("USD",'Rates 2y'!$A$2:$A$11,0)))*2)</f>
        <v>3.8027268861235437</v>
      </c>
      <c r="E8">
        <f>'FX year-end'!E8*EXP((INDEX('Rates 2y'!$E$2:$E$11,MATCH($A8,'Rates 2y'!$A$2:$A$11,0))-INDEX('Rates 2y'!$E$2:$E$11,MATCH("USD",'Rates 2y'!$A$2:$A$11,0)))*2)</f>
        <v>3.805867365456103</v>
      </c>
      <c r="F8">
        <f>'FX year-end'!F8*EXP((INDEX('Rates 2y'!$F$2:$F$11,MATCH($A8,'Rates 2y'!$A$2:$A$11,0))-INDEX('Rates 2y'!$F$2:$F$11,MATCH("USD",'Rates 2y'!$A$2:$A$11,0)))*2)</f>
        <v>3.7853879308962926</v>
      </c>
      <c r="G8">
        <f>'FX year-end'!G8*EXP((INDEX('Rates 2y'!$G$2:$G$11,MATCH($A8,'Rates 2y'!$A$2:$A$11,0))-INDEX('Rates 2y'!$G$2:$G$11,MATCH("USD",'Rates 2y'!$A$2:$A$11,0)))*2)</f>
        <v>3.7979932647649726</v>
      </c>
      <c r="H8">
        <f>'FX year-end'!H8*EXP((INDEX('Rates 2y'!$H$2:$H$11,MATCH($A8,'Rates 2y'!$A$2:$A$11,0))-INDEX('Rates 2y'!$H$2:$H$11,MATCH("USD",'Rates 2y'!$A$2:$A$11,0)))*2)</f>
        <v>3.832357285976491</v>
      </c>
      <c r="I8">
        <f>'FX year-end'!I8*EXP((INDEX('Rates 2y'!$I$2:$I$11,MATCH($A8,'Rates 2y'!$A$2:$A$11,0))-INDEX('Rates 2y'!$I$2:$I$11,MATCH("USD",'Rates 2y'!$A$2:$A$11,0)))*2)</f>
        <v>3.824717086452537</v>
      </c>
      <c r="J8">
        <f>'FX year-end'!J8*EXP((INDEX('Rates 2y'!$J$2:$J$11,MATCH($A8,'Rates 2y'!$A$2:$A$11,0))-INDEX('Rates 2y'!$J$2:$J$11,MATCH("USD",'Rates 2y'!$A$2:$A$11,0)))*2)</f>
        <v>3.8328002933509513</v>
      </c>
      <c r="K8">
        <f>'FX year-end'!K8*EXP((INDEX('Rates 2y'!$K$2:$K$11,MATCH($A8,'Rates 2y'!$A$2:$A$11,0))-INDEX('Rates 2y'!$K$2:$K$11,MATCH("USD",'Rates 2y'!$A$2:$A$11,0)))*2)</f>
        <v>3.839345271039109</v>
      </c>
    </row>
    <row r="9">
      <c r="A9" t="inlineStr">
        <is>
          <t>HKD</t>
        </is>
      </c>
      <c r="B9">
        <f>'FX year-end'!B9*EXP((INDEX('Rates 2y'!$B$2:$B$11,MATCH($A9,'Rates 2y'!$A$2:$A$11,0))-INDEX('Rates 2y'!$B$2:$B$11,MATCH("USD",'Rates 2y'!$A$2:$A$11,0)))*2)</f>
        <v>7.7251038313736355</v>
      </c>
      <c r="C9">
        <f>'FX year-end'!C9*EXP((INDEX('Rates 2y'!$C$2:$C$11,MATCH($A9,'Rates 2y'!$A$2:$A$11,0))-INDEX('Rates 2y'!$C$2:$C$11,MATCH("USD",'Rates 2y'!$A$2:$A$11,0)))*2)</f>
        <v>7.723575820070841</v>
      </c>
      <c r="D9">
        <f>'FX year-end'!D9*EXP((INDEX('Rates 2y'!$D$2:$D$11,MATCH($A9,'Rates 2y'!$A$2:$A$11,0))-INDEX('Rates 2y'!$D$2:$D$11,MATCH("USD",'Rates 2y'!$A$2:$A$11,0)))*2)</f>
        <v>7.806813887682553</v>
      </c>
      <c r="E9">
        <f>'FX year-end'!E9*EXP((INDEX('Rates 2y'!$E$2:$E$11,MATCH($A9,'Rates 2y'!$A$2:$A$11,0))-INDEX('Rates 2y'!$E$2:$E$11,MATCH("USD",'Rates 2y'!$A$2:$A$11,0)))*2)</f>
        <v>7.763040652682972</v>
      </c>
      <c r="F9">
        <f>'FX year-end'!F9*EXP((INDEX('Rates 2y'!$F$2:$F$11,MATCH($A9,'Rates 2y'!$A$2:$A$11,0))-INDEX('Rates 2y'!$F$2:$F$11,MATCH("USD",'Rates 2y'!$A$2:$A$11,0)))*2)</f>
        <v>7.777312676925987</v>
      </c>
      <c r="G9">
        <f>'FX year-end'!G9*EXP((INDEX('Rates 2y'!$G$2:$G$11,MATCH($A9,'Rates 2y'!$A$2:$A$11,0))-INDEX('Rates 2y'!$G$2:$G$11,MATCH("USD",'Rates 2y'!$A$2:$A$11,0)))*2)</f>
        <v>7.727655572406301</v>
      </c>
      <c r="H9">
        <f>'FX year-end'!H9*EXP((INDEX('Rates 2y'!$H$2:$H$11,MATCH($A9,'Rates 2y'!$A$2:$A$11,0))-INDEX('Rates 2y'!$H$2:$H$11,MATCH("USD",'Rates 2y'!$A$2:$A$11,0)))*2)</f>
        <v>7.710903845951482</v>
      </c>
      <c r="I9">
        <f>'FX year-end'!I9*EXP((INDEX('Rates 2y'!$I$2:$I$11,MATCH($A9,'Rates 2y'!$A$2:$A$11,0))-INDEX('Rates 2y'!$I$2:$I$11,MATCH("USD",'Rates 2y'!$A$2:$A$11,0)))*2)</f>
        <v>7.63416267552515</v>
      </c>
      <c r="J9">
        <f>'FX year-end'!J9*EXP((INDEX('Rates 2y'!$J$2:$J$11,MATCH($A9,'Rates 2y'!$A$2:$A$11,0))-INDEX('Rates 2y'!$J$2:$J$11,MATCH("USD",'Rates 2y'!$A$2:$A$11,0)))*2)</f>
        <v>7.644918413882554</v>
      </c>
      <c r="K9">
        <f>'FX year-end'!K9*EXP((INDEX('Rates 2y'!$K$2:$K$11,MATCH($A9,'Rates 2y'!$A$2:$A$11,0))-INDEX('Rates 2y'!$K$2:$K$11,MATCH("USD",'Rates 2y'!$A$2:$A$11,0)))*2)</f>
        <v>7.706563850296302</v>
      </c>
    </row>
    <row r="10">
      <c r="A10" t="inlineStr">
        <is>
          <t>CNY</t>
        </is>
      </c>
      <c r="B10">
        <f>'FX year-end'!B10*EXP((INDEX('Rates 2y'!$B$2:$B$11,MATCH($A10,'Rates 2y'!$A$2:$A$11,0))-INDEX('Rates 2y'!$B$2:$B$11,MATCH("USD",'Rates 2y'!$A$2:$A$11,0)))*2)</f>
        <v>6.745340270807261</v>
      </c>
      <c r="C10">
        <f>'FX year-end'!C10*EXP((INDEX('Rates 2y'!$C$2:$C$11,MATCH($A10,'Rates 2y'!$A$2:$A$11,0))-INDEX('Rates 2y'!$C$2:$C$11,MATCH("USD",'Rates 2y'!$A$2:$A$11,0)))*2)</f>
        <v>6.906144981912907</v>
      </c>
      <c r="D10">
        <f>'FX year-end'!D10*EXP((INDEX('Rates 2y'!$D$2:$D$11,MATCH($A10,'Rates 2y'!$A$2:$A$11,0))-INDEX('Rates 2y'!$D$2:$D$11,MATCH("USD",'Rates 2y'!$A$2:$A$11,0)))*2)</f>
        <v>7.129671799446985</v>
      </c>
      <c r="E10">
        <f>'FX year-end'!E10*EXP((INDEX('Rates 2y'!$E$2:$E$11,MATCH($A10,'Rates 2y'!$A$2:$A$11,0))-INDEX('Rates 2y'!$E$2:$E$11,MATCH("USD",'Rates 2y'!$A$2:$A$11,0)))*2)</f>
        <v>6.866206307871589</v>
      </c>
      <c r="F10">
        <f>'FX year-end'!F10*EXP((INDEX('Rates 2y'!$F$2:$F$11,MATCH($A10,'Rates 2y'!$A$2:$A$11,0))-INDEX('Rates 2y'!$F$2:$F$11,MATCH("USD",'Rates 2y'!$A$2:$A$11,0)))*2)</f>
        <v>6.575358396715456</v>
      </c>
      <c r="G10">
        <f>'FX year-end'!G10*EXP((INDEX('Rates 2y'!$G$2:$G$11,MATCH($A10,'Rates 2y'!$A$2:$A$11,0))-INDEX('Rates 2y'!$G$2:$G$11,MATCH("USD",'Rates 2y'!$A$2:$A$11,0)))*2)</f>
        <v>6.672701346969589</v>
      </c>
      <c r="H10">
        <f>'FX year-end'!H10*EXP((INDEX('Rates 2y'!$H$2:$H$11,MATCH($A10,'Rates 2y'!$A$2:$A$11,0))-INDEX('Rates 2y'!$H$2:$H$11,MATCH("USD",'Rates 2y'!$A$2:$A$11,0)))*2)</f>
        <v>6.821505626539007</v>
      </c>
      <c r="I10">
        <f>'FX year-end'!I10*EXP((INDEX('Rates 2y'!$I$2:$I$11,MATCH($A10,'Rates 2y'!$A$2:$A$11,0))-INDEX('Rates 2y'!$I$2:$I$11,MATCH("USD",'Rates 2y'!$A$2:$A$11,0)))*2)</f>
        <v>6.853874003062934</v>
      </c>
      <c r="J10">
        <f>'FX year-end'!J10*EXP((INDEX('Rates 2y'!$J$2:$J$11,MATCH($A10,'Rates 2y'!$A$2:$A$11,0))-INDEX('Rates 2y'!$J$2:$J$11,MATCH("USD",'Rates 2y'!$A$2:$A$11,0)))*2)</f>
        <v>6.711032748151378</v>
      </c>
      <c r="K10">
        <f>'FX year-end'!K10*EXP((INDEX('Rates 2y'!$K$2:$K$11,MATCH($A10,'Rates 2y'!$A$2:$A$11,0))-INDEX('Rates 2y'!$K$2:$K$11,MATCH("USD",'Rates 2y'!$A$2:$A$11,0)))*2)</f>
        <v>6.438796631754332</v>
      </c>
    </row>
    <row r="11">
      <c r="A11" t="inlineStr">
        <is>
          <t>IDR</t>
        </is>
      </c>
      <c r="B11">
        <f>'FX year-end'!B11*EXP((INDEX('Rates 2y'!$B$2:$B$11,MATCH($A11,'Rates 2y'!$A$2:$A$11,0))-INDEX('Rates 2y'!$B$2:$B$11,MATCH("USD",'Rates 2y'!$A$2:$A$11,0)))*2)</f>
        <v>14660.792871627002</v>
      </c>
      <c r="C11">
        <f>'FX year-end'!C11*EXP((INDEX('Rates 2y'!$C$2:$C$11,MATCH($A11,'Rates 2y'!$A$2:$A$11,0))-INDEX('Rates 2y'!$C$2:$C$11,MATCH("USD",'Rates 2y'!$A$2:$A$11,0)))*2)</f>
        <v>16151.24534645239</v>
      </c>
      <c r="D11">
        <f>'FX year-end'!D11*EXP((INDEX('Rates 2y'!$D$2:$D$11,MATCH($A11,'Rates 2y'!$A$2:$A$11,0))-INDEX('Rates 2y'!$D$2:$D$11,MATCH("USD",'Rates 2y'!$A$2:$A$11,0)))*2)</f>
        <v>15114.504009622227</v>
      </c>
      <c r="E11">
        <f>'FX year-end'!E11*EXP((INDEX('Rates 2y'!$E$2:$E$11,MATCH($A11,'Rates 2y'!$A$2:$A$11,0))-INDEX('Rates 2y'!$E$2:$E$11,MATCH("USD",'Rates 2y'!$A$2:$A$11,0)))*2)</f>
        <v>14975.644811982023</v>
      </c>
      <c r="F11">
        <f>'FX year-end'!F11*EXP((INDEX('Rates 2y'!$F$2:$F$11,MATCH($A11,'Rates 2y'!$A$2:$A$11,0))-INDEX('Rates 2y'!$F$2:$F$11,MATCH("USD",'Rates 2y'!$A$2:$A$11,0)))*2)</f>
        <v>15220.208477403896</v>
      </c>
      <c r="G11">
        <f>'FX year-end'!G11*EXP((INDEX('Rates 2y'!$G$2:$G$11,MATCH($A11,'Rates 2y'!$A$2:$A$11,0))-INDEX('Rates 2y'!$G$2:$G$11,MATCH("USD",'Rates 2y'!$A$2:$A$11,0)))*2)</f>
        <v>16086.045297108329</v>
      </c>
      <c r="H11">
        <f>'FX year-end'!H11*EXP((INDEX('Rates 2y'!$H$2:$H$11,MATCH($A11,'Rates 2y'!$A$2:$A$11,0))-INDEX('Rates 2y'!$H$2:$H$11,MATCH("USD",'Rates 2y'!$A$2:$A$11,0)))*2)</f>
        <v>16102.7420280707</v>
      </c>
      <c r="I11">
        <f>'FX year-end'!I11*EXP((INDEX('Rates 2y'!$I$2:$I$11,MATCH($A11,'Rates 2y'!$A$2:$A$11,0))-INDEX('Rates 2y'!$I$2:$I$11,MATCH("USD",'Rates 2y'!$A$2:$A$11,0)))*2)</f>
        <v>16964.525653112647</v>
      </c>
      <c r="J11">
        <f>'FX year-end'!J11*EXP((INDEX('Rates 2y'!$J$2:$J$11,MATCH($A11,'Rates 2y'!$A$2:$A$11,0))-INDEX('Rates 2y'!$J$2:$J$11,MATCH("USD",'Rates 2y'!$A$2:$A$11,0)))*2)</f>
        <v>17224.753331365308</v>
      </c>
      <c r="K11">
        <f>'FX year-end'!K11*EXP((INDEX('Rates 2y'!$K$2:$K$11,MATCH($A11,'Rates 2y'!$A$2:$A$11,0))-INDEX('Rates 2y'!$K$2:$K$11,MATCH("USD",'Rates 2y'!$A$2:$A$11,0)))*2)</f>
        <v>18464.886089617296</v>
      </c>
    </row>
    <row r="12"/>
    <row r="13">
      <c r="A13" s="2" t="inlineStr">
        <is>
          <t>Covered-interest-parity forward: spot x exp((r_ccy - r_usd) x 2). Column '2017-&gt;2019' = rate agreed at end-2017 for delivery at end-2019.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5" max="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year</t>
        </is>
      </c>
      <c r="E1" s="1" t="inlineStr">
        <is>
          <t>last_trading_day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average_close</t>
        </is>
      </c>
      <c r="K1" s="1" t="inlineStr">
        <is>
          <t>dividends_in_year</t>
        </is>
      </c>
      <c r="L1" s="1" t="inlineStr">
        <is>
          <t>dividend_yield</t>
        </is>
      </c>
      <c r="M1" s="1" t="inlineStr">
        <is>
          <t>rate_2y</t>
        </is>
      </c>
      <c r="N1" s="1" t="inlineStr">
        <is>
          <t>forward_2y_price</t>
        </is>
      </c>
      <c r="O1" s="1" t="inlineStr">
        <is>
          <t>forward_for_year</t>
        </is>
      </c>
      <c r="P1" s="1" t="inlineStr">
        <is>
          <t>actual_close_in_forward_year</t>
        </is>
      </c>
      <c r="Q1" s="1" t="inlineStr">
        <is>
          <t>forward_error</t>
        </is>
      </c>
    </row>
    <row r="2">
      <c r="A2" s="2" t="inlineStr">
        <is>
          <t>000408.SZ</t>
        </is>
      </c>
      <c r="B2" s="2" t="inlineStr">
        <is>
          <t>Zangge Mining Co Ltd</t>
        </is>
      </c>
      <c r="C2" s="2" t="inlineStr">
        <is>
          <t>CNY</t>
        </is>
      </c>
      <c r="D2" s="2" t="n">
        <v>2017</v>
      </c>
      <c r="E2" s="9" t="n">
        <v>43098</v>
      </c>
      <c r="F2" s="2" t="n">
        <v>15.12</v>
      </c>
      <c r="G2" s="2" t="n">
        <v>21.95</v>
      </c>
      <c r="H2" s="2" t="n">
        <v>12.65</v>
      </c>
      <c r="I2" s="2" t="n">
        <v>17.7</v>
      </c>
      <c r="J2" s="2" t="n">
        <v>15.9407</v>
      </c>
      <c r="K2" s="2" t="n">
        <v>0.3</v>
      </c>
      <c r="L2" s="10" t="n">
        <v>0.0169</v>
      </c>
      <c r="M2" s="10" t="n">
        <v>0.035</v>
      </c>
      <c r="N2" s="2" t="n">
        <v>18.3507</v>
      </c>
      <c r="O2" s="2" t="n">
        <v>2019</v>
      </c>
      <c r="P2" s="2" t="n">
        <v>7.38</v>
      </c>
      <c r="Q2" s="10" t="n">
        <v>-0.5978</v>
      </c>
    </row>
    <row r="3">
      <c r="A3" s="2" t="inlineStr">
        <is>
          <t>000408.SZ</t>
        </is>
      </c>
      <c r="B3" s="2" t="inlineStr">
        <is>
          <t>Zangge Mining Co Ltd</t>
        </is>
      </c>
      <c r="C3" s="2" t="inlineStr">
        <is>
          <t>CNY</t>
        </is>
      </c>
      <c r="D3" s="2" t="n">
        <v>2018</v>
      </c>
      <c r="E3" s="9" t="n">
        <v>43462</v>
      </c>
      <c r="F3" s="2" t="n">
        <v>17.72</v>
      </c>
      <c r="G3" s="2" t="n">
        <v>19.97</v>
      </c>
      <c r="H3" s="2" t="n">
        <v>10.38</v>
      </c>
      <c r="I3" s="2" t="n">
        <v>11.22</v>
      </c>
      <c r="J3" s="2" t="n">
        <v>14.1027</v>
      </c>
      <c r="K3" s="2" t="n">
        <v>0</v>
      </c>
      <c r="L3" s="10" t="n">
        <v>0</v>
      </c>
      <c r="M3" s="10" t="n">
        <v>0.027</v>
      </c>
      <c r="N3" s="2" t="n">
        <v>11.8425</v>
      </c>
      <c r="O3" s="2" t="n">
        <v>2020</v>
      </c>
      <c r="P3" s="2" t="n">
        <v>8.01</v>
      </c>
      <c r="Q3" s="10" t="n">
        <v>-0.3236</v>
      </c>
    </row>
    <row r="4">
      <c r="A4" s="2" t="inlineStr">
        <is>
          <t>000408.SZ</t>
        </is>
      </c>
      <c r="B4" s="2" t="inlineStr">
        <is>
          <t>Zangge Mining Co Ltd</t>
        </is>
      </c>
      <c r="C4" s="2" t="inlineStr">
        <is>
          <t>CNY</t>
        </is>
      </c>
      <c r="D4" s="2" t="n">
        <v>2019</v>
      </c>
      <c r="E4" s="9" t="n">
        <v>43830</v>
      </c>
      <c r="F4" s="2" t="n">
        <v>11.15</v>
      </c>
      <c r="G4" s="2" t="n">
        <v>13.2</v>
      </c>
      <c r="H4" s="2" t="n">
        <v>6.46</v>
      </c>
      <c r="I4" s="2" t="n">
        <v>7.38</v>
      </c>
      <c r="J4" s="2" t="n">
        <v>9.5288</v>
      </c>
      <c r="K4" s="2" t="n">
        <v>0</v>
      </c>
      <c r="L4" s="10" t="n">
        <v>0</v>
      </c>
      <c r="M4" s="10" t="n">
        <v>0.026</v>
      </c>
      <c r="N4" s="2" t="n">
        <v>7.7739</v>
      </c>
      <c r="O4" s="2" t="n">
        <v>2021</v>
      </c>
      <c r="P4" s="2" t="n">
        <v>41</v>
      </c>
      <c r="Q4" s="10" t="n">
        <v>4.274</v>
      </c>
    </row>
    <row r="5">
      <c r="A5" s="2" t="inlineStr">
        <is>
          <t>000408.SZ</t>
        </is>
      </c>
      <c r="B5" s="2" t="inlineStr">
        <is>
          <t>Zangge Mining Co Ltd</t>
        </is>
      </c>
      <c r="C5" s="2" t="inlineStr">
        <is>
          <t>CNY</t>
        </is>
      </c>
      <c r="D5" s="2" t="n">
        <v>2020</v>
      </c>
      <c r="E5" s="9" t="n">
        <v>44196</v>
      </c>
      <c r="F5" s="2" t="n">
        <v>7.42</v>
      </c>
      <c r="G5" s="2" t="n">
        <v>8.960000000000001</v>
      </c>
      <c r="H5" s="2" t="n">
        <v>3.55</v>
      </c>
      <c r="I5" s="2" t="n">
        <v>8.01</v>
      </c>
      <c r="J5" s="2" t="n">
        <v>6.8916</v>
      </c>
      <c r="K5" s="2" t="n">
        <v>0</v>
      </c>
      <c r="L5" s="10" t="n">
        <v>0</v>
      </c>
      <c r="M5" s="10" t="n">
        <v>0.027</v>
      </c>
      <c r="N5" s="2" t="n">
        <v>8.4544</v>
      </c>
      <c r="O5" s="2" t="n">
        <v>2022</v>
      </c>
      <c r="P5" s="2" t="n">
        <v>25.97</v>
      </c>
      <c r="Q5" s="10" t="n">
        <v>2.0718</v>
      </c>
    </row>
    <row r="6">
      <c r="A6" s="2" t="inlineStr">
        <is>
          <t>000408.SZ</t>
        </is>
      </c>
      <c r="B6" s="2" t="inlineStr">
        <is>
          <t>Zangge Mining Co Ltd</t>
        </is>
      </c>
      <c r="C6" s="2" t="inlineStr">
        <is>
          <t>CNY</t>
        </is>
      </c>
      <c r="D6" s="2" t="n">
        <v>2021</v>
      </c>
      <c r="E6" s="9" t="n">
        <v>44561</v>
      </c>
      <c r="F6" s="2" t="n">
        <v>8</v>
      </c>
      <c r="G6" s="2" t="n">
        <v>41.51</v>
      </c>
      <c r="H6" s="2" t="n">
        <v>7.47</v>
      </c>
      <c r="I6" s="2" t="n">
        <v>41</v>
      </c>
      <c r="J6" s="2" t="n">
        <v>21.0551</v>
      </c>
      <c r="K6" s="2" t="n">
        <v>0</v>
      </c>
      <c r="L6" s="10" t="n">
        <v>0</v>
      </c>
      <c r="M6" s="10" t="n">
        <v>0.023</v>
      </c>
      <c r="N6" s="2" t="n">
        <v>42.9301</v>
      </c>
      <c r="O6" s="2" t="n">
        <v>2023</v>
      </c>
      <c r="P6" s="2" t="n">
        <v>25.34</v>
      </c>
      <c r="Q6" s="10" t="n">
        <v>-0.4097</v>
      </c>
    </row>
    <row r="7">
      <c r="A7" s="2" t="inlineStr">
        <is>
          <t>000408.SZ</t>
        </is>
      </c>
      <c r="B7" s="2" t="inlineStr">
        <is>
          <t>Zangge Mining Co Ltd</t>
        </is>
      </c>
      <c r="C7" s="2" t="inlineStr">
        <is>
          <t>CNY</t>
        </is>
      </c>
      <c r="D7" s="2" t="n">
        <v>2022</v>
      </c>
      <c r="E7" s="9" t="n">
        <v>44925</v>
      </c>
      <c r="F7" s="2" t="n">
        <v>41.6</v>
      </c>
      <c r="G7" s="2" t="n">
        <v>41.77</v>
      </c>
      <c r="H7" s="2" t="n">
        <v>21.8</v>
      </c>
      <c r="I7" s="2" t="n">
        <v>25.97</v>
      </c>
      <c r="J7" s="2" t="n">
        <v>31.3621</v>
      </c>
      <c r="K7" s="2" t="n">
        <v>1.898</v>
      </c>
      <c r="L7" s="10" t="n">
        <v>0.0731</v>
      </c>
      <c r="M7" s="10" t="n">
        <v>0.023</v>
      </c>
      <c r="N7" s="2" t="n">
        <v>23.4947</v>
      </c>
      <c r="O7" s="2" t="n">
        <v>2024</v>
      </c>
      <c r="P7" s="2" t="n">
        <v>27.73</v>
      </c>
      <c r="Q7" s="10" t="n">
        <v>0.1803</v>
      </c>
    </row>
    <row r="8">
      <c r="A8" s="2" t="inlineStr">
        <is>
          <t>000408.SZ</t>
        </is>
      </c>
      <c r="B8" s="2" t="inlineStr">
        <is>
          <t>Zangge Mining Co Ltd</t>
        </is>
      </c>
      <c r="C8" s="2" t="inlineStr">
        <is>
          <t>CNY</t>
        </is>
      </c>
      <c r="D8" s="2" t="n">
        <v>2023</v>
      </c>
      <c r="E8" s="9" t="n">
        <v>45289</v>
      </c>
      <c r="F8" s="2" t="n">
        <v>26.1</v>
      </c>
      <c r="G8" s="2" t="n">
        <v>28.9</v>
      </c>
      <c r="H8" s="2" t="n">
        <v>20.9</v>
      </c>
      <c r="I8" s="2" t="n">
        <v>25.34</v>
      </c>
      <c r="J8" s="2" t="n">
        <v>24.2581</v>
      </c>
      <c r="K8" s="2" t="n">
        <v>1.76</v>
      </c>
      <c r="L8" s="10" t="n">
        <v>0.06950000000000001</v>
      </c>
      <c r="M8" s="10" t="n">
        <v>0.022</v>
      </c>
      <c r="N8" s="2" t="n">
        <v>23.0456</v>
      </c>
      <c r="O8" s="2" t="n">
        <v>2025</v>
      </c>
      <c r="P8" s="2" t="n">
        <v>84.40000000000001</v>
      </c>
      <c r="Q8" s="10" t="n">
        <v>2.6623</v>
      </c>
    </row>
    <row r="9">
      <c r="A9" s="2" t="inlineStr">
        <is>
          <t>000408.SZ</t>
        </is>
      </c>
      <c r="B9" s="2" t="inlineStr">
        <is>
          <t>Zangge Mining Co Ltd</t>
        </is>
      </c>
      <c r="C9" s="2" t="inlineStr">
        <is>
          <t>CNY</t>
        </is>
      </c>
      <c r="D9" s="2" t="n">
        <v>2024</v>
      </c>
      <c r="E9" s="9" t="n">
        <v>45657</v>
      </c>
      <c r="F9" s="2" t="n">
        <v>25.4</v>
      </c>
      <c r="G9" s="2" t="n">
        <v>34.08</v>
      </c>
      <c r="H9" s="2" t="n">
        <v>21.4</v>
      </c>
      <c r="I9" s="2" t="n">
        <v>27.73</v>
      </c>
      <c r="J9" s="2" t="n">
        <v>26.8147</v>
      </c>
      <c r="K9" s="2" t="n">
        <v>1.06</v>
      </c>
      <c r="L9" s="10" t="n">
        <v>0.0382</v>
      </c>
      <c r="M9" s="10" t="n">
        <v>0.011</v>
      </c>
      <c r="N9" s="2" t="n">
        <v>26.2604</v>
      </c>
      <c r="O9" s="2" t="n">
        <v>2026</v>
      </c>
      <c r="P9" s="2" t="n">
        <v>71.45999999999999</v>
      </c>
      <c r="Q9" s="10" t="n">
        <v>1.7212</v>
      </c>
    </row>
    <row r="10">
      <c r="A10" s="2" t="inlineStr">
        <is>
          <t>000408.SZ</t>
        </is>
      </c>
      <c r="B10" s="2" t="inlineStr">
        <is>
          <t>Zangge Mining Co Ltd</t>
        </is>
      </c>
      <c r="C10" s="2" t="inlineStr">
        <is>
          <t>CNY</t>
        </is>
      </c>
      <c r="D10" s="2" t="n">
        <v>2025</v>
      </c>
      <c r="E10" s="9" t="n">
        <v>46022</v>
      </c>
      <c r="F10" s="2" t="n">
        <v>27.73</v>
      </c>
      <c r="G10" s="2" t="n">
        <v>87.68000000000001</v>
      </c>
      <c r="H10" s="2" t="n">
        <v>27.1</v>
      </c>
      <c r="I10" s="2" t="n">
        <v>84.40000000000001</v>
      </c>
      <c r="J10" s="2" t="n">
        <v>46.3005</v>
      </c>
      <c r="K10" s="2" t="n">
        <v>1</v>
      </c>
      <c r="L10" s="10" t="n">
        <v>0.0118</v>
      </c>
      <c r="M10" s="10" t="n">
        <v>0.014</v>
      </c>
      <c r="N10" s="2" t="n">
        <v>84.764</v>
      </c>
      <c r="O10" s="2" t="n">
        <v>2027</v>
      </c>
      <c r="P10" s="2" t="n"/>
      <c r="Q10" s="10" t="n"/>
    </row>
    <row r="11">
      <c r="A11" s="2" t="inlineStr">
        <is>
          <t>000408.SZ</t>
        </is>
      </c>
      <c r="B11" s="2" t="inlineStr">
        <is>
          <t>Zangge Mining Co Ltd</t>
        </is>
      </c>
      <c r="C11" s="2" t="inlineStr">
        <is>
          <t>CNY</t>
        </is>
      </c>
      <c r="D11" s="2" t="n">
        <v>2026</v>
      </c>
      <c r="E11" s="9" t="n">
        <v>46289</v>
      </c>
      <c r="F11" s="2" t="n">
        <v>85.01000000000001</v>
      </c>
      <c r="G11" s="2" t="n">
        <v>97.28</v>
      </c>
      <c r="H11" s="2" t="n">
        <v>66.5</v>
      </c>
      <c r="I11" s="2" t="n">
        <v>71.45999999999999</v>
      </c>
      <c r="J11" s="2" t="n">
        <v>80.5279</v>
      </c>
      <c r="K11" s="2" t="n">
        <v>2.5</v>
      </c>
      <c r="L11" s="10" t="n">
        <v>0.035</v>
      </c>
      <c r="M11" s="10" t="n">
        <v>0.014</v>
      </c>
      <c r="N11" s="2" t="n">
        <v>68.52290000000001</v>
      </c>
      <c r="O11" s="2" t="n">
        <v>2028</v>
      </c>
      <c r="P11" s="2" t="n"/>
      <c r="Q11" s="10" t="n"/>
    </row>
    <row r="12">
      <c r="A12" s="2" t="inlineStr">
        <is>
          <t>1208.HK</t>
        </is>
      </c>
      <c r="B12" s="2" t="inlineStr">
        <is>
          <t>MMG Ltd</t>
        </is>
      </c>
      <c r="C12" s="2" t="inlineStr">
        <is>
          <t>HKD</t>
        </is>
      </c>
      <c r="D12" s="2" t="n">
        <v>2017</v>
      </c>
      <c r="E12" s="9" t="n">
        <v>43098</v>
      </c>
      <c r="F12" s="2" t="n">
        <v>1.97</v>
      </c>
      <c r="G12" s="2" t="n">
        <v>4.05</v>
      </c>
      <c r="H12" s="2" t="n">
        <v>1.92</v>
      </c>
      <c r="I12" s="2" t="n">
        <v>3.88</v>
      </c>
      <c r="J12" s="2" t="n">
        <v>3.1063</v>
      </c>
      <c r="K12" s="2" t="n">
        <v>0</v>
      </c>
      <c r="L12" s="10" t="n">
        <v>0</v>
      </c>
      <c r="M12" s="10" t="n">
        <v>0.013</v>
      </c>
      <c r="N12" s="2" t="n">
        <v>3.9822</v>
      </c>
      <c r="O12" s="2" t="n">
        <v>2019</v>
      </c>
      <c r="P12" s="2" t="n">
        <v>2.34</v>
      </c>
      <c r="Q12" s="10" t="n">
        <v>-0.4124</v>
      </c>
    </row>
    <row r="13">
      <c r="A13" s="2" t="inlineStr">
        <is>
          <t>1208.HK</t>
        </is>
      </c>
      <c r="B13" s="2" t="inlineStr">
        <is>
          <t>MMG Ltd</t>
        </is>
      </c>
      <c r="C13" s="2" t="inlineStr">
        <is>
          <t>HKD</t>
        </is>
      </c>
      <c r="D13" s="2" t="n">
        <v>2018</v>
      </c>
      <c r="E13" s="9" t="n">
        <v>43465</v>
      </c>
      <c r="F13" s="2" t="n">
        <v>3.88</v>
      </c>
      <c r="G13" s="2" t="n">
        <v>6.53</v>
      </c>
      <c r="H13" s="2" t="n">
        <v>2.73</v>
      </c>
      <c r="I13" s="2" t="n">
        <v>3.37</v>
      </c>
      <c r="J13" s="2" t="n">
        <v>4.6502</v>
      </c>
      <c r="K13" s="2" t="n">
        <v>0</v>
      </c>
      <c r="L13" s="10" t="n">
        <v>0</v>
      </c>
      <c r="M13" s="10" t="n">
        <v>0.018</v>
      </c>
      <c r="N13" s="2" t="n">
        <v>3.4935</v>
      </c>
      <c r="O13" s="2" t="n">
        <v>2020</v>
      </c>
      <c r="P13" s="2" t="n">
        <v>3.35</v>
      </c>
      <c r="Q13" s="10" t="n">
        <v>-0.0411</v>
      </c>
    </row>
    <row r="14">
      <c r="A14" s="2" t="inlineStr">
        <is>
          <t>1208.HK</t>
        </is>
      </c>
      <c r="B14" s="2" t="inlineStr">
        <is>
          <t>MMG Ltd</t>
        </is>
      </c>
      <c r="C14" s="2" t="inlineStr">
        <is>
          <t>HKD</t>
        </is>
      </c>
      <c r="D14" s="2" t="n">
        <v>2019</v>
      </c>
      <c r="E14" s="9" t="n">
        <v>43830</v>
      </c>
      <c r="F14" s="2" t="n">
        <v>3.3</v>
      </c>
      <c r="G14" s="2" t="n">
        <v>4.04</v>
      </c>
      <c r="H14" s="2" t="n">
        <v>1.48</v>
      </c>
      <c r="I14" s="2" t="n">
        <v>2.34</v>
      </c>
      <c r="J14" s="2" t="n">
        <v>2.5197</v>
      </c>
      <c r="K14" s="2" t="n">
        <v>0</v>
      </c>
      <c r="L14" s="10" t="n">
        <v>0</v>
      </c>
      <c r="M14" s="10" t="n">
        <v>0.017</v>
      </c>
      <c r="N14" s="2" t="n">
        <v>2.4209</v>
      </c>
      <c r="O14" s="2" t="n">
        <v>2021</v>
      </c>
      <c r="P14" s="2" t="n">
        <v>2.5</v>
      </c>
      <c r="Q14" s="10" t="n">
        <v>0.0327</v>
      </c>
    </row>
    <row r="15">
      <c r="A15" s="2" t="inlineStr">
        <is>
          <t>1208.HK</t>
        </is>
      </c>
      <c r="B15" s="2" t="inlineStr">
        <is>
          <t>MMG Ltd</t>
        </is>
      </c>
      <c r="C15" s="2" t="inlineStr">
        <is>
          <t>HKD</t>
        </is>
      </c>
      <c r="D15" s="2" t="n">
        <v>2020</v>
      </c>
      <c r="E15" s="9" t="n">
        <v>44196</v>
      </c>
      <c r="F15" s="2" t="n">
        <v>2.34</v>
      </c>
      <c r="G15" s="2" t="n">
        <v>3.72</v>
      </c>
      <c r="H15" s="2" t="n">
        <v>1.02</v>
      </c>
      <c r="I15" s="2" t="n">
        <v>3.35</v>
      </c>
      <c r="J15" s="2" t="n">
        <v>1.9502</v>
      </c>
      <c r="K15" s="2" t="n">
        <v>0</v>
      </c>
      <c r="L15" s="10" t="n">
        <v>0</v>
      </c>
      <c r="M15" s="10" t="n">
        <v>0.002</v>
      </c>
      <c r="N15" s="2" t="n">
        <v>3.3634</v>
      </c>
      <c r="O15" s="2" t="n">
        <v>2022</v>
      </c>
      <c r="P15" s="2" t="n">
        <v>2</v>
      </c>
      <c r="Q15" s="10" t="n">
        <v>-0.4054</v>
      </c>
    </row>
    <row r="16">
      <c r="A16" s="2" t="inlineStr">
        <is>
          <t>1208.HK</t>
        </is>
      </c>
      <c r="B16" s="2" t="inlineStr">
        <is>
          <t>MMG Ltd</t>
        </is>
      </c>
      <c r="C16" s="2" t="inlineStr">
        <is>
          <t>HKD</t>
        </is>
      </c>
      <c r="D16" s="2" t="n">
        <v>2021</v>
      </c>
      <c r="E16" s="9" t="n">
        <v>44561</v>
      </c>
      <c r="F16" s="2" t="n">
        <v>3.29</v>
      </c>
      <c r="G16" s="2" t="n">
        <v>6.5</v>
      </c>
      <c r="H16" s="2" t="n">
        <v>2.14</v>
      </c>
      <c r="I16" s="2" t="n">
        <v>2.5</v>
      </c>
      <c r="J16" s="2" t="n">
        <v>3.849</v>
      </c>
      <c r="K16" s="2" t="n">
        <v>0</v>
      </c>
      <c r="L16" s="10" t="n">
        <v>0</v>
      </c>
      <c r="M16" s="10" t="n">
        <v>0.006</v>
      </c>
      <c r="N16" s="2" t="n">
        <v>2.5302</v>
      </c>
      <c r="O16" s="2" t="n">
        <v>2023</v>
      </c>
      <c r="P16" s="2" t="n">
        <v>2.31</v>
      </c>
      <c r="Q16" s="10" t="n">
        <v>-0.08699999999999999</v>
      </c>
    </row>
    <row r="17">
      <c r="A17" s="2" t="inlineStr">
        <is>
          <t>1208.HK</t>
        </is>
      </c>
      <c r="B17" s="2" t="inlineStr">
        <is>
          <t>MMG Ltd</t>
        </is>
      </c>
      <c r="C17" s="2" t="inlineStr">
        <is>
          <t>HKD</t>
        </is>
      </c>
      <c r="D17" s="2" t="n">
        <v>2022</v>
      </c>
      <c r="E17" s="9" t="n">
        <v>44925</v>
      </c>
      <c r="F17" s="2" t="n">
        <v>2.51</v>
      </c>
      <c r="G17" s="2" t="n">
        <v>4.06</v>
      </c>
      <c r="H17" s="2" t="n">
        <v>1.51</v>
      </c>
      <c r="I17" s="2" t="n">
        <v>2</v>
      </c>
      <c r="J17" s="2" t="n">
        <v>2.5699</v>
      </c>
      <c r="K17" s="2" t="n">
        <v>0</v>
      </c>
      <c r="L17" s="10" t="n">
        <v>0</v>
      </c>
      <c r="M17" s="10" t="n">
        <v>0.04</v>
      </c>
      <c r="N17" s="2" t="n">
        <v>2.1666</v>
      </c>
      <c r="O17" s="2" t="n">
        <v>2024</v>
      </c>
      <c r="P17" s="2" t="n">
        <v>2.57</v>
      </c>
      <c r="Q17" s="10" t="n">
        <v>0.1862</v>
      </c>
    </row>
    <row r="18">
      <c r="A18" s="2" t="inlineStr">
        <is>
          <t>1208.HK</t>
        </is>
      </c>
      <c r="B18" s="2" t="inlineStr">
        <is>
          <t>MMG Ltd</t>
        </is>
      </c>
      <c r="C18" s="2" t="inlineStr">
        <is>
          <t>HKD</t>
        </is>
      </c>
      <c r="D18" s="2" t="n">
        <v>2023</v>
      </c>
      <c r="E18" s="9" t="n">
        <v>45289</v>
      </c>
      <c r="F18" s="2" t="n">
        <v>1.99</v>
      </c>
      <c r="G18" s="2" t="n">
        <v>3.58</v>
      </c>
      <c r="H18" s="2" t="n">
        <v>1.94</v>
      </c>
      <c r="I18" s="2" t="n">
        <v>2.31</v>
      </c>
      <c r="J18" s="2" t="n">
        <v>2.4644</v>
      </c>
      <c r="K18" s="2" t="n">
        <v>0</v>
      </c>
      <c r="L18" s="10" t="n">
        <v>0</v>
      </c>
      <c r="M18" s="10" t="n">
        <v>0.036</v>
      </c>
      <c r="N18" s="2" t="n">
        <v>2.4825</v>
      </c>
      <c r="O18" s="2" t="n">
        <v>2025</v>
      </c>
      <c r="P18" s="2" t="n">
        <v>8.81</v>
      </c>
      <c r="Q18" s="10" t="n">
        <v>2.5489</v>
      </c>
    </row>
    <row r="19">
      <c r="A19" s="2" t="inlineStr">
        <is>
          <t>1208.HK</t>
        </is>
      </c>
      <c r="B19" s="2" t="inlineStr">
        <is>
          <t>MMG Ltd</t>
        </is>
      </c>
      <c r="C19" s="2" t="inlineStr">
        <is>
          <t>HKD</t>
        </is>
      </c>
      <c r="D19" s="2" t="n">
        <v>2024</v>
      </c>
      <c r="E19" s="9" t="n">
        <v>45657</v>
      </c>
      <c r="F19" s="2" t="n">
        <v>2.34</v>
      </c>
      <c r="G19" s="2" t="n">
        <v>4.51</v>
      </c>
      <c r="H19" s="2" t="n">
        <v>1.75</v>
      </c>
      <c r="I19" s="2" t="n">
        <v>2.57</v>
      </c>
      <c r="J19" s="2" t="n">
        <v>2.7732</v>
      </c>
      <c r="K19" s="2" t="n">
        <v>0</v>
      </c>
      <c r="L19" s="10" t="n">
        <v>0</v>
      </c>
      <c r="M19" s="10" t="n">
        <v>0.034</v>
      </c>
      <c r="N19" s="2" t="n">
        <v>2.7508</v>
      </c>
      <c r="O19" s="2" t="n">
        <v>2026</v>
      </c>
      <c r="P19" s="2" t="n">
        <v>8.545</v>
      </c>
      <c r="Q19" s="10" t="n">
        <v>2.1063</v>
      </c>
    </row>
    <row r="20">
      <c r="A20" s="2" t="inlineStr">
        <is>
          <t>1208.HK</t>
        </is>
      </c>
      <c r="B20" s="2" t="inlineStr">
        <is>
          <t>MMG Ltd</t>
        </is>
      </c>
      <c r="C20" s="2" t="inlineStr">
        <is>
          <t>HKD</t>
        </is>
      </c>
      <c r="D20" s="2" t="n">
        <v>2025</v>
      </c>
      <c r="E20" s="9" t="n">
        <v>46022</v>
      </c>
      <c r="F20" s="2" t="n">
        <v>2.54</v>
      </c>
      <c r="G20" s="2" t="n">
        <v>9.19</v>
      </c>
      <c r="H20" s="2" t="n">
        <v>1.95</v>
      </c>
      <c r="I20" s="2" t="n">
        <v>8.81</v>
      </c>
      <c r="J20" s="2" t="n">
        <v>4.4061</v>
      </c>
      <c r="K20" s="2" t="n">
        <v>0</v>
      </c>
      <c r="L20" s="10" t="n">
        <v>0</v>
      </c>
      <c r="M20" s="10" t="n">
        <v>0.026</v>
      </c>
      <c r="N20" s="2" t="n">
        <v>9.280200000000001</v>
      </c>
      <c r="O20" s="2" t="n">
        <v>2027</v>
      </c>
      <c r="P20" s="2" t="n"/>
      <c r="Q20" s="10" t="n"/>
    </row>
    <row r="21">
      <c r="A21" s="2" t="inlineStr">
        <is>
          <t>1208.HK</t>
        </is>
      </c>
      <c r="B21" s="2" t="inlineStr">
        <is>
          <t>MMG Ltd</t>
        </is>
      </c>
      <c r="C21" s="2" t="inlineStr">
        <is>
          <t>HKD</t>
        </is>
      </c>
      <c r="D21" s="2" t="n">
        <v>2026</v>
      </c>
      <c r="E21" s="9" t="n">
        <v>46290</v>
      </c>
      <c r="F21" s="2" t="n">
        <v>8.76</v>
      </c>
      <c r="G21" s="2" t="n">
        <v>11.96</v>
      </c>
      <c r="H21" s="2" t="n">
        <v>6.53</v>
      </c>
      <c r="I21" s="2" t="n">
        <v>8.545</v>
      </c>
      <c r="J21" s="2" t="n">
        <v>8.8797</v>
      </c>
      <c r="K21" s="2" t="n">
        <v>0</v>
      </c>
      <c r="L21" s="10" t="n">
        <v>0</v>
      </c>
      <c r="M21" s="10" t="n">
        <v>0.026</v>
      </c>
      <c r="N21" s="2" t="n">
        <v>9.001099999999999</v>
      </c>
      <c r="O21" s="2" t="n">
        <v>2028</v>
      </c>
      <c r="P21" s="2" t="n"/>
      <c r="Q21" s="10" t="n"/>
    </row>
    <row r="22">
      <c r="A22" s="2" t="inlineStr">
        <is>
          <t>1211.SR</t>
        </is>
      </c>
      <c r="B22" s="2" t="inlineStr">
        <is>
          <t>Saudi Arabian Mining Co (Maaden)</t>
        </is>
      </c>
      <c r="C22" s="2" t="inlineStr">
        <is>
          <t>SAR</t>
        </is>
      </c>
      <c r="D22" s="2" t="n">
        <v>2017</v>
      </c>
      <c r="E22" s="9" t="n">
        <v>43100</v>
      </c>
      <c r="F22" s="2" t="n">
        <v>39.1</v>
      </c>
      <c r="G22" s="2" t="n">
        <v>57</v>
      </c>
      <c r="H22" s="2" t="n">
        <v>38.5</v>
      </c>
      <c r="I22" s="2" t="n">
        <v>52.1</v>
      </c>
      <c r="J22" s="2" t="n">
        <v>46.3504</v>
      </c>
      <c r="K22" s="2" t="n">
        <v>0</v>
      </c>
      <c r="L22" s="10" t="n">
        <v>0</v>
      </c>
      <c r="M22" s="10" t="n">
        <v>0.02</v>
      </c>
      <c r="N22" s="2" t="n">
        <v>54.2262</v>
      </c>
      <c r="O22" s="2" t="n">
        <v>2019</v>
      </c>
      <c r="P22" s="2" t="n">
        <v>44.4</v>
      </c>
      <c r="Q22" s="10" t="n">
        <v>-0.1812</v>
      </c>
    </row>
    <row r="23">
      <c r="A23" s="2" t="inlineStr">
        <is>
          <t>1211.SR</t>
        </is>
      </c>
      <c r="B23" s="2" t="inlineStr">
        <is>
          <t>Saudi Arabian Mining Co (Maaden)</t>
        </is>
      </c>
      <c r="C23" s="2" t="inlineStr">
        <is>
          <t>SAR</t>
        </is>
      </c>
      <c r="D23" s="2" t="n">
        <v>2018</v>
      </c>
      <c r="E23" s="9" t="n">
        <v>43465</v>
      </c>
      <c r="F23" s="2" t="n">
        <v>51.2</v>
      </c>
      <c r="G23" s="2" t="n">
        <v>60</v>
      </c>
      <c r="H23" s="2" t="n">
        <v>40.9</v>
      </c>
      <c r="I23" s="2" t="n">
        <v>49.3</v>
      </c>
      <c r="J23" s="2" t="n">
        <v>52.886</v>
      </c>
      <c r="K23" s="2" t="n">
        <v>0</v>
      </c>
      <c r="L23" s="10" t="n">
        <v>0</v>
      </c>
      <c r="M23" s="10" t="n">
        <v>0.029</v>
      </c>
      <c r="N23" s="2" t="n">
        <v>52.2439</v>
      </c>
      <c r="O23" s="2" t="n">
        <v>2020</v>
      </c>
      <c r="P23" s="2" t="n">
        <v>40.5</v>
      </c>
      <c r="Q23" s="10" t="n">
        <v>-0.2248</v>
      </c>
    </row>
    <row r="24">
      <c r="A24" s="2" t="inlineStr">
        <is>
          <t>1211.SR</t>
        </is>
      </c>
      <c r="B24" s="2" t="inlineStr">
        <is>
          <t>Saudi Arabian Mining Co (Maaden)</t>
        </is>
      </c>
      <c r="C24" s="2" t="inlineStr">
        <is>
          <t>SAR</t>
        </is>
      </c>
      <c r="D24" s="2" t="n">
        <v>2019</v>
      </c>
      <c r="E24" s="9" t="n">
        <v>43830</v>
      </c>
      <c r="F24" s="2" t="n">
        <v>49</v>
      </c>
      <c r="G24" s="2" t="n">
        <v>59.6</v>
      </c>
      <c r="H24" s="2" t="n">
        <v>39.6</v>
      </c>
      <c r="I24" s="2" t="n">
        <v>44.4</v>
      </c>
      <c r="J24" s="2" t="n">
        <v>49.1308</v>
      </c>
      <c r="K24" s="2" t="n">
        <v>0</v>
      </c>
      <c r="L24" s="10" t="n">
        <v>0</v>
      </c>
      <c r="M24" s="10" t="n">
        <v>0.023</v>
      </c>
      <c r="N24" s="2" t="n">
        <v>46.4901</v>
      </c>
      <c r="O24" s="2" t="n">
        <v>2021</v>
      </c>
      <c r="P24" s="2" t="n">
        <v>78.5</v>
      </c>
      <c r="Q24" s="10" t="n">
        <v>0.6885</v>
      </c>
    </row>
    <row r="25">
      <c r="A25" s="2" t="inlineStr">
        <is>
          <t>1211.SR</t>
        </is>
      </c>
      <c r="B25" s="2" t="inlineStr">
        <is>
          <t>Saudi Arabian Mining Co (Maaden)</t>
        </is>
      </c>
      <c r="C25" s="2" t="inlineStr">
        <is>
          <t>SAR</t>
        </is>
      </c>
      <c r="D25" s="2" t="n">
        <v>2020</v>
      </c>
      <c r="E25" s="9" t="n">
        <v>44196</v>
      </c>
      <c r="F25" s="2" t="n">
        <v>44.15</v>
      </c>
      <c r="G25" s="2" t="n">
        <v>46.5</v>
      </c>
      <c r="H25" s="2" t="n">
        <v>27.8</v>
      </c>
      <c r="I25" s="2" t="n">
        <v>40.5</v>
      </c>
      <c r="J25" s="2" t="n">
        <v>38.3618</v>
      </c>
      <c r="K25" s="2" t="n">
        <v>0</v>
      </c>
      <c r="L25" s="10" t="n">
        <v>0</v>
      </c>
      <c r="M25" s="10" t="n">
        <v>0.008999999999999999</v>
      </c>
      <c r="N25" s="2" t="n">
        <v>41.2356</v>
      </c>
      <c r="O25" s="2" t="n">
        <v>2022</v>
      </c>
      <c r="P25" s="2" t="n">
        <v>64.7</v>
      </c>
      <c r="Q25" s="10" t="n">
        <v>2.1381</v>
      </c>
    </row>
    <row r="26">
      <c r="A26" s="2" t="inlineStr">
        <is>
          <t>1211.SR</t>
        </is>
      </c>
      <c r="B26" s="2" t="inlineStr">
        <is>
          <t>Saudi Arabian Mining Co (Maaden)</t>
        </is>
      </c>
      <c r="C26" s="2" t="inlineStr">
        <is>
          <t>SAR</t>
        </is>
      </c>
      <c r="D26" s="2" t="n">
        <v>2021</v>
      </c>
      <c r="E26" s="9" t="n">
        <v>44560</v>
      </c>
      <c r="F26" s="2" t="n">
        <v>40.5</v>
      </c>
      <c r="G26" s="2" t="n">
        <v>89.5</v>
      </c>
      <c r="H26" s="2" t="n">
        <v>39.85</v>
      </c>
      <c r="I26" s="2" t="n">
        <v>78.5</v>
      </c>
      <c r="J26" s="2" t="n">
        <v>64.021</v>
      </c>
      <c r="K26" s="2" t="n">
        <v>0</v>
      </c>
      <c r="L26" s="10" t="n">
        <v>0</v>
      </c>
      <c r="M26" s="10" t="n">
        <v>0.012</v>
      </c>
      <c r="N26" s="2" t="n">
        <v>80.4068</v>
      </c>
      <c r="O26" s="2" t="n">
        <v>2023</v>
      </c>
      <c r="P26" s="2" t="n">
        <v>48.55</v>
      </c>
      <c r="Q26" s="10" t="n">
        <v>0.8114</v>
      </c>
    </row>
    <row r="27">
      <c r="A27" s="2" t="inlineStr">
        <is>
          <t>1211.SR</t>
        </is>
      </c>
      <c r="B27" s="2" t="inlineStr">
        <is>
          <t>Saudi Arabian Mining Co (Maaden)</t>
        </is>
      </c>
      <c r="C27" s="2" t="inlineStr">
        <is>
          <t>SAR</t>
        </is>
      </c>
      <c r="D27" s="2" t="n">
        <v>2022</v>
      </c>
      <c r="E27" s="9" t="n">
        <v>44924</v>
      </c>
      <c r="F27" s="2" t="n">
        <v>78.40000000000001</v>
      </c>
      <c r="G27" s="2" t="n">
        <v>150.8</v>
      </c>
      <c r="H27" s="2" t="n">
        <v>45.1</v>
      </c>
      <c r="I27" s="2" t="n">
        <v>64.7</v>
      </c>
      <c r="J27" s="2" t="n">
        <v>85.1885</v>
      </c>
      <c r="K27" s="2" t="n">
        <v>0</v>
      </c>
      <c r="L27" s="10" t="n">
        <v>0</v>
      </c>
      <c r="M27" s="10" t="n">
        <v>0.05</v>
      </c>
      <c r="N27" s="2" t="n">
        <v>71.5046</v>
      </c>
      <c r="O27" s="2" t="n">
        <v>2024</v>
      </c>
      <c r="P27" s="2" t="n">
        <v>50.3</v>
      </c>
      <c r="Q27" s="10" t="n">
        <v>0.0552</v>
      </c>
    </row>
    <row r="28">
      <c r="A28" s="2" t="inlineStr">
        <is>
          <t>1211.SR</t>
        </is>
      </c>
      <c r="B28" s="2" t="inlineStr">
        <is>
          <t>Saudi Arabian Mining Co (Maaden)</t>
        </is>
      </c>
      <c r="C28" s="2" t="inlineStr">
        <is>
          <t>SAR</t>
        </is>
      </c>
      <c r="D28" s="2" t="n">
        <v>2023</v>
      </c>
      <c r="E28" s="9" t="n">
        <v>45291</v>
      </c>
      <c r="F28" s="2" t="n">
        <v>65.3</v>
      </c>
      <c r="G28" s="2" t="n">
        <v>76.7</v>
      </c>
      <c r="H28" s="2" t="n">
        <v>35.4</v>
      </c>
      <c r="I28" s="2" t="n">
        <v>48.55</v>
      </c>
      <c r="J28" s="2" t="n">
        <v>52.437</v>
      </c>
      <c r="K28" s="2" t="n">
        <v>0</v>
      </c>
      <c r="L28" s="10" t="n">
        <v>0</v>
      </c>
      <c r="M28" s="10" t="n">
        <v>0.054</v>
      </c>
      <c r="N28" s="2" t="n">
        <v>54.087</v>
      </c>
      <c r="O28" s="2" t="n">
        <v>2025</v>
      </c>
      <c r="P28" s="2" t="n">
        <v>60.95</v>
      </c>
      <c r="Q28" s="10" t="n">
        <v>0.1269</v>
      </c>
    </row>
    <row r="29">
      <c r="A29" s="2" t="inlineStr">
        <is>
          <t>1211.SR</t>
        </is>
      </c>
      <c r="B29" s="2" t="inlineStr">
        <is>
          <t>Saudi Arabian Mining Co (Maaden)</t>
        </is>
      </c>
      <c r="C29" s="2" t="inlineStr">
        <is>
          <t>SAR</t>
        </is>
      </c>
      <c r="D29" s="2" t="n">
        <v>2024</v>
      </c>
      <c r="E29" s="9" t="n">
        <v>45657</v>
      </c>
      <c r="F29" s="2" t="n">
        <v>51.4</v>
      </c>
      <c r="G29" s="2" t="n">
        <v>57.4</v>
      </c>
      <c r="H29" s="2" t="n">
        <v>39</v>
      </c>
      <c r="I29" s="2" t="n">
        <v>50.3</v>
      </c>
      <c r="J29" s="2" t="n">
        <v>48.0612</v>
      </c>
      <c r="K29" s="2" t="n">
        <v>0</v>
      </c>
      <c r="L29" s="10" t="n">
        <v>0</v>
      </c>
      <c r="M29" s="10" t="n">
        <v>0.052</v>
      </c>
      <c r="N29" s="2" t="n">
        <v>55.8129</v>
      </c>
      <c r="O29" s="2" t="n">
        <v>2026</v>
      </c>
      <c r="P29" s="2" t="n">
        <v>61.1</v>
      </c>
      <c r="Q29" s="10" t="n">
        <v>0.09470000000000001</v>
      </c>
    </row>
    <row r="30">
      <c r="A30" s="2" t="inlineStr">
        <is>
          <t>1211.SR</t>
        </is>
      </c>
      <c r="B30" s="2" t="inlineStr">
        <is>
          <t>Saudi Arabian Mining Co (Maaden)</t>
        </is>
      </c>
      <c r="C30" s="2" t="inlineStr">
        <is>
          <t>SAR</t>
        </is>
      </c>
      <c r="D30" s="2" t="n">
        <v>2025</v>
      </c>
      <c r="E30" s="9" t="n">
        <v>46022</v>
      </c>
      <c r="F30" s="2" t="n">
        <v>50.3</v>
      </c>
      <c r="G30" s="2" t="n">
        <v>68.45</v>
      </c>
      <c r="H30" s="2" t="n">
        <v>37.85</v>
      </c>
      <c r="I30" s="2" t="n">
        <v>60.95</v>
      </c>
      <c r="J30" s="2" t="n">
        <v>53.3839</v>
      </c>
      <c r="K30" s="2" t="n">
        <v>0</v>
      </c>
      <c r="L30" s="10" t="n">
        <v>0</v>
      </c>
      <c r="M30" s="10" t="n">
        <v>0.046</v>
      </c>
      <c r="N30" s="2" t="n">
        <v>66.82340000000001</v>
      </c>
      <c r="O30" s="2" t="n">
        <v>2027</v>
      </c>
      <c r="P30" s="2" t="n"/>
      <c r="Q30" s="10" t="n"/>
    </row>
    <row r="31">
      <c r="A31" s="2" t="inlineStr">
        <is>
          <t>1211.SR</t>
        </is>
      </c>
      <c r="B31" s="2" t="inlineStr">
        <is>
          <t>Saudi Arabian Mining Co (Maaden)</t>
        </is>
      </c>
      <c r="C31" s="2" t="inlineStr">
        <is>
          <t>SAR</t>
        </is>
      </c>
      <c r="D31" s="2" t="n">
        <v>2026</v>
      </c>
      <c r="E31" s="9" t="n">
        <v>46289</v>
      </c>
      <c r="F31" s="2" t="n">
        <v>61.2</v>
      </c>
      <c r="G31" s="2" t="n">
        <v>79.90000000000001</v>
      </c>
      <c r="H31" s="2" t="n">
        <v>54.9</v>
      </c>
      <c r="I31" s="2" t="n">
        <v>61.1</v>
      </c>
      <c r="J31" s="2" t="n">
        <v>65.5639</v>
      </c>
      <c r="K31" s="2" t="n">
        <v>0</v>
      </c>
      <c r="L31" s="10" t="n">
        <v>0</v>
      </c>
      <c r="M31" s="10" t="n">
        <v>0.046</v>
      </c>
      <c r="N31" s="2" t="n">
        <v>66.9879</v>
      </c>
      <c r="O31" s="2" t="n">
        <v>2028</v>
      </c>
      <c r="P31" s="2" t="n"/>
      <c r="Q31" s="10" t="n"/>
    </row>
    <row r="32">
      <c r="A32" s="2" t="inlineStr">
        <is>
          <t>2899.HK</t>
        </is>
      </c>
      <c r="B32" s="2" t="inlineStr">
        <is>
          <t>Zijin Mining Group Co Ltd</t>
        </is>
      </c>
      <c r="C32" s="2" t="inlineStr">
        <is>
          <t>HKD</t>
        </is>
      </c>
      <c r="D32" s="2" t="n">
        <v>2017</v>
      </c>
      <c r="E32" s="9" t="n">
        <v>43098</v>
      </c>
      <c r="F32" s="2" t="n">
        <v>2.5</v>
      </c>
      <c r="G32" s="2" t="n">
        <v>3.18</v>
      </c>
      <c r="H32" s="2" t="n">
        <v>2.48</v>
      </c>
      <c r="I32" s="2" t="n">
        <v>2.95</v>
      </c>
      <c r="J32" s="2" t="n">
        <v>2.75</v>
      </c>
      <c r="K32" s="2" t="n">
        <v>0.0687</v>
      </c>
      <c r="L32" s="10" t="n">
        <v>0.0233</v>
      </c>
      <c r="M32" s="10" t="n">
        <v>0.013</v>
      </c>
      <c r="N32" s="2" t="n">
        <v>2.89</v>
      </c>
      <c r="O32" s="2" t="n">
        <v>2019</v>
      </c>
      <c r="P32" s="2" t="n">
        <v>3.88</v>
      </c>
      <c r="Q32" s="10" t="n">
        <v>0.3426</v>
      </c>
    </row>
    <row r="33">
      <c r="A33" s="2" t="inlineStr">
        <is>
          <t>2899.HK</t>
        </is>
      </c>
      <c r="B33" s="2" t="inlineStr">
        <is>
          <t>Zijin Mining Group Co Ltd</t>
        </is>
      </c>
      <c r="C33" s="2" t="inlineStr">
        <is>
          <t>HKD</t>
        </is>
      </c>
      <c r="D33" s="2" t="n">
        <v>2018</v>
      </c>
      <c r="E33" s="9" t="n">
        <v>43465</v>
      </c>
      <c r="F33" s="2" t="n">
        <v>3.02</v>
      </c>
      <c r="G33" s="2" t="n">
        <v>4.37</v>
      </c>
      <c r="H33" s="2" t="n">
        <v>2.57</v>
      </c>
      <c r="I33" s="2" t="n">
        <v>2.97</v>
      </c>
      <c r="J33" s="2" t="n">
        <v>3.2065</v>
      </c>
      <c r="K33" s="2" t="n">
        <v>0.1111</v>
      </c>
      <c r="L33" s="10" t="n">
        <v>0.0374</v>
      </c>
      <c r="M33" s="10" t="n">
        <v>0.018</v>
      </c>
      <c r="N33" s="2" t="n">
        <v>2.8569</v>
      </c>
      <c r="O33" s="2" t="n">
        <v>2020</v>
      </c>
      <c r="P33" s="2" t="n">
        <v>8.77</v>
      </c>
      <c r="Q33" s="10" t="n">
        <v>2.0698</v>
      </c>
    </row>
    <row r="34">
      <c r="A34" s="2" t="inlineStr">
        <is>
          <t>2899.HK</t>
        </is>
      </c>
      <c r="B34" s="2" t="inlineStr">
        <is>
          <t>Zijin Mining Group Co Ltd</t>
        </is>
      </c>
      <c r="C34" s="2" t="inlineStr">
        <is>
          <t>HKD</t>
        </is>
      </c>
      <c r="D34" s="2" t="n">
        <v>2019</v>
      </c>
      <c r="E34" s="9" t="n">
        <v>43830</v>
      </c>
      <c r="F34" s="2" t="n">
        <v>2.97</v>
      </c>
      <c r="G34" s="2" t="n">
        <v>3.89</v>
      </c>
      <c r="H34" s="2" t="n">
        <v>2.62</v>
      </c>
      <c r="I34" s="2" t="n">
        <v>3.88</v>
      </c>
      <c r="J34" s="2" t="n">
        <v>3.015</v>
      </c>
      <c r="K34" s="2" t="n">
        <v>0.1138</v>
      </c>
      <c r="L34" s="10" t="n">
        <v>0.0293</v>
      </c>
      <c r="M34" s="10" t="n">
        <v>0.017</v>
      </c>
      <c r="N34" s="2" t="n">
        <v>3.7855</v>
      </c>
      <c r="O34" s="2" t="n">
        <v>2021</v>
      </c>
      <c r="P34" s="2" t="n">
        <v>9.279999999999999</v>
      </c>
      <c r="Q34" s="10" t="n">
        <v>1.4515</v>
      </c>
    </row>
    <row r="35">
      <c r="A35" s="2" t="inlineStr">
        <is>
          <t>2899.HK</t>
        </is>
      </c>
      <c r="B35" s="2" t="inlineStr">
        <is>
          <t>Zijin Mining Group Co Ltd</t>
        </is>
      </c>
      <c r="C35" s="2" t="inlineStr">
        <is>
          <t>HKD</t>
        </is>
      </c>
      <c r="D35" s="2" t="n">
        <v>2020</v>
      </c>
      <c r="E35" s="9" t="n">
        <v>44196</v>
      </c>
      <c r="F35" s="2" t="n">
        <v>3.9</v>
      </c>
      <c r="G35" s="2" t="n">
        <v>8.890000000000001</v>
      </c>
      <c r="H35" s="2" t="n">
        <v>2.3</v>
      </c>
      <c r="I35" s="2" t="n">
        <v>8.77</v>
      </c>
      <c r="J35" s="2" t="n">
        <v>4.6719</v>
      </c>
      <c r="K35" s="2" t="n">
        <v>0.1095</v>
      </c>
      <c r="L35" s="10" t="n">
        <v>0.0125</v>
      </c>
      <c r="M35" s="10" t="n">
        <v>0.002</v>
      </c>
      <c r="N35" s="2" t="n">
        <v>8.587999999999999</v>
      </c>
      <c r="O35" s="2" t="n">
        <v>2022</v>
      </c>
      <c r="P35" s="2" t="n">
        <v>10.58</v>
      </c>
      <c r="Q35" s="10" t="n">
        <v>0.232</v>
      </c>
    </row>
    <row r="36">
      <c r="A36" s="2" t="inlineStr">
        <is>
          <t>2899.HK</t>
        </is>
      </c>
      <c r="B36" s="2" t="inlineStr">
        <is>
          <t>Zijin Mining Group Co Ltd</t>
        </is>
      </c>
      <c r="C36" s="2" t="inlineStr">
        <is>
          <t>HKD</t>
        </is>
      </c>
      <c r="D36" s="2" t="n">
        <v>2021</v>
      </c>
      <c r="E36" s="9" t="n">
        <v>44561</v>
      </c>
      <c r="F36" s="2" t="n">
        <v>8.77</v>
      </c>
      <c r="G36" s="2" t="n">
        <v>16.24</v>
      </c>
      <c r="H36" s="2" t="n">
        <v>8.470000000000001</v>
      </c>
      <c r="I36" s="2" t="n">
        <v>9.279999999999999</v>
      </c>
      <c r="J36" s="2" t="n">
        <v>10.711</v>
      </c>
      <c r="K36" s="2" t="n">
        <v>0.1451</v>
      </c>
      <c r="L36" s="10" t="n">
        <v>0.0156</v>
      </c>
      <c r="M36" s="10" t="n">
        <v>0.006</v>
      </c>
      <c r="N36" s="2" t="n">
        <v>9.103</v>
      </c>
      <c r="O36" s="2" t="n">
        <v>2023</v>
      </c>
      <c r="P36" s="2" t="n">
        <v>12.72</v>
      </c>
      <c r="Q36" s="10" t="n">
        <v>0.3973</v>
      </c>
    </row>
    <row r="37">
      <c r="A37" s="2" t="inlineStr">
        <is>
          <t>2899.HK</t>
        </is>
      </c>
      <c r="B37" s="2" t="inlineStr">
        <is>
          <t>Zijin Mining Group Co Ltd</t>
        </is>
      </c>
      <c r="C37" s="2" t="inlineStr">
        <is>
          <t>HKD</t>
        </is>
      </c>
      <c r="D37" s="2" t="n">
        <v>2022</v>
      </c>
      <c r="E37" s="9" t="n">
        <v>44925</v>
      </c>
      <c r="F37" s="2" t="n">
        <v>9.34</v>
      </c>
      <c r="G37" s="2" t="n">
        <v>14.18</v>
      </c>
      <c r="H37" s="2" t="n">
        <v>7.18</v>
      </c>
      <c r="I37" s="2" t="n">
        <v>10.58</v>
      </c>
      <c r="J37" s="2" t="n">
        <v>9.9719</v>
      </c>
      <c r="K37" s="2" t="n">
        <v>0.2326</v>
      </c>
      <c r="L37" s="10" t="n">
        <v>0.022</v>
      </c>
      <c r="M37" s="10" t="n">
        <v>0.04</v>
      </c>
      <c r="N37" s="2" t="n">
        <v>10.9682</v>
      </c>
      <c r="O37" s="2" t="n">
        <v>2024</v>
      </c>
      <c r="P37" s="2" t="n">
        <v>14.16</v>
      </c>
      <c r="Q37" s="10" t="n">
        <v>0.291</v>
      </c>
    </row>
    <row r="38">
      <c r="A38" s="2" t="inlineStr">
        <is>
          <t>2899.HK</t>
        </is>
      </c>
      <c r="B38" s="2" t="inlineStr">
        <is>
          <t>Zijin Mining Group Co Ltd</t>
        </is>
      </c>
      <c r="C38" s="2" t="inlineStr">
        <is>
          <t>HKD</t>
        </is>
      </c>
      <c r="D38" s="2" t="n">
        <v>2023</v>
      </c>
      <c r="E38" s="9" t="n">
        <v>45289</v>
      </c>
      <c r="F38" s="2" t="n">
        <v>10.5</v>
      </c>
      <c r="G38" s="2" t="n">
        <v>14.8</v>
      </c>
      <c r="H38" s="2" t="n">
        <v>10.38</v>
      </c>
      <c r="I38" s="2" t="n">
        <v>12.72</v>
      </c>
      <c r="J38" s="2" t="n">
        <v>12.3085</v>
      </c>
      <c r="K38" s="2" t="n">
        <v>0.2777</v>
      </c>
      <c r="L38" s="10" t="n">
        <v>0.0218</v>
      </c>
      <c r="M38" s="10" t="n">
        <v>0.036</v>
      </c>
      <c r="N38" s="2" t="n">
        <v>13.0856</v>
      </c>
      <c r="O38" s="2" t="n">
        <v>2025</v>
      </c>
      <c r="P38" s="2" t="n">
        <v>35.66</v>
      </c>
      <c r="Q38" s="10" t="n">
        <v>1.7251</v>
      </c>
    </row>
    <row r="39">
      <c r="A39" s="2" t="inlineStr">
        <is>
          <t>2899.HK</t>
        </is>
      </c>
      <c r="B39" s="2" t="inlineStr">
        <is>
          <t>Zijin Mining Group Co Ltd</t>
        </is>
      </c>
      <c r="C39" s="2" t="inlineStr">
        <is>
          <t>HKD</t>
        </is>
      </c>
      <c r="D39" s="2" t="n">
        <v>2024</v>
      </c>
      <c r="E39" s="9" t="n">
        <v>45657</v>
      </c>
      <c r="F39" s="2" t="n">
        <v>12.7</v>
      </c>
      <c r="G39" s="2" t="n">
        <v>20.1</v>
      </c>
      <c r="H39" s="2" t="n">
        <v>10.7</v>
      </c>
      <c r="I39" s="2" t="n">
        <v>14.16</v>
      </c>
      <c r="J39" s="2" t="n">
        <v>15.5004</v>
      </c>
      <c r="K39" s="2" t="n">
        <v>0.3294</v>
      </c>
      <c r="L39" s="10" t="n">
        <v>0.0233</v>
      </c>
      <c r="M39" s="10" t="n">
        <v>0.034</v>
      </c>
      <c r="N39" s="2" t="n">
        <v>14.4673</v>
      </c>
      <c r="O39" s="2" t="n">
        <v>2026</v>
      </c>
      <c r="P39" s="2" t="n">
        <v>32.5</v>
      </c>
      <c r="Q39" s="10" t="n">
        <v>1.2464</v>
      </c>
    </row>
    <row r="40">
      <c r="A40" s="2" t="inlineStr">
        <is>
          <t>2899.HK</t>
        </is>
      </c>
      <c r="B40" s="2" t="inlineStr">
        <is>
          <t>Zijin Mining Group Co Ltd</t>
        </is>
      </c>
      <c r="C40" s="2" t="inlineStr">
        <is>
          <t>HKD</t>
        </is>
      </c>
      <c r="D40" s="2" t="n">
        <v>2025</v>
      </c>
      <c r="E40" s="9" t="n">
        <v>46022</v>
      </c>
      <c r="F40" s="2" t="n">
        <v>14.02</v>
      </c>
      <c r="G40" s="2" t="n">
        <v>36.92</v>
      </c>
      <c r="H40" s="2" t="n">
        <v>13.86</v>
      </c>
      <c r="I40" s="2" t="n">
        <v>35.66</v>
      </c>
      <c r="J40" s="2" t="n">
        <v>22.8656</v>
      </c>
      <c r="K40" s="2" t="n">
        <v>0.5443</v>
      </c>
      <c r="L40" s="10" t="n">
        <v>0.0153</v>
      </c>
      <c r="M40" s="10" t="n">
        <v>0.026</v>
      </c>
      <c r="N40" s="2" t="n">
        <v>36.434</v>
      </c>
      <c r="O40" s="2" t="n">
        <v>2027</v>
      </c>
      <c r="P40" s="2" t="n"/>
      <c r="Q40" s="10" t="n"/>
    </row>
    <row r="41">
      <c r="A41" s="2" t="inlineStr">
        <is>
          <t>2899.HK</t>
        </is>
      </c>
      <c r="B41" s="2" t="inlineStr">
        <is>
          <t>Zijin Mining Group Co Ltd</t>
        </is>
      </c>
      <c r="C41" s="2" t="inlineStr">
        <is>
          <t>HKD</t>
        </is>
      </c>
      <c r="D41" s="2" t="n">
        <v>2026</v>
      </c>
      <c r="E41" s="9" t="n">
        <v>46290</v>
      </c>
      <c r="F41" s="2" t="n">
        <v>35.66</v>
      </c>
      <c r="G41" s="2" t="n">
        <v>46.98</v>
      </c>
      <c r="H41" s="2" t="n">
        <v>26.58</v>
      </c>
      <c r="I41" s="2" t="n">
        <v>32.5</v>
      </c>
      <c r="J41" s="2" t="n">
        <v>36.0909</v>
      </c>
      <c r="K41" s="2" t="n">
        <v>0.9207</v>
      </c>
      <c r="L41" s="10" t="n">
        <v>0.0283</v>
      </c>
      <c r="M41" s="10" t="n">
        <v>0.026</v>
      </c>
      <c r="N41" s="2" t="n">
        <v>32.3489</v>
      </c>
      <c r="O41" s="2" t="n">
        <v>2028</v>
      </c>
      <c r="P41" s="2" t="n"/>
      <c r="Q41" s="10" t="n"/>
    </row>
    <row r="42">
      <c r="A42" s="2" t="inlineStr">
        <is>
          <t>AAL.L</t>
        </is>
      </c>
      <c r="B42" s="2" t="inlineStr">
        <is>
          <t>Anglo American plc</t>
        </is>
      </c>
      <c r="C42" s="2" t="inlineStr">
        <is>
          <t>GBp</t>
        </is>
      </c>
      <c r="D42" s="2" t="n">
        <v>2017</v>
      </c>
      <c r="E42" s="9" t="n">
        <v>43098</v>
      </c>
      <c r="F42" s="2" t="n">
        <v>1166.0059</v>
      </c>
      <c r="G42" s="2" t="n">
        <v>1554.5079</v>
      </c>
      <c r="H42" s="2" t="n">
        <v>950.1048</v>
      </c>
      <c r="I42" s="2" t="n">
        <v>1549.5078</v>
      </c>
      <c r="J42" s="2" t="n">
        <v>1265.1588</v>
      </c>
      <c r="K42" s="2" t="n">
        <v>42.9552</v>
      </c>
      <c r="L42" s="10" t="n">
        <v>0.0277</v>
      </c>
      <c r="M42" s="10" t="n">
        <v>0.0045</v>
      </c>
      <c r="N42" s="2" t="n">
        <v>1479.1885</v>
      </c>
      <c r="O42" s="2" t="n">
        <v>2019</v>
      </c>
      <c r="P42" s="2" t="n">
        <v>2173.0111</v>
      </c>
      <c r="Q42" s="10" t="n">
        <v>0.4691</v>
      </c>
    </row>
    <row r="43">
      <c r="A43" s="2" t="inlineStr">
        <is>
          <t>AAL.L</t>
        </is>
      </c>
      <c r="B43" s="2" t="inlineStr">
        <is>
          <t>Anglo American plc</t>
        </is>
      </c>
      <c r="C43" s="2" t="inlineStr">
        <is>
          <t>GBp</t>
        </is>
      </c>
      <c r="D43" s="2" t="n">
        <v>2018</v>
      </c>
      <c r="E43" s="9" t="n">
        <v>43465</v>
      </c>
      <c r="F43" s="2" t="n">
        <v>1559.008</v>
      </c>
      <c r="G43" s="2" t="n">
        <v>1948.0099</v>
      </c>
      <c r="H43" s="2" t="n">
        <v>1433.8073</v>
      </c>
      <c r="I43" s="2" t="n">
        <v>1747.8088</v>
      </c>
      <c r="J43" s="2" t="n">
        <v>1691.2292</v>
      </c>
      <c r="K43" s="2" t="n">
        <v>89.02119999999999</v>
      </c>
      <c r="L43" s="10" t="n">
        <v>0.0509</v>
      </c>
      <c r="M43" s="10" t="n">
        <v>0.0075</v>
      </c>
      <c r="N43" s="2" t="n">
        <v>1602.3909</v>
      </c>
      <c r="O43" s="2" t="n">
        <v>2020</v>
      </c>
      <c r="P43" s="2" t="n">
        <v>2424.5124</v>
      </c>
      <c r="Q43" s="10" t="n">
        <v>0.5131</v>
      </c>
    </row>
    <row r="44">
      <c r="A44" s="2" t="inlineStr">
        <is>
          <t>AAL.L</t>
        </is>
      </c>
      <c r="B44" s="2" t="inlineStr">
        <is>
          <t>Anglo American plc</t>
        </is>
      </c>
      <c r="C44" s="2" t="inlineStr">
        <is>
          <t>GBp</t>
        </is>
      </c>
      <c r="D44" s="2" t="n">
        <v>2019</v>
      </c>
      <c r="E44" s="9" t="n">
        <v>43830</v>
      </c>
      <c r="F44" s="2" t="n">
        <v>1715.0088</v>
      </c>
      <c r="G44" s="2" t="n">
        <v>2294.0117</v>
      </c>
      <c r="H44" s="2" t="n">
        <v>1654.8085</v>
      </c>
      <c r="I44" s="2" t="n">
        <v>2173.0111</v>
      </c>
      <c r="J44" s="2" t="n">
        <v>1985.42</v>
      </c>
      <c r="K44" s="2" t="n">
        <v>105.093</v>
      </c>
      <c r="L44" s="10" t="n">
        <v>0.0484</v>
      </c>
      <c r="M44" s="10" t="n">
        <v>0.0055</v>
      </c>
      <c r="N44" s="2" t="n">
        <v>1994.4895</v>
      </c>
      <c r="O44" s="2" t="n">
        <v>2021</v>
      </c>
      <c r="P44" s="2" t="n">
        <v>3015.987</v>
      </c>
      <c r="Q44" s="10" t="n">
        <v>0.5192</v>
      </c>
    </row>
    <row r="45">
      <c r="A45" s="2" t="inlineStr">
        <is>
          <t>AAL.L</t>
        </is>
      </c>
      <c r="B45" s="2" t="inlineStr">
        <is>
          <t>Anglo American plc</t>
        </is>
      </c>
      <c r="C45" s="2" t="inlineStr">
        <is>
          <t>GBp</t>
        </is>
      </c>
      <c r="D45" s="2" t="n">
        <v>2020</v>
      </c>
      <c r="E45" s="9" t="n">
        <v>44196</v>
      </c>
      <c r="F45" s="2" t="n">
        <v>2182.5112</v>
      </c>
      <c r="G45" s="2" t="n">
        <v>2564.513</v>
      </c>
      <c r="H45" s="2" t="n">
        <v>1018.2051</v>
      </c>
      <c r="I45" s="2" t="n">
        <v>2424.5124</v>
      </c>
      <c r="J45" s="2" t="n">
        <v>1877.4608</v>
      </c>
      <c r="K45" s="2" t="n">
        <v>68.8747</v>
      </c>
      <c r="L45" s="10" t="n">
        <v>0.0284</v>
      </c>
      <c r="M45" s="10" t="n">
        <v>-0.0015</v>
      </c>
      <c r="N45" s="2" t="n">
        <v>2283.7415</v>
      </c>
      <c r="O45" s="2" t="n">
        <v>2022</v>
      </c>
      <c r="P45" s="2" t="n">
        <v>3236.4859</v>
      </c>
      <c r="Q45" s="10" t="n">
        <v>0.4238</v>
      </c>
    </row>
    <row r="46">
      <c r="A46" s="2" t="inlineStr">
        <is>
          <t>AAL.L</t>
        </is>
      </c>
      <c r="B46" s="2" t="inlineStr">
        <is>
          <t>Anglo American plc</t>
        </is>
      </c>
      <c r="C46" s="2" t="inlineStr">
        <is>
          <t>GBp</t>
        </is>
      </c>
      <c r="D46" s="2" t="n">
        <v>2021</v>
      </c>
      <c r="E46" s="9" t="n">
        <v>44561</v>
      </c>
      <c r="F46" s="2" t="n">
        <v>2478.5127</v>
      </c>
      <c r="G46" s="2" t="n">
        <v>3509.0179</v>
      </c>
      <c r="H46" s="2" t="n">
        <v>2321.012</v>
      </c>
      <c r="I46" s="2" t="n">
        <v>3015.987</v>
      </c>
      <c r="J46" s="2" t="n">
        <v>2916.9277</v>
      </c>
      <c r="K46" s="2" t="n">
        <v>270.6098</v>
      </c>
      <c r="L46" s="10" t="n">
        <v>0.0896</v>
      </c>
      <c r="M46" s="10" t="n">
        <v>0.007</v>
      </c>
      <c r="N46" s="2" t="n">
        <v>2556.5546</v>
      </c>
      <c r="O46" s="2" t="n">
        <v>2023</v>
      </c>
      <c r="P46" s="2" t="n">
        <v>1970.5915</v>
      </c>
      <c r="Q46" s="10" t="n">
        <v>-0.2292</v>
      </c>
    </row>
    <row r="47">
      <c r="A47" s="2" t="inlineStr">
        <is>
          <t>AAL.L</t>
        </is>
      </c>
      <c r="B47" s="2" t="inlineStr">
        <is>
          <t>Anglo American plc</t>
        </is>
      </c>
      <c r="C47" s="2" t="inlineStr">
        <is>
          <t>GBp</t>
        </is>
      </c>
      <c r="D47" s="2" t="n">
        <v>2022</v>
      </c>
      <c r="E47" s="9" t="n">
        <v>44925</v>
      </c>
      <c r="F47" s="2" t="n">
        <v>3025.4868</v>
      </c>
      <c r="G47" s="2" t="n">
        <v>4996.7783</v>
      </c>
      <c r="H47" s="2" t="n">
        <v>2487.4892</v>
      </c>
      <c r="I47" s="2" t="n">
        <v>3236.4859</v>
      </c>
      <c r="J47" s="2" t="n">
        <v>3243.97</v>
      </c>
      <c r="K47" s="2" t="n">
        <v>273.4709</v>
      </c>
      <c r="L47" s="10" t="n">
        <v>0.08450000000000001</v>
      </c>
      <c r="M47" s="10" t="n">
        <v>0.036</v>
      </c>
      <c r="N47" s="2" t="n">
        <v>2937.3143</v>
      </c>
      <c r="O47" s="2" t="n">
        <v>2024</v>
      </c>
      <c r="P47" s="2" t="n">
        <v>2363.9897</v>
      </c>
      <c r="Q47" s="10" t="n">
        <v>-0.1952</v>
      </c>
    </row>
    <row r="48">
      <c r="A48" s="2" t="inlineStr">
        <is>
          <t>AAL.L</t>
        </is>
      </c>
      <c r="B48" s="2" t="inlineStr">
        <is>
          <t>Anglo American plc</t>
        </is>
      </c>
      <c r="C48" s="2" t="inlineStr">
        <is>
          <t>GBp</t>
        </is>
      </c>
      <c r="D48" s="2" t="n">
        <v>2023</v>
      </c>
      <c r="E48" s="9" t="n">
        <v>45289</v>
      </c>
      <c r="F48" s="2" t="n">
        <v>3231.486</v>
      </c>
      <c r="G48" s="2" t="n">
        <v>3698.984</v>
      </c>
      <c r="H48" s="2" t="n">
        <v>1629.9929</v>
      </c>
      <c r="I48" s="2" t="n">
        <v>1970.5915</v>
      </c>
      <c r="J48" s="2" t="n">
        <v>2472.6371</v>
      </c>
      <c r="K48" s="2" t="n">
        <v>119.2608</v>
      </c>
      <c r="L48" s="10" t="n">
        <v>0.0605</v>
      </c>
      <c r="M48" s="10" t="n">
        <v>0.04</v>
      </c>
      <c r="N48" s="2" t="n">
        <v>1891.3543</v>
      </c>
      <c r="O48" s="2" t="n">
        <v>2025</v>
      </c>
      <c r="P48" s="2" t="n">
        <v>3085</v>
      </c>
      <c r="Q48" s="10" t="n">
        <v>0.6627999999999999</v>
      </c>
    </row>
    <row r="49">
      <c r="A49" s="2" t="inlineStr">
        <is>
          <t>AAL.L</t>
        </is>
      </c>
      <c r="B49" s="2" t="inlineStr">
        <is>
          <t>Anglo American plc</t>
        </is>
      </c>
      <c r="C49" s="2" t="inlineStr">
        <is>
          <t>GBp</t>
        </is>
      </c>
      <c r="D49" s="2" t="n">
        <v>2024</v>
      </c>
      <c r="E49" s="9" t="n">
        <v>45657</v>
      </c>
      <c r="F49" s="2" t="n">
        <v>1983.9915</v>
      </c>
      <c r="G49" s="2" t="n">
        <v>2812.9877</v>
      </c>
      <c r="H49" s="2" t="n">
        <v>1657.5928</v>
      </c>
      <c r="I49" s="2" t="n">
        <v>2363.9897</v>
      </c>
      <c r="J49" s="2" t="n">
        <v>2223.0443</v>
      </c>
      <c r="K49" s="2" t="n">
        <v>75.0852</v>
      </c>
      <c r="L49" s="10" t="n">
        <v>0.0318</v>
      </c>
      <c r="M49" s="10" t="n">
        <v>0.044</v>
      </c>
      <c r="N49" s="2" t="n">
        <v>2422.5644</v>
      </c>
      <c r="O49" s="2" t="n">
        <v>2026</v>
      </c>
      <c r="P49" s="2" t="n">
        <v>4042</v>
      </c>
      <c r="Q49" s="10" t="n">
        <v>0.7009</v>
      </c>
    </row>
    <row r="50">
      <c r="A50" s="2" t="inlineStr">
        <is>
          <t>AAL.L</t>
        </is>
      </c>
      <c r="B50" s="2" t="inlineStr">
        <is>
          <t>Anglo American plc</t>
        </is>
      </c>
      <c r="C50" s="2" t="inlineStr">
        <is>
          <t>GBp</t>
        </is>
      </c>
      <c r="D50" s="2" t="n">
        <v>2025</v>
      </c>
      <c r="E50" s="9" t="n">
        <v>46022</v>
      </c>
      <c r="F50" s="2" t="n">
        <v>2385.9896</v>
      </c>
      <c r="G50" s="2" t="n">
        <v>3093.8149</v>
      </c>
      <c r="H50" s="2" t="n">
        <v>1673.3927</v>
      </c>
      <c r="I50" s="2" t="n">
        <v>3085</v>
      </c>
      <c r="J50" s="2" t="n">
        <v>2418.8185</v>
      </c>
      <c r="K50" s="2" t="n">
        <v>24.3828</v>
      </c>
      <c r="L50" s="10" t="n">
        <v>0.0078</v>
      </c>
      <c r="M50" s="10" t="n">
        <v>0.0375</v>
      </c>
      <c r="N50" s="2" t="n">
        <v>3273.9</v>
      </c>
      <c r="O50" s="2" t="n">
        <v>2027</v>
      </c>
      <c r="P50" s="2" t="n"/>
      <c r="Q50" s="10" t="n"/>
    </row>
    <row r="51">
      <c r="A51" s="2" t="inlineStr">
        <is>
          <t>AAL.L</t>
        </is>
      </c>
      <c r="B51" s="2" t="inlineStr">
        <is>
          <t>Anglo American plc</t>
        </is>
      </c>
      <c r="C51" s="2" t="inlineStr">
        <is>
          <t>GBp</t>
        </is>
      </c>
      <c r="D51" s="2" t="n">
        <v>2026</v>
      </c>
      <c r="E51" s="9" t="n">
        <v>46290</v>
      </c>
      <c r="F51" s="2" t="n">
        <v>3098</v>
      </c>
      <c r="G51" s="2" t="n">
        <v>4348</v>
      </c>
      <c r="H51" s="2" t="n">
        <v>2757</v>
      </c>
      <c r="I51" s="2" t="n">
        <v>4042</v>
      </c>
      <c r="J51" s="2" t="n">
        <v>3663.9328</v>
      </c>
      <c r="K51" s="2" t="n">
        <v>28.809</v>
      </c>
      <c r="L51" s="10" t="n">
        <v>0.0071</v>
      </c>
      <c r="M51" s="10" t="n">
        <v>0.0375</v>
      </c>
      <c r="N51" s="2" t="n">
        <v>4295.1428</v>
      </c>
      <c r="O51" s="2" t="n">
        <v>2028</v>
      </c>
      <c r="P51" s="2" t="n"/>
      <c r="Q51" s="10" t="n"/>
    </row>
    <row r="52">
      <c r="A52" s="2" t="inlineStr">
        <is>
          <t>AEM</t>
        </is>
      </c>
      <c r="B52" s="2" t="inlineStr">
        <is>
          <t>Agnico Eagle Mines Ltd</t>
        </is>
      </c>
      <c r="C52" s="2" t="inlineStr">
        <is>
          <t>USD</t>
        </is>
      </c>
      <c r="D52" s="2" t="n">
        <v>2017</v>
      </c>
      <c r="E52" s="9" t="n">
        <v>43098</v>
      </c>
      <c r="F52" s="2" t="n">
        <v>41.9</v>
      </c>
      <c r="G52" s="2" t="n">
        <v>51.86</v>
      </c>
      <c r="H52" s="2" t="n">
        <v>39.3</v>
      </c>
      <c r="I52" s="2" t="n">
        <v>46.18</v>
      </c>
      <c r="J52" s="2" t="n">
        <v>45.836</v>
      </c>
      <c r="K52" s="2" t="n">
        <v>0.41</v>
      </c>
      <c r="L52" s="10" t="n">
        <v>0.0089</v>
      </c>
      <c r="M52" s="10" t="n">
        <v>0.0189</v>
      </c>
      <c r="N52" s="2" t="n">
        <v>47.1149</v>
      </c>
      <c r="O52" s="2" t="n">
        <v>2019</v>
      </c>
      <c r="P52" s="2" t="n">
        <v>61.61</v>
      </c>
      <c r="Q52" s="10" t="n">
        <v>0.3077</v>
      </c>
    </row>
    <row r="53">
      <c r="A53" s="2" t="inlineStr">
        <is>
          <t>AEM</t>
        </is>
      </c>
      <c r="B53" s="2" t="inlineStr">
        <is>
          <t>Agnico Eagle Mines Ltd</t>
        </is>
      </c>
      <c r="C53" s="2" t="inlineStr">
        <is>
          <t>USD</t>
        </is>
      </c>
      <c r="D53" s="2" t="n">
        <v>2018</v>
      </c>
      <c r="E53" s="9" t="n">
        <v>43465</v>
      </c>
      <c r="F53" s="2" t="n">
        <v>46.47</v>
      </c>
      <c r="G53" s="2" t="n">
        <v>49.8</v>
      </c>
      <c r="H53" s="2" t="n">
        <v>32.18</v>
      </c>
      <c r="I53" s="2" t="n">
        <v>40.4</v>
      </c>
      <c r="J53" s="2" t="n">
        <v>40.7645</v>
      </c>
      <c r="K53" s="2" t="n">
        <v>0.44</v>
      </c>
      <c r="L53" s="10" t="n">
        <v>0.0109</v>
      </c>
      <c r="M53" s="10" t="n">
        <v>0.0249</v>
      </c>
      <c r="N53" s="2" t="n">
        <v>41.5479</v>
      </c>
      <c r="O53" s="2" t="n">
        <v>2020</v>
      </c>
      <c r="P53" s="2" t="n">
        <v>70.51000000000001</v>
      </c>
      <c r="Q53" s="10" t="n">
        <v>0.6971000000000001</v>
      </c>
    </row>
    <row r="54">
      <c r="A54" s="2" t="inlineStr">
        <is>
          <t>AEM</t>
        </is>
      </c>
      <c r="B54" s="2" t="inlineStr">
        <is>
          <t>Agnico Eagle Mines Ltd</t>
        </is>
      </c>
      <c r="C54" s="2" t="inlineStr">
        <is>
          <t>USD</t>
        </is>
      </c>
      <c r="D54" s="2" t="n">
        <v>2019</v>
      </c>
      <c r="E54" s="9" t="n">
        <v>43830</v>
      </c>
      <c r="F54" s="2" t="n">
        <v>40.48</v>
      </c>
      <c r="G54" s="2" t="n">
        <v>64.88</v>
      </c>
      <c r="H54" s="2" t="n">
        <v>38.72</v>
      </c>
      <c r="I54" s="2" t="n">
        <v>61.61</v>
      </c>
      <c r="J54" s="2" t="n">
        <v>50.2829</v>
      </c>
      <c r="K54" s="2" t="n">
        <v>0.55</v>
      </c>
      <c r="L54" s="10" t="n">
        <v>0.0089</v>
      </c>
      <c r="M54" s="10" t="n">
        <v>0.0158</v>
      </c>
      <c r="N54" s="2" t="n">
        <v>62.4627</v>
      </c>
      <c r="O54" s="2" t="n">
        <v>2021</v>
      </c>
      <c r="P54" s="2" t="n">
        <v>53.14</v>
      </c>
      <c r="Q54" s="10" t="n">
        <v>-0.1493</v>
      </c>
    </row>
    <row r="55">
      <c r="A55" s="2" t="inlineStr">
        <is>
          <t>AEM</t>
        </is>
      </c>
      <c r="B55" s="2" t="inlineStr">
        <is>
          <t>Agnico Eagle Mines Ltd</t>
        </is>
      </c>
      <c r="C55" s="2" t="inlineStr">
        <is>
          <t>USD</t>
        </is>
      </c>
      <c r="D55" s="2" t="n">
        <v>2020</v>
      </c>
      <c r="E55" s="9" t="n">
        <v>44196</v>
      </c>
      <c r="F55" s="2" t="n">
        <v>62.08</v>
      </c>
      <c r="G55" s="2" t="n">
        <v>89.23</v>
      </c>
      <c r="H55" s="2" t="n">
        <v>31</v>
      </c>
      <c r="I55" s="2" t="n">
        <v>70.51000000000001</v>
      </c>
      <c r="J55" s="2" t="n">
        <v>65.8719</v>
      </c>
      <c r="K55" s="2" t="n">
        <v>0.95</v>
      </c>
      <c r="L55" s="10" t="n">
        <v>0.0135</v>
      </c>
      <c r="M55" s="10" t="n">
        <v>0.0013</v>
      </c>
      <c r="N55" s="2" t="n">
        <v>68.8141</v>
      </c>
      <c r="O55" s="2" t="n">
        <v>2022</v>
      </c>
      <c r="P55" s="2" t="n">
        <v>51.99</v>
      </c>
      <c r="Q55" s="10" t="n">
        <v>-0.2445</v>
      </c>
    </row>
    <row r="56">
      <c r="A56" s="2" t="inlineStr">
        <is>
          <t>AEM</t>
        </is>
      </c>
      <c r="B56" s="2" t="inlineStr">
        <is>
          <t>Agnico Eagle Mines Ltd</t>
        </is>
      </c>
      <c r="C56" s="2" t="inlineStr">
        <is>
          <t>USD</t>
        </is>
      </c>
      <c r="D56" s="2" t="n">
        <v>2021</v>
      </c>
      <c r="E56" s="9" t="n">
        <v>44561</v>
      </c>
      <c r="F56" s="2" t="n">
        <v>73.45</v>
      </c>
      <c r="G56" s="2" t="n">
        <v>76.69</v>
      </c>
      <c r="H56" s="2" t="n">
        <v>47.07</v>
      </c>
      <c r="I56" s="2" t="n">
        <v>53.14</v>
      </c>
      <c r="J56" s="2" t="n">
        <v>60.6234</v>
      </c>
      <c r="K56" s="2" t="n">
        <v>1.4</v>
      </c>
      <c r="L56" s="10" t="n">
        <v>0.0263</v>
      </c>
      <c r="M56" s="10" t="n">
        <v>0.0073</v>
      </c>
      <c r="N56" s="2" t="n">
        <v>51.1539</v>
      </c>
      <c r="O56" s="2" t="n">
        <v>2023</v>
      </c>
      <c r="P56" s="2" t="n">
        <v>54.85</v>
      </c>
      <c r="Q56" s="10" t="n">
        <v>0.0723</v>
      </c>
    </row>
    <row r="57">
      <c r="A57" s="2" t="inlineStr">
        <is>
          <t>AEM</t>
        </is>
      </c>
      <c r="B57" s="2" t="inlineStr">
        <is>
          <t>Agnico Eagle Mines Ltd</t>
        </is>
      </c>
      <c r="C57" s="2" t="inlineStr">
        <is>
          <t>USD</t>
        </is>
      </c>
      <c r="D57" s="2" t="n">
        <v>2022</v>
      </c>
      <c r="E57" s="9" t="n">
        <v>44925</v>
      </c>
      <c r="F57" s="2" t="n">
        <v>52.03</v>
      </c>
      <c r="G57" s="2" t="n">
        <v>67.14</v>
      </c>
      <c r="H57" s="2" t="n">
        <v>36.69</v>
      </c>
      <c r="I57" s="2" t="n">
        <v>51.99</v>
      </c>
      <c r="J57" s="2" t="n">
        <v>49.8861</v>
      </c>
      <c r="K57" s="2" t="n">
        <v>1.6</v>
      </c>
      <c r="L57" s="10" t="n">
        <v>0.0308</v>
      </c>
      <c r="M57" s="10" t="n">
        <v>0.0443</v>
      </c>
      <c r="N57" s="2" t="n">
        <v>53.4155</v>
      </c>
      <c r="O57" s="2" t="n">
        <v>2024</v>
      </c>
      <c r="P57" s="2" t="n">
        <v>78.20999999999999</v>
      </c>
      <c r="Q57" s="10" t="n">
        <v>0.4642</v>
      </c>
    </row>
    <row r="58">
      <c r="A58" s="2" t="inlineStr">
        <is>
          <t>AEM</t>
        </is>
      </c>
      <c r="B58" s="2" t="inlineStr">
        <is>
          <t>Agnico Eagle Mines Ltd</t>
        </is>
      </c>
      <c r="C58" s="2" t="inlineStr">
        <is>
          <t>USD</t>
        </is>
      </c>
      <c r="D58" s="2" t="n">
        <v>2023</v>
      </c>
      <c r="E58" s="9" t="n">
        <v>45289</v>
      </c>
      <c r="F58" s="2" t="n">
        <v>52.82</v>
      </c>
      <c r="G58" s="2" t="n">
        <v>61.15</v>
      </c>
      <c r="H58" s="2" t="n">
        <v>43.22</v>
      </c>
      <c r="I58" s="2" t="n">
        <v>54.85</v>
      </c>
      <c r="J58" s="2" t="n">
        <v>51.1018</v>
      </c>
      <c r="K58" s="2" t="n">
        <v>1.6</v>
      </c>
      <c r="L58" s="10" t="n">
        <v>0.0292</v>
      </c>
      <c r="M58" s="10" t="n">
        <v>0.0425</v>
      </c>
      <c r="N58" s="2" t="n">
        <v>56.3319</v>
      </c>
      <c r="O58" s="2" t="n">
        <v>2025</v>
      </c>
      <c r="P58" s="2" t="n">
        <v>169.53</v>
      </c>
      <c r="Q58" s="10" t="n">
        <v>2.0095</v>
      </c>
    </row>
    <row r="59">
      <c r="A59" s="2" t="inlineStr">
        <is>
          <t>AEM</t>
        </is>
      </c>
      <c r="B59" s="2" t="inlineStr">
        <is>
          <t>Agnico Eagle Mines Ltd</t>
        </is>
      </c>
      <c r="C59" s="2" t="inlineStr">
        <is>
          <t>USD</t>
        </is>
      </c>
      <c r="D59" s="2" t="n">
        <v>2024</v>
      </c>
      <c r="E59" s="9" t="n">
        <v>45657</v>
      </c>
      <c r="F59" s="2" t="n">
        <v>54.58</v>
      </c>
      <c r="G59" s="2" t="n">
        <v>89</v>
      </c>
      <c r="H59" s="2" t="n">
        <v>44.37</v>
      </c>
      <c r="I59" s="2" t="n">
        <v>78.20999999999999</v>
      </c>
      <c r="J59" s="2" t="n">
        <v>69.3142</v>
      </c>
      <c r="K59" s="2" t="n">
        <v>1.6</v>
      </c>
      <c r="L59" s="10" t="n">
        <v>0.0205</v>
      </c>
      <c r="M59" s="10" t="n">
        <v>0.0424</v>
      </c>
      <c r="N59" s="2" t="n">
        <v>81.7186</v>
      </c>
      <c r="O59" s="2" t="n">
        <v>2026</v>
      </c>
      <c r="P59" s="2" t="n">
        <v>194.48</v>
      </c>
      <c r="Q59" s="10" t="n">
        <v>1.3799</v>
      </c>
    </row>
    <row r="60">
      <c r="A60" s="2" t="inlineStr">
        <is>
          <t>AEM</t>
        </is>
      </c>
      <c r="B60" s="2" t="inlineStr">
        <is>
          <t>Agnico Eagle Mines Ltd</t>
        </is>
      </c>
      <c r="C60" s="2" t="inlineStr">
        <is>
          <t>USD</t>
        </is>
      </c>
      <c r="D60" s="2" t="n">
        <v>2025</v>
      </c>
      <c r="E60" s="9" t="n">
        <v>46022</v>
      </c>
      <c r="F60" s="2" t="n">
        <v>79.40000000000001</v>
      </c>
      <c r="G60" s="2" t="n">
        <v>187.5</v>
      </c>
      <c r="H60" s="2" t="n">
        <v>79.39</v>
      </c>
      <c r="I60" s="2" t="n">
        <v>169.53</v>
      </c>
      <c r="J60" s="2" t="n">
        <v>129.935</v>
      </c>
      <c r="K60" s="2" t="n">
        <v>1.6</v>
      </c>
      <c r="L60" s="10" t="n">
        <v>0.0094</v>
      </c>
      <c r="M60" s="10" t="n">
        <v>0.0348</v>
      </c>
      <c r="N60" s="2" t="n">
        <v>178.3511</v>
      </c>
      <c r="O60" s="2" t="n">
        <v>2027</v>
      </c>
      <c r="P60" s="2" t="n"/>
      <c r="Q60" s="10" t="n"/>
    </row>
    <row r="61">
      <c r="A61" s="2" t="inlineStr">
        <is>
          <t>AEM</t>
        </is>
      </c>
      <c r="B61" s="2" t="inlineStr">
        <is>
          <t>Agnico Eagle Mines Ltd</t>
        </is>
      </c>
      <c r="C61" s="2" t="inlineStr">
        <is>
          <t>USD</t>
        </is>
      </c>
      <c r="D61" s="2" t="n">
        <v>2026</v>
      </c>
      <c r="E61" s="9" t="n">
        <v>46290</v>
      </c>
      <c r="F61" s="2" t="n">
        <v>170.24</v>
      </c>
      <c r="G61" s="2" t="n">
        <v>255.24</v>
      </c>
      <c r="H61" s="2" t="n">
        <v>134.38</v>
      </c>
      <c r="I61" s="2" t="n">
        <v>194.48</v>
      </c>
      <c r="J61" s="2" t="n">
        <v>190.1248</v>
      </c>
      <c r="K61" s="2" t="n">
        <v>1.35</v>
      </c>
      <c r="L61" s="10" t="n">
        <v>0.0069</v>
      </c>
      <c r="M61" s="10" t="n">
        <v>0.0348</v>
      </c>
      <c r="N61" s="2" t="n">
        <v>205.6234</v>
      </c>
      <c r="O61" s="2" t="n">
        <v>2028</v>
      </c>
      <c r="P61" s="2" t="n"/>
      <c r="Q61" s="10" t="n"/>
    </row>
    <row r="62">
      <c r="A62" s="2" t="inlineStr">
        <is>
          <t>B</t>
        </is>
      </c>
      <c r="B62" s="2" t="inlineStr">
        <is>
          <t>Barrick Mining Corp</t>
        </is>
      </c>
      <c r="C62" s="2" t="inlineStr">
        <is>
          <t>USD</t>
        </is>
      </c>
      <c r="D62" s="2" t="n">
        <v>2017</v>
      </c>
      <c r="E62" s="9" t="n">
        <v>43098</v>
      </c>
      <c r="F62" s="2" t="n">
        <v>16</v>
      </c>
      <c r="G62" s="2" t="n">
        <v>20.78</v>
      </c>
      <c r="H62" s="2" t="n">
        <v>13.28</v>
      </c>
      <c r="I62" s="2" t="n">
        <v>14.47</v>
      </c>
      <c r="J62" s="2" t="n">
        <v>16.7512</v>
      </c>
      <c r="K62" s="2" t="n">
        <v>0.12</v>
      </c>
      <c r="L62" s="10" t="n">
        <v>0.0083</v>
      </c>
      <c r="M62" s="10" t="n">
        <v>0.0189</v>
      </c>
      <c r="N62" s="2" t="n">
        <v>14.7802</v>
      </c>
      <c r="O62" s="2" t="n">
        <v>2019</v>
      </c>
      <c r="P62" s="2" t="n">
        <v>18.59</v>
      </c>
      <c r="Q62" s="10" t="n">
        <v>0.2578</v>
      </c>
    </row>
    <row r="63">
      <c r="A63" s="2" t="inlineStr">
        <is>
          <t>B</t>
        </is>
      </c>
      <c r="B63" s="2" t="inlineStr">
        <is>
          <t>Barrick Mining Corp</t>
        </is>
      </c>
      <c r="C63" s="2" t="inlineStr">
        <is>
          <t>USD</t>
        </is>
      </c>
      <c r="D63" s="2" t="n">
        <v>2018</v>
      </c>
      <c r="E63" s="9" t="n">
        <v>43465</v>
      </c>
      <c r="F63" s="2" t="n">
        <v>14.65</v>
      </c>
      <c r="G63" s="2" t="n">
        <v>15.52</v>
      </c>
      <c r="H63" s="2" t="n">
        <v>9.529999999999999</v>
      </c>
      <c r="I63" s="2" t="n">
        <v>13.54</v>
      </c>
      <c r="J63" s="2" t="n">
        <v>12.611</v>
      </c>
      <c r="K63" s="2" t="n">
        <v>0.19</v>
      </c>
      <c r="L63" s="10" t="n">
        <v>0.014</v>
      </c>
      <c r="M63" s="10" t="n">
        <v>0.0249</v>
      </c>
      <c r="N63" s="2" t="n">
        <v>13.8375</v>
      </c>
      <c r="O63" s="2" t="n">
        <v>2020</v>
      </c>
      <c r="P63" s="2" t="n">
        <v>22.78</v>
      </c>
      <c r="Q63" s="10" t="n">
        <v>0.6462</v>
      </c>
    </row>
    <row r="64">
      <c r="A64" s="2" t="inlineStr">
        <is>
          <t>B</t>
        </is>
      </c>
      <c r="B64" s="2" t="inlineStr">
        <is>
          <t>Barrick Mining Corp</t>
        </is>
      </c>
      <c r="C64" s="2" t="inlineStr">
        <is>
          <t>USD</t>
        </is>
      </c>
      <c r="D64" s="2" t="n">
        <v>2019</v>
      </c>
      <c r="E64" s="9" t="n">
        <v>43830</v>
      </c>
      <c r="F64" s="2" t="n">
        <v>13.64</v>
      </c>
      <c r="G64" s="2" t="n">
        <v>20.07</v>
      </c>
      <c r="H64" s="2" t="n">
        <v>11.52</v>
      </c>
      <c r="I64" s="2" t="n">
        <v>18.59</v>
      </c>
      <c r="J64" s="2" t="n">
        <v>15.2866</v>
      </c>
      <c r="K64" s="2" t="n">
        <v>0.13</v>
      </c>
      <c r="L64" s="10" t="n">
        <v>0.007</v>
      </c>
      <c r="M64" s="10" t="n">
        <v>0.0158</v>
      </c>
      <c r="N64" s="2" t="n">
        <v>18.9203</v>
      </c>
      <c r="O64" s="2" t="n">
        <v>2021</v>
      </c>
      <c r="P64" s="2" t="n">
        <v>19</v>
      </c>
      <c r="Q64" s="10" t="n">
        <v>0.0042</v>
      </c>
    </row>
    <row r="65">
      <c r="A65" s="2" t="inlineStr">
        <is>
          <t>B</t>
        </is>
      </c>
      <c r="B65" s="2" t="inlineStr">
        <is>
          <t>Barrick Mining Corp</t>
        </is>
      </c>
      <c r="C65" s="2" t="inlineStr">
        <is>
          <t>USD</t>
        </is>
      </c>
      <c r="D65" s="2" t="n">
        <v>2020</v>
      </c>
      <c r="E65" s="9" t="n">
        <v>44196</v>
      </c>
      <c r="F65" s="2" t="n">
        <v>18.71</v>
      </c>
      <c r="G65" s="2" t="n">
        <v>31.22</v>
      </c>
      <c r="H65" s="2" t="n">
        <v>12.65</v>
      </c>
      <c r="I65" s="2" t="n">
        <v>22.78</v>
      </c>
      <c r="J65" s="2" t="n">
        <v>24.4271</v>
      </c>
      <c r="K65" s="2" t="n">
        <v>0.31</v>
      </c>
      <c r="L65" s="10" t="n">
        <v>0.0136</v>
      </c>
      <c r="M65" s="10" t="n">
        <v>0.0013</v>
      </c>
      <c r="N65" s="2" t="n">
        <v>22.2261</v>
      </c>
      <c r="O65" s="2" t="n">
        <v>2022</v>
      </c>
      <c r="P65" s="2" t="n">
        <v>17.18</v>
      </c>
      <c r="Q65" s="10" t="n">
        <v>-0.227</v>
      </c>
    </row>
    <row r="66">
      <c r="A66" s="2" t="inlineStr">
        <is>
          <t>B</t>
        </is>
      </c>
      <c r="B66" s="2" t="inlineStr">
        <is>
          <t>Barrick Mining Corp</t>
        </is>
      </c>
      <c r="C66" s="2" t="inlineStr">
        <is>
          <t>USD</t>
        </is>
      </c>
      <c r="D66" s="2" t="n">
        <v>2021</v>
      </c>
      <c r="E66" s="9" t="n">
        <v>44561</v>
      </c>
      <c r="F66" s="2" t="n">
        <v>23.85</v>
      </c>
      <c r="G66" s="2" t="n">
        <v>25.37</v>
      </c>
      <c r="H66" s="2" t="n">
        <v>17.27</v>
      </c>
      <c r="I66" s="2" t="n">
        <v>19</v>
      </c>
      <c r="J66" s="2" t="n">
        <v>20.7749</v>
      </c>
      <c r="K66" s="2" t="n">
        <v>0.78</v>
      </c>
      <c r="L66" s="10" t="n">
        <v>0.0411</v>
      </c>
      <c r="M66" s="10" t="n">
        <v>0.0073</v>
      </c>
      <c r="N66" s="2" t="n">
        <v>17.7597</v>
      </c>
      <c r="O66" s="2" t="n">
        <v>2023</v>
      </c>
      <c r="P66" s="2" t="n">
        <v>18.09</v>
      </c>
      <c r="Q66" s="10" t="n">
        <v>0.0186</v>
      </c>
    </row>
    <row r="67">
      <c r="A67" s="2" t="inlineStr">
        <is>
          <t>B</t>
        </is>
      </c>
      <c r="B67" s="2" t="inlineStr">
        <is>
          <t>Barrick Mining Corp</t>
        </is>
      </c>
      <c r="C67" s="2" t="inlineStr">
        <is>
          <t>USD</t>
        </is>
      </c>
      <c r="D67" s="2" t="n">
        <v>2022</v>
      </c>
      <c r="E67" s="9" t="n">
        <v>44925</v>
      </c>
      <c r="F67" s="2" t="n">
        <v>18.78</v>
      </c>
      <c r="G67" s="2" t="n">
        <v>26.07</v>
      </c>
      <c r="H67" s="2" t="n">
        <v>13.01</v>
      </c>
      <c r="I67" s="2" t="n">
        <v>17.18</v>
      </c>
      <c r="J67" s="2" t="n">
        <v>18.6931</v>
      </c>
      <c r="K67" s="2" t="n">
        <v>0.65</v>
      </c>
      <c r="L67" s="10" t="n">
        <v>0.0378</v>
      </c>
      <c r="M67" s="10" t="n">
        <v>0.0443</v>
      </c>
      <c r="N67" s="2" t="n">
        <v>17.4036</v>
      </c>
      <c r="O67" s="2" t="n">
        <v>2024</v>
      </c>
      <c r="P67" s="2" t="n">
        <v>15.5</v>
      </c>
      <c r="Q67" s="10" t="n">
        <v>-0.1094</v>
      </c>
    </row>
    <row r="68">
      <c r="A68" s="2" t="inlineStr">
        <is>
          <t>B</t>
        </is>
      </c>
      <c r="B68" s="2" t="inlineStr">
        <is>
          <t>Barrick Mining Corp</t>
        </is>
      </c>
      <c r="C68" s="2" t="inlineStr">
        <is>
          <t>USD</t>
        </is>
      </c>
      <c r="D68" s="2" t="n">
        <v>2023</v>
      </c>
      <c r="E68" s="9" t="n">
        <v>45289</v>
      </c>
      <c r="F68" s="2" t="n">
        <v>17.54</v>
      </c>
      <c r="G68" s="2" t="n">
        <v>20.75</v>
      </c>
      <c r="H68" s="2" t="n">
        <v>13.82</v>
      </c>
      <c r="I68" s="2" t="n">
        <v>18.09</v>
      </c>
      <c r="J68" s="2" t="n">
        <v>17.2442</v>
      </c>
      <c r="K68" s="2" t="n">
        <v>0.4</v>
      </c>
      <c r="L68" s="10" t="n">
        <v>0.0221</v>
      </c>
      <c r="M68" s="10" t="n">
        <v>0.0425</v>
      </c>
      <c r="N68" s="2" t="n">
        <v>18.8429</v>
      </c>
      <c r="O68" s="2" t="n">
        <v>2025</v>
      </c>
      <c r="P68" s="2" t="n">
        <v>43.55</v>
      </c>
      <c r="Q68" s="10" t="n">
        <v>1.3112</v>
      </c>
    </row>
    <row r="69">
      <c r="A69" s="2" t="inlineStr">
        <is>
          <t>B</t>
        </is>
      </c>
      <c r="B69" s="2" t="inlineStr">
        <is>
          <t>Barrick Mining Corp</t>
        </is>
      </c>
      <c r="C69" s="2" t="inlineStr">
        <is>
          <t>USD</t>
        </is>
      </c>
      <c r="D69" s="2" t="n">
        <v>2024</v>
      </c>
      <c r="E69" s="9" t="n">
        <v>45657</v>
      </c>
      <c r="F69" s="2" t="n">
        <v>18.02</v>
      </c>
      <c r="G69" s="2" t="n">
        <v>21.35</v>
      </c>
      <c r="H69" s="2" t="n">
        <v>13.76</v>
      </c>
      <c r="I69" s="2" t="n">
        <v>15.5</v>
      </c>
      <c r="J69" s="2" t="n">
        <v>17.4878</v>
      </c>
      <c r="K69" s="2" t="n">
        <v>0.4</v>
      </c>
      <c r="L69" s="10" t="n">
        <v>0.0258</v>
      </c>
      <c r="M69" s="10" t="n">
        <v>0.0424</v>
      </c>
      <c r="N69" s="2" t="n">
        <v>16.023</v>
      </c>
      <c r="O69" s="2" t="n">
        <v>2026</v>
      </c>
      <c r="P69" s="2" t="n">
        <v>42.88</v>
      </c>
      <c r="Q69" s="10" t="n">
        <v>1.6761</v>
      </c>
    </row>
    <row r="70">
      <c r="A70" s="2" t="inlineStr">
        <is>
          <t>B</t>
        </is>
      </c>
      <c r="B70" s="2" t="inlineStr">
        <is>
          <t>Barrick Mining Corp</t>
        </is>
      </c>
      <c r="C70" s="2" t="inlineStr">
        <is>
          <t>USD</t>
        </is>
      </c>
      <c r="D70" s="2" t="n">
        <v>2025</v>
      </c>
      <c r="E70" s="9" t="n">
        <v>46022</v>
      </c>
      <c r="F70" s="2" t="n">
        <v>15.76</v>
      </c>
      <c r="G70" s="2" t="n">
        <v>46.45</v>
      </c>
      <c r="H70" s="2" t="n">
        <v>15.31</v>
      </c>
      <c r="I70" s="2" t="n">
        <v>43.55</v>
      </c>
      <c r="J70" s="2" t="n">
        <v>25.1436</v>
      </c>
      <c r="K70" s="2" t="n">
        <v>0.525</v>
      </c>
      <c r="L70" s="10" t="n">
        <v>0.0121</v>
      </c>
      <c r="M70" s="10" t="n">
        <v>0.0348</v>
      </c>
      <c r="N70" s="2" t="n">
        <v>45.5768</v>
      </c>
      <c r="O70" s="2" t="n">
        <v>2027</v>
      </c>
      <c r="P70" s="2" t="n"/>
      <c r="Q70" s="10" t="n"/>
    </row>
    <row r="71">
      <c r="A71" s="2" t="inlineStr">
        <is>
          <t>B</t>
        </is>
      </c>
      <c r="B71" s="2" t="inlineStr">
        <is>
          <t>Barrick Mining Corp</t>
        </is>
      </c>
      <c r="C71" s="2" t="inlineStr">
        <is>
          <t>USD</t>
        </is>
      </c>
      <c r="D71" s="2" t="n">
        <v>2026</v>
      </c>
      <c r="E71" s="9" t="n">
        <v>46290</v>
      </c>
      <c r="F71" s="2" t="n">
        <v>44.15</v>
      </c>
      <c r="G71" s="2" t="n">
        <v>54.69</v>
      </c>
      <c r="H71" s="2" t="n">
        <v>34.03</v>
      </c>
      <c r="I71" s="2" t="n">
        <v>42.88</v>
      </c>
      <c r="J71" s="2" t="n">
        <v>42.7072</v>
      </c>
      <c r="K71" s="2" t="n">
        <v>0.77</v>
      </c>
      <c r="L71" s="10" t="n">
        <v>0.018</v>
      </c>
      <c r="M71" s="10" t="n">
        <v>0.0348</v>
      </c>
      <c r="N71" s="2" t="n">
        <v>44.3491</v>
      </c>
      <c r="O71" s="2" t="n">
        <v>2028</v>
      </c>
      <c r="P71" s="2" t="n"/>
      <c r="Q71" s="10" t="n"/>
    </row>
    <row r="72">
      <c r="A72" s="2" t="inlineStr">
        <is>
          <t>BHP.AX</t>
        </is>
      </c>
      <c r="B72" s="2" t="inlineStr">
        <is>
          <t>BHP Group Ltd</t>
        </is>
      </c>
      <c r="C72" s="2" t="inlineStr">
        <is>
          <t>AUD</t>
        </is>
      </c>
      <c r="D72" s="2" t="n">
        <v>2017</v>
      </c>
      <c r="E72" s="9" t="n">
        <v>43098</v>
      </c>
      <c r="F72" s="2" t="n">
        <v>25.0199</v>
      </c>
      <c r="G72" s="2" t="n">
        <v>29.7599</v>
      </c>
      <c r="H72" s="2" t="n">
        <v>22.0599</v>
      </c>
      <c r="I72" s="2" t="n">
        <v>29.5699</v>
      </c>
      <c r="J72" s="2" t="n">
        <v>25.6658</v>
      </c>
      <c r="K72" s="2" t="n">
        <v>1.1919</v>
      </c>
      <c r="L72" s="10" t="n">
        <v>0.0403</v>
      </c>
      <c r="M72" s="10" t="n">
        <v>0.02</v>
      </c>
      <c r="N72" s="2" t="n">
        <v>28.393</v>
      </c>
      <c r="O72" s="2" t="n">
        <v>2019</v>
      </c>
      <c r="P72" s="2" t="n">
        <v>38.9199</v>
      </c>
      <c r="Q72" s="10" t="n">
        <v>0.3708</v>
      </c>
    </row>
    <row r="73">
      <c r="A73" s="2" t="inlineStr">
        <is>
          <t>BHP.AX</t>
        </is>
      </c>
      <c r="B73" s="2" t="inlineStr">
        <is>
          <t>BHP Group Ltd</t>
        </is>
      </c>
      <c r="C73" s="2" t="inlineStr">
        <is>
          <t>AUD</t>
        </is>
      </c>
      <c r="D73" s="2" t="n">
        <v>2018</v>
      </c>
      <c r="E73" s="9" t="n">
        <v>43465</v>
      </c>
      <c r="F73" s="2" t="n">
        <v>29.4999</v>
      </c>
      <c r="G73" s="2" t="n">
        <v>35.6799</v>
      </c>
      <c r="H73" s="2" t="n">
        <v>28.1299</v>
      </c>
      <c r="I73" s="2" t="n">
        <v>34.2299</v>
      </c>
      <c r="J73" s="2" t="n">
        <v>32.039</v>
      </c>
      <c r="K73" s="2" t="n">
        <v>1.7541</v>
      </c>
      <c r="L73" s="10" t="n">
        <v>0.0512</v>
      </c>
      <c r="M73" s="10" t="n">
        <v>0.019</v>
      </c>
      <c r="N73" s="2" t="n">
        <v>32.0922</v>
      </c>
      <c r="O73" s="2" t="n">
        <v>2020</v>
      </c>
      <c r="P73" s="2" t="n">
        <v>42.4299</v>
      </c>
      <c r="Q73" s="10" t="n">
        <v>0.3221</v>
      </c>
    </row>
    <row r="74">
      <c r="A74" s="2" t="inlineStr">
        <is>
          <t>BHP.AX</t>
        </is>
      </c>
      <c r="B74" s="2" t="inlineStr">
        <is>
          <t>BHP Group Ltd</t>
        </is>
      </c>
      <c r="C74" s="2" t="inlineStr">
        <is>
          <t>AUD</t>
        </is>
      </c>
      <c r="D74" s="2" t="n">
        <v>2019</v>
      </c>
      <c r="E74" s="9" t="n">
        <v>43830</v>
      </c>
      <c r="F74" s="2" t="n">
        <v>34.2799</v>
      </c>
      <c r="G74" s="2" t="n">
        <v>42.3299</v>
      </c>
      <c r="H74" s="2" t="n">
        <v>32.2449</v>
      </c>
      <c r="I74" s="2" t="n">
        <v>38.9199</v>
      </c>
      <c r="J74" s="2" t="n">
        <v>37.4919</v>
      </c>
      <c r="K74" s="2" t="n">
        <v>3.7405</v>
      </c>
      <c r="L74" s="10" t="n">
        <v>0.0961</v>
      </c>
      <c r="M74" s="10" t="n">
        <v>0.008999999999999999</v>
      </c>
      <c r="N74" s="2" t="n">
        <v>32.6972</v>
      </c>
      <c r="O74" s="2" t="n">
        <v>2021</v>
      </c>
      <c r="P74" s="2" t="n">
        <v>41.4999</v>
      </c>
      <c r="Q74" s="10" t="n">
        <v>0.2692</v>
      </c>
    </row>
    <row r="75">
      <c r="A75" s="2" t="inlineStr">
        <is>
          <t>BHP.AX</t>
        </is>
      </c>
      <c r="B75" s="2" t="inlineStr">
        <is>
          <t>BHP Group Ltd</t>
        </is>
      </c>
      <c r="C75" s="2" t="inlineStr">
        <is>
          <t>AUD</t>
        </is>
      </c>
      <c r="D75" s="2" t="n">
        <v>2020</v>
      </c>
      <c r="E75" s="9" t="n">
        <v>44196</v>
      </c>
      <c r="F75" s="2" t="n">
        <v>38.6999</v>
      </c>
      <c r="G75" s="2" t="n">
        <v>43.6599</v>
      </c>
      <c r="H75" s="2" t="n">
        <v>24.0499</v>
      </c>
      <c r="I75" s="2" t="n">
        <v>42.4299</v>
      </c>
      <c r="J75" s="2" t="n">
        <v>36.1864</v>
      </c>
      <c r="K75" s="2" t="n">
        <v>1.9638</v>
      </c>
      <c r="L75" s="10" t="n">
        <v>0.0463</v>
      </c>
      <c r="M75" s="10" t="n">
        <v>0.001</v>
      </c>
      <c r="N75" s="2" t="n">
        <v>38.756</v>
      </c>
      <c r="O75" s="2" t="n">
        <v>2022</v>
      </c>
      <c r="P75" s="2" t="n">
        <v>45.63</v>
      </c>
      <c r="Q75" s="10" t="n">
        <v>0.3223</v>
      </c>
    </row>
    <row r="76">
      <c r="A76" s="2" t="inlineStr">
        <is>
          <t>BHP.AX</t>
        </is>
      </c>
      <c r="B76" s="2" t="inlineStr">
        <is>
          <t>BHP Group Ltd</t>
        </is>
      </c>
      <c r="C76" s="2" t="inlineStr">
        <is>
          <t>AUD</t>
        </is>
      </c>
      <c r="D76" s="2" t="n">
        <v>2021</v>
      </c>
      <c r="E76" s="9" t="n">
        <v>44561</v>
      </c>
      <c r="F76" s="2" t="n">
        <v>42.6299</v>
      </c>
      <c r="G76" s="2" t="n">
        <v>54.5499</v>
      </c>
      <c r="H76" s="2" t="n">
        <v>35.5599</v>
      </c>
      <c r="I76" s="2" t="n">
        <v>41.4999</v>
      </c>
      <c r="J76" s="2" t="n">
        <v>44.8667</v>
      </c>
      <c r="K76" s="2" t="n">
        <v>4.5222</v>
      </c>
      <c r="L76" s="10" t="n">
        <v>0.109</v>
      </c>
      <c r="M76" s="10" t="n">
        <v>0.006</v>
      </c>
      <c r="N76" s="2" t="n">
        <v>33.7761</v>
      </c>
      <c r="O76" s="2" t="n">
        <v>2023</v>
      </c>
      <c r="P76" s="2" t="n">
        <v>50.41</v>
      </c>
      <c r="Q76" s="10" t="n">
        <v>0.6762</v>
      </c>
    </row>
    <row r="77">
      <c r="A77" s="2" t="inlineStr">
        <is>
          <t>BHP.AX</t>
        </is>
      </c>
      <c r="B77" s="2" t="inlineStr">
        <is>
          <t>BHP Group Ltd</t>
        </is>
      </c>
      <c r="C77" s="2" t="inlineStr">
        <is>
          <t>AUD</t>
        </is>
      </c>
      <c r="D77" s="2" t="n">
        <v>2022</v>
      </c>
      <c r="E77" s="9" t="n">
        <v>44925</v>
      </c>
      <c r="F77" s="2" t="n">
        <v>41.7499</v>
      </c>
      <c r="G77" s="2" t="n">
        <v>53.7199</v>
      </c>
      <c r="H77" s="2" t="n">
        <v>35.83</v>
      </c>
      <c r="I77" s="2" t="n">
        <v>45.63</v>
      </c>
      <c r="J77" s="2" t="n">
        <v>43.6558</v>
      </c>
      <c r="K77" s="2" t="n">
        <v>4.8885</v>
      </c>
      <c r="L77" s="10" t="n">
        <v>0.1015</v>
      </c>
      <c r="M77" s="10" t="n">
        <v>0.035</v>
      </c>
      <c r="N77" s="2" t="n">
        <v>39.9458</v>
      </c>
      <c r="O77" s="2" t="n">
        <v>2024</v>
      </c>
      <c r="P77" s="2" t="n">
        <v>39.55</v>
      </c>
      <c r="Q77" s="10" t="n">
        <v>-0.009900000000000001</v>
      </c>
    </row>
    <row r="78">
      <c r="A78" s="2" t="inlineStr">
        <is>
          <t>BHP.AX</t>
        </is>
      </c>
      <c r="B78" s="2" t="inlineStr">
        <is>
          <t>BHP Group Ltd</t>
        </is>
      </c>
      <c r="C78" s="2" t="inlineStr">
        <is>
          <t>AUD</t>
        </is>
      </c>
      <c r="D78" s="2" t="n">
        <v>2023</v>
      </c>
      <c r="E78" s="9" t="n">
        <v>45289</v>
      </c>
      <c r="F78" s="2" t="n">
        <v>46.1</v>
      </c>
      <c r="G78" s="2" t="n">
        <v>50.84</v>
      </c>
      <c r="H78" s="2" t="n">
        <v>41.66</v>
      </c>
      <c r="I78" s="2" t="n">
        <v>50.41</v>
      </c>
      <c r="J78" s="2" t="n">
        <v>45.694</v>
      </c>
      <c r="K78" s="2" t="n">
        <v>2.6143</v>
      </c>
      <c r="L78" s="10" t="n">
        <v>0.0519</v>
      </c>
      <c r="M78" s="10" t="n">
        <v>0.037</v>
      </c>
      <c r="N78" s="2" t="n">
        <v>48.9338</v>
      </c>
      <c r="O78" s="2" t="n">
        <v>2025</v>
      </c>
      <c r="P78" s="2" t="n">
        <v>45.49</v>
      </c>
      <c r="Q78" s="10" t="n">
        <v>-0.0704</v>
      </c>
    </row>
    <row r="79">
      <c r="A79" s="2" t="inlineStr">
        <is>
          <t>BHP.AX</t>
        </is>
      </c>
      <c r="B79" s="2" t="inlineStr">
        <is>
          <t>BHP Group Ltd</t>
        </is>
      </c>
      <c r="C79" s="2" t="inlineStr">
        <is>
          <t>AUD</t>
        </is>
      </c>
      <c r="D79" s="2" t="n">
        <v>2024</v>
      </c>
      <c r="E79" s="9" t="n">
        <v>45657</v>
      </c>
      <c r="F79" s="2" t="n">
        <v>50.13</v>
      </c>
      <c r="G79" s="2" t="n">
        <v>50.605</v>
      </c>
      <c r="H79" s="2" t="n">
        <v>38.28</v>
      </c>
      <c r="I79" s="2" t="n">
        <v>39.55</v>
      </c>
      <c r="J79" s="2" t="n">
        <v>43.1465</v>
      </c>
      <c r="K79" s="2" t="n">
        <v>2.2062</v>
      </c>
      <c r="L79" s="10" t="n">
        <v>0.0558</v>
      </c>
      <c r="M79" s="10" t="n">
        <v>0.0385</v>
      </c>
      <c r="N79" s="2" t="n">
        <v>38.2063</v>
      </c>
      <c r="O79" s="2" t="n">
        <v>2026</v>
      </c>
      <c r="P79" s="2" t="n">
        <v>60.72</v>
      </c>
      <c r="Q79" s="10" t="n">
        <v>0.5893</v>
      </c>
    </row>
    <row r="80">
      <c r="A80" s="2" t="inlineStr">
        <is>
          <t>BHP.AX</t>
        </is>
      </c>
      <c r="B80" s="2" t="inlineStr">
        <is>
          <t>BHP Group Ltd</t>
        </is>
      </c>
      <c r="C80" s="2" t="inlineStr">
        <is>
          <t>AUD</t>
        </is>
      </c>
      <c r="D80" s="2" t="n">
        <v>2025</v>
      </c>
      <c r="E80" s="9" t="n">
        <v>46022</v>
      </c>
      <c r="F80" s="2" t="n">
        <v>39.5</v>
      </c>
      <c r="G80" s="2" t="n">
        <v>46.03</v>
      </c>
      <c r="H80" s="2" t="n">
        <v>33.25</v>
      </c>
      <c r="I80" s="2" t="n">
        <v>45.49</v>
      </c>
      <c r="J80" s="2" t="n">
        <v>40.3183</v>
      </c>
      <c r="K80" s="2" t="n">
        <v>1.7102</v>
      </c>
      <c r="L80" s="10" t="n">
        <v>0.0376</v>
      </c>
      <c r="M80" s="10" t="n">
        <v>0.039</v>
      </c>
      <c r="N80" s="2" t="n">
        <v>45.618</v>
      </c>
      <c r="O80" s="2" t="n">
        <v>2027</v>
      </c>
      <c r="P80" s="2" t="n"/>
      <c r="Q80" s="10" t="n"/>
    </row>
    <row r="81">
      <c r="A81" s="2" t="inlineStr">
        <is>
          <t>BHP.AX</t>
        </is>
      </c>
      <c r="B81" s="2" t="inlineStr">
        <is>
          <t>BHP Group Ltd</t>
        </is>
      </c>
      <c r="C81" s="2" t="inlineStr">
        <is>
          <t>AUD</t>
        </is>
      </c>
      <c r="D81" s="2" t="n">
        <v>2026</v>
      </c>
      <c r="E81" s="9" t="n">
        <v>46290</v>
      </c>
      <c r="F81" s="2" t="n">
        <v>45.53</v>
      </c>
      <c r="G81" s="2" t="n">
        <v>68.77</v>
      </c>
      <c r="H81" s="2" t="n">
        <v>45.37</v>
      </c>
      <c r="I81" s="2" t="n">
        <v>60.72</v>
      </c>
      <c r="J81" s="2" t="n">
        <v>57.0201</v>
      </c>
      <c r="K81" s="2" t="n">
        <v>2.4184</v>
      </c>
      <c r="L81" s="10" t="n">
        <v>0.0398</v>
      </c>
      <c r="M81" s="10" t="n">
        <v>0.039</v>
      </c>
      <c r="N81" s="2" t="n">
        <v>60.6195</v>
      </c>
      <c r="O81" s="2" t="n">
        <v>2028</v>
      </c>
      <c r="P81" s="2" t="n"/>
      <c r="Q81" s="10" t="n"/>
    </row>
    <row r="82">
      <c r="A82" s="2" t="inlineStr">
        <is>
          <t>EQX</t>
        </is>
      </c>
      <c r="B82" s="2" t="inlineStr">
        <is>
          <t>Equinox Gold Corp</t>
        </is>
      </c>
      <c r="C82" s="2" t="inlineStr">
        <is>
          <t>USD</t>
        </is>
      </c>
      <c r="D82" s="2" t="n">
        <v>2019</v>
      </c>
      <c r="E82" s="9" t="n">
        <v>43830</v>
      </c>
      <c r="F82" s="2" t="n">
        <v>0.75</v>
      </c>
      <c r="G82" s="2" t="n">
        <v>8.18</v>
      </c>
      <c r="H82" s="2" t="n">
        <v>0.73</v>
      </c>
      <c r="I82" s="2" t="n">
        <v>7.7</v>
      </c>
      <c r="J82" s="2" t="n">
        <v>2.8306</v>
      </c>
      <c r="K82" s="2" t="n">
        <v>0</v>
      </c>
      <c r="L82" s="10" t="n">
        <v>0</v>
      </c>
      <c r="M82" s="10" t="n">
        <v>0.0158</v>
      </c>
      <c r="N82" s="2" t="n">
        <v>7.9472</v>
      </c>
      <c r="O82" s="2" t="n">
        <v>2021</v>
      </c>
      <c r="P82" s="2" t="n">
        <v>6.76</v>
      </c>
      <c r="Q82" s="10" t="n">
        <v>-0.1494</v>
      </c>
    </row>
    <row r="83">
      <c r="A83" s="2" t="inlineStr">
        <is>
          <t>EQX</t>
        </is>
      </c>
      <c r="B83" s="2" t="inlineStr">
        <is>
          <t>Equinox Gold Corp</t>
        </is>
      </c>
      <c r="C83" s="2" t="inlineStr">
        <is>
          <t>USD</t>
        </is>
      </c>
      <c r="D83" s="2" t="n">
        <v>2020</v>
      </c>
      <c r="E83" s="9" t="n">
        <v>44196</v>
      </c>
      <c r="F83" s="2" t="n">
        <v>7.9</v>
      </c>
      <c r="G83" s="2" t="n">
        <v>13.662</v>
      </c>
      <c r="H83" s="2" t="n">
        <v>4.63</v>
      </c>
      <c r="I83" s="2" t="n">
        <v>10.34</v>
      </c>
      <c r="J83" s="2" t="n">
        <v>9.9641</v>
      </c>
      <c r="K83" s="2" t="n">
        <v>0</v>
      </c>
      <c r="L83" s="10" t="n">
        <v>0</v>
      </c>
      <c r="M83" s="10" t="n">
        <v>0.0013</v>
      </c>
      <c r="N83" s="2" t="n">
        <v>10.3669</v>
      </c>
      <c r="O83" s="2" t="n">
        <v>2022</v>
      </c>
      <c r="P83" s="2" t="n">
        <v>3.28</v>
      </c>
      <c r="Q83" s="10" t="n">
        <v>-0.6836</v>
      </c>
    </row>
    <row r="84">
      <c r="A84" s="2" t="inlineStr">
        <is>
          <t>EQX</t>
        </is>
      </c>
      <c r="B84" s="2" t="inlineStr">
        <is>
          <t>Equinox Gold Corp</t>
        </is>
      </c>
      <c r="C84" s="2" t="inlineStr">
        <is>
          <t>USD</t>
        </is>
      </c>
      <c r="D84" s="2" t="n">
        <v>2021</v>
      </c>
      <c r="E84" s="9" t="n">
        <v>44561</v>
      </c>
      <c r="F84" s="2" t="n">
        <v>10.8</v>
      </c>
      <c r="G84" s="2" t="n">
        <v>11.24</v>
      </c>
      <c r="H84" s="2" t="n">
        <v>5.9</v>
      </c>
      <c r="I84" s="2" t="n">
        <v>6.76</v>
      </c>
      <c r="J84" s="2" t="n">
        <v>7.9372</v>
      </c>
      <c r="K84" s="2" t="n">
        <v>0</v>
      </c>
      <c r="L84" s="10" t="n">
        <v>0</v>
      </c>
      <c r="M84" s="10" t="n">
        <v>0.0073</v>
      </c>
      <c r="N84" s="2" t="n">
        <v>6.8594</v>
      </c>
      <c r="O84" s="2" t="n">
        <v>2023</v>
      </c>
      <c r="P84" s="2" t="n">
        <v>4.89</v>
      </c>
      <c r="Q84" s="10" t="n">
        <v>-0.2871</v>
      </c>
    </row>
    <row r="85">
      <c r="A85" s="2" t="inlineStr">
        <is>
          <t>EQX</t>
        </is>
      </c>
      <c r="B85" s="2" t="inlineStr">
        <is>
          <t>Equinox Gold Corp</t>
        </is>
      </c>
      <c r="C85" s="2" t="inlineStr">
        <is>
          <t>USD</t>
        </is>
      </c>
      <c r="D85" s="2" t="n">
        <v>2022</v>
      </c>
      <c r="E85" s="9" t="n">
        <v>44925</v>
      </c>
      <c r="F85" s="2" t="n">
        <v>6.69</v>
      </c>
      <c r="G85" s="2" t="n">
        <v>9.07</v>
      </c>
      <c r="H85" s="2" t="n">
        <v>2.35</v>
      </c>
      <c r="I85" s="2" t="n">
        <v>3.28</v>
      </c>
      <c r="J85" s="2" t="n">
        <v>5.1929</v>
      </c>
      <c r="K85" s="2" t="n">
        <v>0</v>
      </c>
      <c r="L85" s="10" t="n">
        <v>0</v>
      </c>
      <c r="M85" s="10" t="n">
        <v>0.0443</v>
      </c>
      <c r="N85" s="2" t="n">
        <v>3.5839</v>
      </c>
      <c r="O85" s="2" t="n">
        <v>2024</v>
      </c>
      <c r="P85" s="2" t="n">
        <v>5.02</v>
      </c>
      <c r="Q85" s="10" t="n">
        <v>0.4007</v>
      </c>
    </row>
    <row r="86">
      <c r="A86" s="2" t="inlineStr">
        <is>
          <t>EQX</t>
        </is>
      </c>
      <c r="B86" s="2" t="inlineStr">
        <is>
          <t>Equinox Gold Corp</t>
        </is>
      </c>
      <c r="C86" s="2" t="inlineStr">
        <is>
          <t>USD</t>
        </is>
      </c>
      <c r="D86" s="2" t="n">
        <v>2023</v>
      </c>
      <c r="E86" s="9" t="n">
        <v>45289</v>
      </c>
      <c r="F86" s="2" t="n">
        <v>3.35</v>
      </c>
      <c r="G86" s="2" t="n">
        <v>5.845</v>
      </c>
      <c r="H86" s="2" t="n">
        <v>3.32</v>
      </c>
      <c r="I86" s="2" t="n">
        <v>4.89</v>
      </c>
      <c r="J86" s="2" t="n">
        <v>4.687</v>
      </c>
      <c r="K86" s="2" t="n">
        <v>0</v>
      </c>
      <c r="L86" s="10" t="n">
        <v>0</v>
      </c>
      <c r="M86" s="10" t="n">
        <v>0.0425</v>
      </c>
      <c r="N86" s="2" t="n">
        <v>5.3238</v>
      </c>
      <c r="O86" s="2" t="n">
        <v>2025</v>
      </c>
      <c r="P86" s="2" t="n">
        <v>14.04</v>
      </c>
      <c r="Q86" s="10" t="n">
        <v>1.6372</v>
      </c>
    </row>
    <row r="87">
      <c r="A87" s="2" t="inlineStr">
        <is>
          <t>EQX</t>
        </is>
      </c>
      <c r="B87" s="2" t="inlineStr">
        <is>
          <t>Equinox Gold Corp</t>
        </is>
      </c>
      <c r="C87" s="2" t="inlineStr">
        <is>
          <t>USD</t>
        </is>
      </c>
      <c r="D87" s="2" t="n">
        <v>2024</v>
      </c>
      <c r="E87" s="9" t="n">
        <v>45657</v>
      </c>
      <c r="F87" s="2" t="n">
        <v>4.93</v>
      </c>
      <c r="G87" s="2" t="n">
        <v>6.5</v>
      </c>
      <c r="H87" s="2" t="n">
        <v>3.95</v>
      </c>
      <c r="I87" s="2" t="n">
        <v>5.02</v>
      </c>
      <c r="J87" s="2" t="n">
        <v>5.3678</v>
      </c>
      <c r="K87" s="2" t="n">
        <v>0</v>
      </c>
      <c r="L87" s="10" t="n">
        <v>0</v>
      </c>
      <c r="M87" s="10" t="n">
        <v>0.0424</v>
      </c>
      <c r="N87" s="2" t="n">
        <v>5.4643</v>
      </c>
      <c r="O87" s="2" t="n">
        <v>2026</v>
      </c>
      <c r="P87" s="2" t="n">
        <v>11.94</v>
      </c>
      <c r="Q87" s="10" t="n">
        <v>1.1851</v>
      </c>
    </row>
    <row r="88">
      <c r="A88" s="2" t="inlineStr">
        <is>
          <t>EQX</t>
        </is>
      </c>
      <c r="B88" s="2" t="inlineStr">
        <is>
          <t>Equinox Gold Corp</t>
        </is>
      </c>
      <c r="C88" s="2" t="inlineStr">
        <is>
          <t>USD</t>
        </is>
      </c>
      <c r="D88" s="2" t="n">
        <v>2025</v>
      </c>
      <c r="E88" s="9" t="n">
        <v>46022</v>
      </c>
      <c r="F88" s="2" t="n">
        <v>5.13</v>
      </c>
      <c r="G88" s="2" t="n">
        <v>15.1</v>
      </c>
      <c r="H88" s="2" t="n">
        <v>5.04</v>
      </c>
      <c r="I88" s="2" t="n">
        <v>14.04</v>
      </c>
      <c r="J88" s="2" t="n">
        <v>8.4156</v>
      </c>
      <c r="K88" s="2" t="n">
        <v>0</v>
      </c>
      <c r="L88" s="10" t="n">
        <v>0</v>
      </c>
      <c r="M88" s="10" t="n">
        <v>0.0348</v>
      </c>
      <c r="N88" s="2" t="n">
        <v>15.052</v>
      </c>
      <c r="O88" s="2" t="n">
        <v>2027</v>
      </c>
      <c r="P88" s="2" t="n"/>
      <c r="Q88" s="10" t="n"/>
    </row>
    <row r="89">
      <c r="A89" s="2" t="inlineStr">
        <is>
          <t>EQX</t>
        </is>
      </c>
      <c r="B89" s="2" t="inlineStr">
        <is>
          <t>Equinox Gold Corp</t>
        </is>
      </c>
      <c r="C89" s="2" t="inlineStr">
        <is>
          <t>USD</t>
        </is>
      </c>
      <c r="D89" s="2" t="n">
        <v>2026</v>
      </c>
      <c r="E89" s="9" t="n">
        <v>46290</v>
      </c>
      <c r="F89" s="2" t="n">
        <v>14.39</v>
      </c>
      <c r="G89" s="2" t="n">
        <v>18.96</v>
      </c>
      <c r="H89" s="2" t="n">
        <v>8.484999999999999</v>
      </c>
      <c r="I89" s="2" t="n">
        <v>11.94</v>
      </c>
      <c r="J89" s="2" t="n">
        <v>13.1057</v>
      </c>
      <c r="K89" s="2" t="n">
        <v>0.053</v>
      </c>
      <c r="L89" s="10" t="n">
        <v>0.0044</v>
      </c>
      <c r="M89" s="10" t="n">
        <v>0.0348</v>
      </c>
      <c r="N89" s="2" t="n">
        <v>12.6875</v>
      </c>
      <c r="O89" s="2" t="n">
        <v>2028</v>
      </c>
      <c r="P89" s="2" t="n"/>
      <c r="Q89" s="10" t="n"/>
    </row>
    <row r="90">
      <c r="A90" s="2" t="inlineStr">
        <is>
          <t>EVN.AX</t>
        </is>
      </c>
      <c r="B90" s="2" t="inlineStr">
        <is>
          <t>Evolution Mining Ltd</t>
        </is>
      </c>
      <c r="C90" s="2" t="inlineStr">
        <is>
          <t>AUD</t>
        </is>
      </c>
      <c r="D90" s="2" t="n">
        <v>2017</v>
      </c>
      <c r="E90" s="9" t="n">
        <v>43098</v>
      </c>
      <c r="F90" s="2" t="n">
        <v>2.05</v>
      </c>
      <c r="G90" s="2" t="n">
        <v>2.69</v>
      </c>
      <c r="H90" s="2" t="n">
        <v>1.89</v>
      </c>
      <c r="I90" s="2" t="n">
        <v>2.65</v>
      </c>
      <c r="J90" s="2" t="n">
        <v>2.3197</v>
      </c>
      <c r="K90" s="2" t="n">
        <v>0.05</v>
      </c>
      <c r="L90" s="10" t="n">
        <v>0.0189</v>
      </c>
      <c r="M90" s="10" t="n">
        <v>0.02</v>
      </c>
      <c r="N90" s="2" t="n">
        <v>2.656</v>
      </c>
      <c r="O90" s="2" t="n">
        <v>2019</v>
      </c>
      <c r="P90" s="2" t="n">
        <v>3.8</v>
      </c>
      <c r="Q90" s="10" t="n">
        <v>0.4307</v>
      </c>
    </row>
    <row r="91">
      <c r="A91" s="2" t="inlineStr">
        <is>
          <t>EVN.AX</t>
        </is>
      </c>
      <c r="B91" s="2" t="inlineStr">
        <is>
          <t>Evolution Mining Ltd</t>
        </is>
      </c>
      <c r="C91" s="2" t="inlineStr">
        <is>
          <t>AUD</t>
        </is>
      </c>
      <c r="D91" s="2" t="n">
        <v>2018</v>
      </c>
      <c r="E91" s="9" t="n">
        <v>43465</v>
      </c>
      <c r="F91" s="2" t="n">
        <v>2.65</v>
      </c>
      <c r="G91" s="2" t="n">
        <v>3.69</v>
      </c>
      <c r="H91" s="2" t="n">
        <v>2.49</v>
      </c>
      <c r="I91" s="2" t="n">
        <v>3.69</v>
      </c>
      <c r="J91" s="2" t="n">
        <v>3.0382</v>
      </c>
      <c r="K91" s="2" t="n">
        <v>0.075</v>
      </c>
      <c r="L91" s="10" t="n">
        <v>0.0203</v>
      </c>
      <c r="M91" s="10" t="n">
        <v>0.019</v>
      </c>
      <c r="N91" s="2" t="n">
        <v>3.6802</v>
      </c>
      <c r="O91" s="2" t="n">
        <v>2020</v>
      </c>
      <c r="P91" s="2" t="n">
        <v>4.99</v>
      </c>
      <c r="Q91" s="10" t="n">
        <v>0.3559</v>
      </c>
    </row>
    <row r="92">
      <c r="A92" s="2" t="inlineStr">
        <is>
          <t>EVN.AX</t>
        </is>
      </c>
      <c r="B92" s="2" t="inlineStr">
        <is>
          <t>Evolution Mining Ltd</t>
        </is>
      </c>
      <c r="C92" s="2" t="inlineStr">
        <is>
          <t>AUD</t>
        </is>
      </c>
      <c r="D92" s="2" t="n">
        <v>2019</v>
      </c>
      <c r="E92" s="9" t="n">
        <v>43830</v>
      </c>
      <c r="F92" s="2" t="n">
        <v>3.69</v>
      </c>
      <c r="G92" s="2" t="n">
        <v>5.585</v>
      </c>
      <c r="H92" s="2" t="n">
        <v>3.04</v>
      </c>
      <c r="I92" s="2" t="n">
        <v>3.8</v>
      </c>
      <c r="J92" s="2" t="n">
        <v>4.0952</v>
      </c>
      <c r="K92" s="2" t="n">
        <v>0.095</v>
      </c>
      <c r="L92" s="10" t="n">
        <v>0.025</v>
      </c>
      <c r="M92" s="10" t="n">
        <v>0.008999999999999999</v>
      </c>
      <c r="N92" s="2" t="n">
        <v>3.6803</v>
      </c>
      <c r="O92" s="2" t="n">
        <v>2021</v>
      </c>
      <c r="P92" s="2" t="n">
        <v>4.06</v>
      </c>
      <c r="Q92" s="10" t="n">
        <v>0.1032</v>
      </c>
    </row>
    <row r="93">
      <c r="A93" s="2" t="inlineStr">
        <is>
          <t>EVN.AX</t>
        </is>
      </c>
      <c r="B93" s="2" t="inlineStr">
        <is>
          <t>Evolution Mining Ltd</t>
        </is>
      </c>
      <c r="C93" s="2" t="inlineStr">
        <is>
          <t>AUD</t>
        </is>
      </c>
      <c r="D93" s="2" t="n">
        <v>2020</v>
      </c>
      <c r="E93" s="9" t="n">
        <v>44196</v>
      </c>
      <c r="F93" s="2" t="n">
        <v>3.78</v>
      </c>
      <c r="G93" s="2" t="n">
        <v>6.585</v>
      </c>
      <c r="H93" s="2" t="n">
        <v>3.285</v>
      </c>
      <c r="I93" s="2" t="n">
        <v>4.99</v>
      </c>
      <c r="J93" s="2" t="n">
        <v>5.1846</v>
      </c>
      <c r="K93" s="2" t="n">
        <v>0.16</v>
      </c>
      <c r="L93" s="10" t="n">
        <v>0.0321</v>
      </c>
      <c r="M93" s="10" t="n">
        <v>0.001</v>
      </c>
      <c r="N93" s="2" t="n">
        <v>4.6894</v>
      </c>
      <c r="O93" s="2" t="n">
        <v>2022</v>
      </c>
      <c r="P93" s="2" t="n">
        <v>2.98</v>
      </c>
      <c r="Q93" s="10" t="n">
        <v>-0.3645</v>
      </c>
    </row>
    <row r="94">
      <c r="A94" s="2" t="inlineStr">
        <is>
          <t>EVN.AX</t>
        </is>
      </c>
      <c r="B94" s="2" t="inlineStr">
        <is>
          <t>Evolution Mining Ltd</t>
        </is>
      </c>
      <c r="C94" s="2" t="inlineStr">
        <is>
          <t>AUD</t>
        </is>
      </c>
      <c r="D94" s="2" t="n">
        <v>2021</v>
      </c>
      <c r="E94" s="9" t="n">
        <v>44561</v>
      </c>
      <c r="F94" s="2" t="n">
        <v>5.06</v>
      </c>
      <c r="G94" s="2" t="n">
        <v>5.44</v>
      </c>
      <c r="H94" s="2" t="n">
        <v>3.27</v>
      </c>
      <c r="I94" s="2" t="n">
        <v>4.06</v>
      </c>
      <c r="J94" s="2" t="n">
        <v>4.305</v>
      </c>
      <c r="K94" s="2" t="n">
        <v>0.12</v>
      </c>
      <c r="L94" s="10" t="n">
        <v>0.0296</v>
      </c>
      <c r="M94" s="10" t="n">
        <v>0.006</v>
      </c>
      <c r="N94" s="2" t="n">
        <v>3.8732</v>
      </c>
      <c r="O94" s="2" t="n">
        <v>2023</v>
      </c>
      <c r="P94" s="2" t="n">
        <v>3.96</v>
      </c>
      <c r="Q94" s="10" t="n">
        <v>0.0224</v>
      </c>
    </row>
    <row r="95">
      <c r="A95" s="2" t="inlineStr">
        <is>
          <t>EVN.AX</t>
        </is>
      </c>
      <c r="B95" s="2" t="inlineStr">
        <is>
          <t>Evolution Mining Ltd</t>
        </is>
      </c>
      <c r="C95" s="2" t="inlineStr">
        <is>
          <t>AUD</t>
        </is>
      </c>
      <c r="D95" s="2" t="n">
        <v>2022</v>
      </c>
      <c r="E95" s="9" t="n">
        <v>44925</v>
      </c>
      <c r="F95" s="2" t="n">
        <v>4.04</v>
      </c>
      <c r="G95" s="2" t="n">
        <v>4.75</v>
      </c>
      <c r="H95" s="2" t="n">
        <v>1.8</v>
      </c>
      <c r="I95" s="2" t="n">
        <v>2.98</v>
      </c>
      <c r="J95" s="2" t="n">
        <v>3.1492</v>
      </c>
      <c r="K95" s="2" t="n">
        <v>0.06</v>
      </c>
      <c r="L95" s="10" t="n">
        <v>0.0201</v>
      </c>
      <c r="M95" s="10" t="n">
        <v>0.035</v>
      </c>
      <c r="N95" s="2" t="n">
        <v>3.0699</v>
      </c>
      <c r="O95" s="2" t="n">
        <v>2024</v>
      </c>
      <c r="P95" s="2" t="n">
        <v>4.81</v>
      </c>
      <c r="Q95" s="10" t="n">
        <v>0.5668</v>
      </c>
    </row>
    <row r="96">
      <c r="A96" s="2" t="inlineStr">
        <is>
          <t>EVN.AX</t>
        </is>
      </c>
      <c r="B96" s="2" t="inlineStr">
        <is>
          <t>Evolution Mining Ltd</t>
        </is>
      </c>
      <c r="C96" s="2" t="inlineStr">
        <is>
          <t>AUD</t>
        </is>
      </c>
      <c r="D96" s="2" t="n">
        <v>2023</v>
      </c>
      <c r="E96" s="9" t="n">
        <v>45289</v>
      </c>
      <c r="F96" s="2" t="n">
        <v>3.01</v>
      </c>
      <c r="G96" s="2" t="n">
        <v>4.23</v>
      </c>
      <c r="H96" s="2" t="n">
        <v>2.555</v>
      </c>
      <c r="I96" s="2" t="n">
        <v>3.96</v>
      </c>
      <c r="J96" s="2" t="n">
        <v>3.4562</v>
      </c>
      <c r="K96" s="2" t="n">
        <v>0.04</v>
      </c>
      <c r="L96" s="10" t="n">
        <v>0.0101</v>
      </c>
      <c r="M96" s="10" t="n">
        <v>0.037</v>
      </c>
      <c r="N96" s="2" t="n">
        <v>4.1789</v>
      </c>
      <c r="O96" s="2" t="n">
        <v>2025</v>
      </c>
      <c r="P96" s="2" t="n">
        <v>12.68</v>
      </c>
      <c r="Q96" s="10" t="n">
        <v>2.0343</v>
      </c>
    </row>
    <row r="97">
      <c r="A97" s="2" t="inlineStr">
        <is>
          <t>EVN.AX</t>
        </is>
      </c>
      <c r="B97" s="2" t="inlineStr">
        <is>
          <t>Evolution Mining Ltd</t>
        </is>
      </c>
      <c r="C97" s="2" t="inlineStr">
        <is>
          <t>AUD</t>
        </is>
      </c>
      <c r="D97" s="2" t="n">
        <v>2024</v>
      </c>
      <c r="E97" s="9" t="n">
        <v>45657</v>
      </c>
      <c r="F97" s="2" t="n">
        <v>3.92</v>
      </c>
      <c r="G97" s="2" t="n">
        <v>5.38</v>
      </c>
      <c r="H97" s="2" t="n">
        <v>2.83</v>
      </c>
      <c r="I97" s="2" t="n">
        <v>4.81</v>
      </c>
      <c r="J97" s="2" t="n">
        <v>4.0338</v>
      </c>
      <c r="K97" s="2" t="n">
        <v>0.07000000000000001</v>
      </c>
      <c r="L97" s="10" t="n">
        <v>0.0146</v>
      </c>
      <c r="M97" s="10" t="n">
        <v>0.0385</v>
      </c>
      <c r="N97" s="2" t="n">
        <v>5.046</v>
      </c>
      <c r="O97" s="2" t="n">
        <v>2026</v>
      </c>
      <c r="P97" s="2" t="n">
        <v>13.71</v>
      </c>
      <c r="Q97" s="10" t="n">
        <v>1.717</v>
      </c>
    </row>
    <row r="98">
      <c r="A98" s="2" t="inlineStr">
        <is>
          <t>EVN.AX</t>
        </is>
      </c>
      <c r="B98" s="2" t="inlineStr">
        <is>
          <t>Evolution Mining Ltd</t>
        </is>
      </c>
      <c r="C98" s="2" t="inlineStr">
        <is>
          <t>AUD</t>
        </is>
      </c>
      <c r="D98" s="2" t="n">
        <v>2025</v>
      </c>
      <c r="E98" s="9" t="n">
        <v>46022</v>
      </c>
      <c r="F98" s="2" t="n">
        <v>4.83</v>
      </c>
      <c r="G98" s="2" t="n">
        <v>13.3</v>
      </c>
      <c r="H98" s="2" t="n">
        <v>4.8</v>
      </c>
      <c r="I98" s="2" t="n">
        <v>12.68</v>
      </c>
      <c r="J98" s="2" t="n">
        <v>8.5276</v>
      </c>
      <c r="K98" s="2" t="n">
        <v>0.2</v>
      </c>
      <c r="L98" s="10" t="n">
        <v>0.0158</v>
      </c>
      <c r="M98" s="10" t="n">
        <v>0.039</v>
      </c>
      <c r="N98" s="2" t="n">
        <v>13.2829</v>
      </c>
      <c r="O98" s="2" t="n">
        <v>2027</v>
      </c>
      <c r="P98" s="2" t="n"/>
      <c r="Q98" s="10" t="n"/>
    </row>
    <row r="99">
      <c r="A99" s="2" t="inlineStr">
        <is>
          <t>EVN.AX</t>
        </is>
      </c>
      <c r="B99" s="2" t="inlineStr">
        <is>
          <t>Evolution Mining Ltd</t>
        </is>
      </c>
      <c r="C99" s="2" t="inlineStr">
        <is>
          <t>AUD</t>
        </is>
      </c>
      <c r="D99" s="2" t="n">
        <v>2026</v>
      </c>
      <c r="E99" s="9" t="n">
        <v>46290</v>
      </c>
      <c r="F99" s="2" t="n">
        <v>12.57</v>
      </c>
      <c r="G99" s="2" t="n">
        <v>17.75</v>
      </c>
      <c r="H99" s="2" t="n">
        <v>10.205</v>
      </c>
      <c r="I99" s="2" t="n">
        <v>13.71</v>
      </c>
      <c r="J99" s="2" t="n">
        <v>13.3245</v>
      </c>
      <c r="K99" s="2" t="n">
        <v>0.41</v>
      </c>
      <c r="L99" s="10" t="n">
        <v>0.0299</v>
      </c>
      <c r="M99" s="10" t="n">
        <v>0.039</v>
      </c>
      <c r="N99" s="2" t="n">
        <v>13.9617</v>
      </c>
      <c r="O99" s="2" t="n">
        <v>2028</v>
      </c>
      <c r="P99" s="2" t="n"/>
      <c r="Q99" s="10" t="n"/>
    </row>
    <row r="100">
      <c r="A100" s="2" t="inlineStr">
        <is>
          <t>FCX</t>
        </is>
      </c>
      <c r="B100" s="2" t="inlineStr">
        <is>
          <t>Freeport-McMoRan Inc</t>
        </is>
      </c>
      <c r="C100" s="2" t="inlineStr">
        <is>
          <t>USD</t>
        </is>
      </c>
      <c r="D100" s="2" t="n">
        <v>2017</v>
      </c>
      <c r="E100" s="9" t="n">
        <v>43098</v>
      </c>
      <c r="F100" s="2" t="n">
        <v>13.49</v>
      </c>
      <c r="G100" s="2" t="n">
        <v>19.45</v>
      </c>
      <c r="H100" s="2" t="n">
        <v>11.05</v>
      </c>
      <c r="I100" s="2" t="n">
        <v>18.96</v>
      </c>
      <c r="J100" s="2" t="n">
        <v>13.9081</v>
      </c>
      <c r="K100" s="2" t="n">
        <v>0</v>
      </c>
      <c r="L100" s="10" t="n">
        <v>0</v>
      </c>
      <c r="M100" s="10" t="n">
        <v>0.0189</v>
      </c>
      <c r="N100" s="2" t="n">
        <v>19.6904</v>
      </c>
      <c r="O100" s="2" t="n">
        <v>2019</v>
      </c>
      <c r="P100" s="2" t="n">
        <v>13.12</v>
      </c>
      <c r="Q100" s="10" t="n">
        <v>-0.3337</v>
      </c>
    </row>
    <row r="101">
      <c r="A101" s="2" t="inlineStr">
        <is>
          <t>FCX</t>
        </is>
      </c>
      <c r="B101" s="2" t="inlineStr">
        <is>
          <t>Freeport-McMoRan Inc</t>
        </is>
      </c>
      <c r="C101" s="2" t="inlineStr">
        <is>
          <t>USD</t>
        </is>
      </c>
      <c r="D101" s="2" t="n">
        <v>2018</v>
      </c>
      <c r="E101" s="9" t="n">
        <v>43465</v>
      </c>
      <c r="F101" s="2" t="n">
        <v>19.05</v>
      </c>
      <c r="G101" s="2" t="n">
        <v>20.25</v>
      </c>
      <c r="H101" s="2" t="n">
        <v>9.6</v>
      </c>
      <c r="I101" s="2" t="n">
        <v>10.31</v>
      </c>
      <c r="J101" s="2" t="n">
        <v>15.6062</v>
      </c>
      <c r="K101" s="2" t="n">
        <v>0.15</v>
      </c>
      <c r="L101" s="10" t="n">
        <v>0.0145</v>
      </c>
      <c r="M101" s="10" t="n">
        <v>0.0249</v>
      </c>
      <c r="N101" s="2" t="n">
        <v>10.5257</v>
      </c>
      <c r="O101" s="2" t="n">
        <v>2020</v>
      </c>
      <c r="P101" s="2" t="n">
        <v>26.02</v>
      </c>
      <c r="Q101" s="10" t="n">
        <v>1.4721</v>
      </c>
    </row>
    <row r="102">
      <c r="A102" s="2" t="inlineStr">
        <is>
          <t>FCX</t>
        </is>
      </c>
      <c r="B102" s="2" t="inlineStr">
        <is>
          <t>Freeport-McMoRan Inc</t>
        </is>
      </c>
      <c r="C102" s="2" t="inlineStr">
        <is>
          <t>USD</t>
        </is>
      </c>
      <c r="D102" s="2" t="n">
        <v>2019</v>
      </c>
      <c r="E102" s="9" t="n">
        <v>43830</v>
      </c>
      <c r="F102" s="2" t="n">
        <v>10.01</v>
      </c>
      <c r="G102" s="2" t="n">
        <v>14.68</v>
      </c>
      <c r="H102" s="2" t="n">
        <v>8.43</v>
      </c>
      <c r="I102" s="2" t="n">
        <v>13.12</v>
      </c>
      <c r="J102" s="2" t="n">
        <v>11.235</v>
      </c>
      <c r="K102" s="2" t="n">
        <v>0.2</v>
      </c>
      <c r="L102" s="10" t="n">
        <v>0.0152</v>
      </c>
      <c r="M102" s="10" t="n">
        <v>0.0158</v>
      </c>
      <c r="N102" s="2" t="n">
        <v>13.1346</v>
      </c>
      <c r="O102" s="2" t="n">
        <v>2021</v>
      </c>
      <c r="P102" s="2" t="n">
        <v>41.73</v>
      </c>
      <c r="Q102" s="10" t="n">
        <v>2.1771</v>
      </c>
    </row>
    <row r="103">
      <c r="A103" s="2" t="inlineStr">
        <is>
          <t>FCX</t>
        </is>
      </c>
      <c r="B103" s="2" t="inlineStr">
        <is>
          <t>Freeport-McMoRan Inc</t>
        </is>
      </c>
      <c r="C103" s="2" t="inlineStr">
        <is>
          <t>USD</t>
        </is>
      </c>
      <c r="D103" s="2" t="n">
        <v>2020</v>
      </c>
      <c r="E103" s="9" t="n">
        <v>44196</v>
      </c>
      <c r="F103" s="2" t="n">
        <v>13.35</v>
      </c>
      <c r="G103" s="2" t="n">
        <v>26.83</v>
      </c>
      <c r="H103" s="2" t="n">
        <v>4.82</v>
      </c>
      <c r="I103" s="2" t="n">
        <v>26.02</v>
      </c>
      <c r="J103" s="2" t="n">
        <v>13.754</v>
      </c>
      <c r="K103" s="2" t="n">
        <v>0.05</v>
      </c>
      <c r="L103" s="10" t="n">
        <v>0.0019</v>
      </c>
      <c r="M103" s="10" t="n">
        <v>0.0013</v>
      </c>
      <c r="N103" s="2" t="n">
        <v>25.9877</v>
      </c>
      <c r="O103" s="2" t="n">
        <v>2022</v>
      </c>
      <c r="P103" s="2" t="n">
        <v>38</v>
      </c>
      <c r="Q103" s="10" t="n">
        <v>0.4622</v>
      </c>
    </row>
    <row r="104">
      <c r="A104" s="2" t="inlineStr">
        <is>
          <t>FCX</t>
        </is>
      </c>
      <c r="B104" s="2" t="inlineStr">
        <is>
          <t>Freeport-McMoRan Inc</t>
        </is>
      </c>
      <c r="C104" s="2" t="inlineStr">
        <is>
          <t>USD</t>
        </is>
      </c>
      <c r="D104" s="2" t="n">
        <v>2021</v>
      </c>
      <c r="E104" s="9" t="n">
        <v>44561</v>
      </c>
      <c r="F104" s="2" t="n">
        <v>27.24</v>
      </c>
      <c r="G104" s="2" t="n">
        <v>46.1</v>
      </c>
      <c r="H104" s="2" t="n">
        <v>24.71</v>
      </c>
      <c r="I104" s="2" t="n">
        <v>41.73</v>
      </c>
      <c r="J104" s="2" t="n">
        <v>36.1813</v>
      </c>
      <c r="K104" s="2" t="n">
        <v>0.225</v>
      </c>
      <c r="L104" s="10" t="n">
        <v>0.0054</v>
      </c>
      <c r="M104" s="10" t="n">
        <v>0.0073</v>
      </c>
      <c r="N104" s="2" t="n">
        <v>41.8896</v>
      </c>
      <c r="O104" s="2" t="n">
        <v>2023</v>
      </c>
      <c r="P104" s="2" t="n">
        <v>42.57</v>
      </c>
      <c r="Q104" s="10" t="n">
        <v>0.0162</v>
      </c>
    </row>
    <row r="105">
      <c r="A105" s="2" t="inlineStr">
        <is>
          <t>FCX</t>
        </is>
      </c>
      <c r="B105" s="2" t="inlineStr">
        <is>
          <t>Freeport-McMoRan Inc</t>
        </is>
      </c>
      <c r="C105" s="2" t="inlineStr">
        <is>
          <t>USD</t>
        </is>
      </c>
      <c r="D105" s="2" t="n">
        <v>2022</v>
      </c>
      <c r="E105" s="9" t="n">
        <v>44925</v>
      </c>
      <c r="F105" s="2" t="n">
        <v>41.48</v>
      </c>
      <c r="G105" s="2" t="n">
        <v>51.99</v>
      </c>
      <c r="H105" s="2" t="n">
        <v>24.8</v>
      </c>
      <c r="I105" s="2" t="n">
        <v>38</v>
      </c>
      <c r="J105" s="2" t="n">
        <v>37.0634</v>
      </c>
      <c r="K105" s="2" t="n">
        <v>0.6</v>
      </c>
      <c r="L105" s="10" t="n">
        <v>0.0158</v>
      </c>
      <c r="M105" s="10" t="n">
        <v>0.0443</v>
      </c>
      <c r="N105" s="2" t="n">
        <v>40.2298</v>
      </c>
      <c r="O105" s="2" t="n">
        <v>2024</v>
      </c>
      <c r="P105" s="2" t="n">
        <v>38.08</v>
      </c>
      <c r="Q105" s="10" t="n">
        <v>-0.0534</v>
      </c>
    </row>
    <row r="106">
      <c r="A106" s="2" t="inlineStr">
        <is>
          <t>FCX</t>
        </is>
      </c>
      <c r="B106" s="2" t="inlineStr">
        <is>
          <t>Freeport-McMoRan Inc</t>
        </is>
      </c>
      <c r="C106" s="2" t="inlineStr">
        <is>
          <t>USD</t>
        </is>
      </c>
      <c r="D106" s="2" t="n">
        <v>2023</v>
      </c>
      <c r="E106" s="9" t="n">
        <v>45289</v>
      </c>
      <c r="F106" s="2" t="n">
        <v>37.95</v>
      </c>
      <c r="G106" s="2" t="n">
        <v>46.73</v>
      </c>
      <c r="H106" s="2" t="n">
        <v>32.83</v>
      </c>
      <c r="I106" s="2" t="n">
        <v>42.57</v>
      </c>
      <c r="J106" s="2" t="n">
        <v>39.2257</v>
      </c>
      <c r="K106" s="2" t="n">
        <v>0.6</v>
      </c>
      <c r="L106" s="10" t="n">
        <v>0.0141</v>
      </c>
      <c r="M106" s="10" t="n">
        <v>0.0425</v>
      </c>
      <c r="N106" s="2" t="n">
        <v>45.0585</v>
      </c>
      <c r="O106" s="2" t="n">
        <v>2025</v>
      </c>
      <c r="P106" s="2" t="n">
        <v>50.79</v>
      </c>
      <c r="Q106" s="10" t="n">
        <v>0.1272</v>
      </c>
    </row>
    <row r="107">
      <c r="A107" s="2" t="inlineStr">
        <is>
          <t>FCX</t>
        </is>
      </c>
      <c r="B107" s="2" t="inlineStr">
        <is>
          <t>Freeport-McMoRan Inc</t>
        </is>
      </c>
      <c r="C107" s="2" t="inlineStr">
        <is>
          <t>USD</t>
        </is>
      </c>
      <c r="D107" s="2" t="n">
        <v>2024</v>
      </c>
      <c r="E107" s="9" t="n">
        <v>45657</v>
      </c>
      <c r="F107" s="2" t="n">
        <v>41.96</v>
      </c>
      <c r="G107" s="2" t="n">
        <v>55.24</v>
      </c>
      <c r="H107" s="2" t="n">
        <v>36.26</v>
      </c>
      <c r="I107" s="2" t="n">
        <v>38.08</v>
      </c>
      <c r="J107" s="2" t="n">
        <v>45.1796</v>
      </c>
      <c r="K107" s="2" t="n">
        <v>0.6</v>
      </c>
      <c r="L107" s="10" t="n">
        <v>0.0158</v>
      </c>
      <c r="M107" s="10" t="n">
        <v>0.0424</v>
      </c>
      <c r="N107" s="2" t="n">
        <v>40.1642</v>
      </c>
      <c r="O107" s="2" t="n">
        <v>2026</v>
      </c>
      <c r="P107" s="2" t="n">
        <v>72.31</v>
      </c>
      <c r="Q107" s="10" t="n">
        <v>0.8004</v>
      </c>
    </row>
    <row r="108">
      <c r="A108" s="2" t="inlineStr">
        <is>
          <t>FCX</t>
        </is>
      </c>
      <c r="B108" s="2" t="inlineStr">
        <is>
          <t>Freeport-McMoRan Inc</t>
        </is>
      </c>
      <c r="C108" s="2" t="inlineStr">
        <is>
          <t>USD</t>
        </is>
      </c>
      <c r="D108" s="2" t="n">
        <v>2025</v>
      </c>
      <c r="E108" s="9" t="n">
        <v>46022</v>
      </c>
      <c r="F108" s="2" t="n">
        <v>38.39</v>
      </c>
      <c r="G108" s="2" t="n">
        <v>53.77</v>
      </c>
      <c r="H108" s="2" t="n">
        <v>27.66</v>
      </c>
      <c r="I108" s="2" t="n">
        <v>50.79</v>
      </c>
      <c r="J108" s="2" t="n">
        <v>40.801</v>
      </c>
      <c r="K108" s="2" t="n">
        <v>0.6</v>
      </c>
      <c r="L108" s="10" t="n">
        <v>0.0118</v>
      </c>
      <c r="M108" s="10" t="n">
        <v>0.0348</v>
      </c>
      <c r="N108" s="2" t="n">
        <v>53.1795</v>
      </c>
      <c r="O108" s="2" t="n">
        <v>2027</v>
      </c>
      <c r="P108" s="2" t="n"/>
      <c r="Q108" s="10" t="n"/>
    </row>
    <row r="109">
      <c r="A109" s="2" t="inlineStr">
        <is>
          <t>FCX</t>
        </is>
      </c>
      <c r="B109" s="2" t="inlineStr">
        <is>
          <t>Freeport-McMoRan Inc</t>
        </is>
      </c>
      <c r="C109" s="2" t="inlineStr">
        <is>
          <t>USD</t>
        </is>
      </c>
      <c r="D109" s="2" t="n">
        <v>2026</v>
      </c>
      <c r="E109" s="9" t="n">
        <v>46290</v>
      </c>
      <c r="F109" s="2" t="n">
        <v>51.73</v>
      </c>
      <c r="G109" s="2" t="n">
        <v>80.23999999999999</v>
      </c>
      <c r="H109" s="2" t="n">
        <v>50.79</v>
      </c>
      <c r="I109" s="2" t="n">
        <v>72.31</v>
      </c>
      <c r="J109" s="2" t="n">
        <v>64.211</v>
      </c>
      <c r="K109" s="2" t="n">
        <v>0.45</v>
      </c>
      <c r="L109" s="10" t="n">
        <v>0.0062</v>
      </c>
      <c r="M109" s="10" t="n">
        <v>0.0348</v>
      </c>
      <c r="N109" s="2" t="n">
        <v>76.56319999999999</v>
      </c>
      <c r="O109" s="2" t="n">
        <v>2028</v>
      </c>
      <c r="P109" s="2" t="n"/>
      <c r="Q109" s="10" t="n"/>
    </row>
    <row r="110">
      <c r="A110" s="2" t="inlineStr">
        <is>
          <t>FMG.AX</t>
        </is>
      </c>
      <c r="B110" s="2" t="inlineStr">
        <is>
          <t>Fortescue Ltd</t>
        </is>
      </c>
      <c r="C110" s="2" t="inlineStr">
        <is>
          <t>AUD</t>
        </is>
      </c>
      <c r="D110" s="2" t="n">
        <v>2017</v>
      </c>
      <c r="E110" s="9" t="n">
        <v>43098</v>
      </c>
      <c r="F110" s="2" t="n">
        <v>5.91</v>
      </c>
      <c r="G110" s="2" t="n">
        <v>7.27</v>
      </c>
      <c r="H110" s="2" t="n">
        <v>4.52</v>
      </c>
      <c r="I110" s="2" t="n">
        <v>4.88</v>
      </c>
      <c r="J110" s="2" t="n">
        <v>5.486</v>
      </c>
      <c r="K110" s="2" t="n">
        <v>0.45</v>
      </c>
      <c r="L110" s="10" t="n">
        <v>0.0922</v>
      </c>
      <c r="M110" s="10" t="n">
        <v>0.02</v>
      </c>
      <c r="N110" s="2" t="n">
        <v>4.2237</v>
      </c>
      <c r="O110" s="2" t="n">
        <v>2019</v>
      </c>
      <c r="P110" s="2" t="n">
        <v>10.69</v>
      </c>
      <c r="Q110" s="10" t="n">
        <v>1.5309</v>
      </c>
    </row>
    <row r="111">
      <c r="A111" s="2" t="inlineStr">
        <is>
          <t>FMG.AX</t>
        </is>
      </c>
      <c r="B111" s="2" t="inlineStr">
        <is>
          <t>Fortescue Ltd</t>
        </is>
      </c>
      <c r="C111" s="2" t="inlineStr">
        <is>
          <t>AUD</t>
        </is>
      </c>
      <c r="D111" s="2" t="n">
        <v>2018</v>
      </c>
      <c r="E111" s="9" t="n">
        <v>43465</v>
      </c>
      <c r="F111" s="2" t="n">
        <v>4.91</v>
      </c>
      <c r="G111" s="2" t="n">
        <v>5.46</v>
      </c>
      <c r="H111" s="2" t="n">
        <v>3.515</v>
      </c>
      <c r="I111" s="2" t="n">
        <v>4.19</v>
      </c>
      <c r="J111" s="2" t="n">
        <v>4.4323</v>
      </c>
      <c r="K111" s="2" t="n">
        <v>0.23</v>
      </c>
      <c r="L111" s="10" t="n">
        <v>0.0549</v>
      </c>
      <c r="M111" s="10" t="n">
        <v>0.019</v>
      </c>
      <c r="N111" s="2" t="n">
        <v>3.8998</v>
      </c>
      <c r="O111" s="2" t="n">
        <v>2020</v>
      </c>
      <c r="P111" s="2" t="n">
        <v>23.43</v>
      </c>
      <c r="Q111" s="10" t="n">
        <v>5.0081</v>
      </c>
    </row>
    <row r="112">
      <c r="A112" s="2" t="inlineStr">
        <is>
          <t>FMG.AX</t>
        </is>
      </c>
      <c r="B112" s="2" t="inlineStr">
        <is>
          <t>Fortescue Ltd</t>
        </is>
      </c>
      <c r="C112" s="2" t="inlineStr">
        <is>
          <t>AUD</t>
        </is>
      </c>
      <c r="D112" s="2" t="n">
        <v>2019</v>
      </c>
      <c r="E112" s="9" t="n">
        <v>43830</v>
      </c>
      <c r="F112" s="2" t="n">
        <v>4.18</v>
      </c>
      <c r="G112" s="2" t="n">
        <v>11.1</v>
      </c>
      <c r="H112" s="2" t="n">
        <v>4.13</v>
      </c>
      <c r="I112" s="2" t="n">
        <v>10.69</v>
      </c>
      <c r="J112" s="2" t="n">
        <v>7.9291</v>
      </c>
      <c r="K112" s="2" t="n">
        <v>1.14</v>
      </c>
      <c r="L112" s="10" t="n">
        <v>0.1066</v>
      </c>
      <c r="M112" s="10" t="n">
        <v>0.008999999999999999</v>
      </c>
      <c r="N112" s="2" t="n">
        <v>8.7936</v>
      </c>
      <c r="O112" s="2" t="n">
        <v>2021</v>
      </c>
      <c r="P112" s="2" t="n">
        <v>19.21</v>
      </c>
      <c r="Q112" s="10" t="n">
        <v>1.1845</v>
      </c>
    </row>
    <row r="113">
      <c r="A113" s="2" t="inlineStr">
        <is>
          <t>FMG.AX</t>
        </is>
      </c>
      <c r="B113" s="2" t="inlineStr">
        <is>
          <t>Fortescue Ltd</t>
        </is>
      </c>
      <c r="C113" s="2" t="inlineStr">
        <is>
          <t>AUD</t>
        </is>
      </c>
      <c r="D113" s="2" t="n">
        <v>2020</v>
      </c>
      <c r="E113" s="9" t="n">
        <v>44196</v>
      </c>
      <c r="F113" s="2" t="n">
        <v>10.66</v>
      </c>
      <c r="G113" s="2" t="n">
        <v>24.38</v>
      </c>
      <c r="H113" s="2" t="n">
        <v>8.199999999999999</v>
      </c>
      <c r="I113" s="2" t="n">
        <v>23.43</v>
      </c>
      <c r="J113" s="2" t="n">
        <v>14.8202</v>
      </c>
      <c r="K113" s="2" t="n">
        <v>1.76</v>
      </c>
      <c r="L113" s="10" t="n">
        <v>0.0751</v>
      </c>
      <c r="M113" s="10" t="n">
        <v>0.001</v>
      </c>
      <c r="N113" s="2" t="n">
        <v>20.202</v>
      </c>
      <c r="O113" s="2" t="n">
        <v>2022</v>
      </c>
      <c r="P113" s="2" t="n">
        <v>20.51</v>
      </c>
      <c r="Q113" s="10" t="n">
        <v>0.0152</v>
      </c>
    </row>
    <row r="114">
      <c r="A114" s="2" t="inlineStr">
        <is>
          <t>FMG.AX</t>
        </is>
      </c>
      <c r="B114" s="2" t="inlineStr">
        <is>
          <t>Fortescue Ltd</t>
        </is>
      </c>
      <c r="C114" s="2" t="inlineStr">
        <is>
          <t>AUD</t>
        </is>
      </c>
      <c r="D114" s="2" t="n">
        <v>2021</v>
      </c>
      <c r="E114" s="9" t="n">
        <v>44561</v>
      </c>
      <c r="F114" s="2" t="n">
        <v>23.71</v>
      </c>
      <c r="G114" s="2" t="n">
        <v>26.58</v>
      </c>
      <c r="H114" s="2" t="n">
        <v>13.9</v>
      </c>
      <c r="I114" s="2" t="n">
        <v>19.21</v>
      </c>
      <c r="J114" s="2" t="n">
        <v>20.6486</v>
      </c>
      <c r="K114" s="2" t="n">
        <v>3.58</v>
      </c>
      <c r="L114" s="10" t="n">
        <v>0.1864</v>
      </c>
      <c r="M114" s="10" t="n">
        <v>0.006</v>
      </c>
      <c r="N114" s="2" t="n">
        <v>13.3927</v>
      </c>
      <c r="O114" s="2" t="n">
        <v>2023</v>
      </c>
      <c r="P114" s="2" t="n">
        <v>29.02</v>
      </c>
      <c r="Q114" s="10" t="n">
        <v>1.1669</v>
      </c>
    </row>
    <row r="115">
      <c r="A115" s="2" t="inlineStr">
        <is>
          <t>FMG.AX</t>
        </is>
      </c>
      <c r="B115" s="2" t="inlineStr">
        <is>
          <t>Fortescue Ltd</t>
        </is>
      </c>
      <c r="C115" s="2" t="inlineStr">
        <is>
          <t>AUD</t>
        </is>
      </c>
      <c r="D115" s="2" t="n">
        <v>2022</v>
      </c>
      <c r="E115" s="9" t="n">
        <v>44925</v>
      </c>
      <c r="F115" s="2" t="n">
        <v>19.32</v>
      </c>
      <c r="G115" s="2" t="n">
        <v>22.99</v>
      </c>
      <c r="H115" s="2" t="n">
        <v>14.5</v>
      </c>
      <c r="I115" s="2" t="n">
        <v>20.51</v>
      </c>
      <c r="J115" s="2" t="n">
        <v>19.0597</v>
      </c>
      <c r="K115" s="2" t="n">
        <v>2.07</v>
      </c>
      <c r="L115" s="10" t="n">
        <v>0.1009</v>
      </c>
      <c r="M115" s="10" t="n">
        <v>0.035</v>
      </c>
      <c r="N115" s="2" t="n">
        <v>17.9764</v>
      </c>
      <c r="O115" s="2" t="n">
        <v>2024</v>
      </c>
      <c r="P115" s="2" t="n">
        <v>18.25</v>
      </c>
      <c r="Q115" s="10" t="n">
        <v>0.0152</v>
      </c>
    </row>
    <row r="116">
      <c r="A116" s="2" t="inlineStr">
        <is>
          <t>FMG.AX</t>
        </is>
      </c>
      <c r="B116" s="2" t="inlineStr">
        <is>
          <t>Fortescue Ltd</t>
        </is>
      </c>
      <c r="C116" s="2" t="inlineStr">
        <is>
          <t>AUD</t>
        </is>
      </c>
      <c r="D116" s="2" t="n">
        <v>2023</v>
      </c>
      <c r="E116" s="9" t="n">
        <v>45289</v>
      </c>
      <c r="F116" s="2" t="n">
        <v>20.72</v>
      </c>
      <c r="G116" s="2" t="n">
        <v>29.15</v>
      </c>
      <c r="H116" s="2" t="n">
        <v>18.91</v>
      </c>
      <c r="I116" s="2" t="n">
        <v>29.02</v>
      </c>
      <c r="J116" s="2" t="n">
        <v>22.0737</v>
      </c>
      <c r="K116" s="2" t="n">
        <v>1.75</v>
      </c>
      <c r="L116" s="10" t="n">
        <v>0.0603</v>
      </c>
      <c r="M116" s="10" t="n">
        <v>0.037</v>
      </c>
      <c r="N116" s="2" t="n">
        <v>27.6985</v>
      </c>
      <c r="O116" s="2" t="n">
        <v>2025</v>
      </c>
      <c r="P116" s="2" t="n">
        <v>22.01</v>
      </c>
      <c r="Q116" s="10" t="n">
        <v>-0.2054</v>
      </c>
    </row>
    <row r="117">
      <c r="A117" s="2" t="inlineStr">
        <is>
          <t>FMG.AX</t>
        </is>
      </c>
      <c r="B117" s="2" t="inlineStr">
        <is>
          <t>Fortescue Ltd</t>
        </is>
      </c>
      <c r="C117" s="2" t="inlineStr">
        <is>
          <t>AUD</t>
        </is>
      </c>
      <c r="D117" s="2" t="n">
        <v>2024</v>
      </c>
      <c r="E117" s="9" t="n">
        <v>45657</v>
      </c>
      <c r="F117" s="2" t="n">
        <v>28.92</v>
      </c>
      <c r="G117" s="2" t="n">
        <v>29.95</v>
      </c>
      <c r="H117" s="2" t="n">
        <v>15.88</v>
      </c>
      <c r="I117" s="2" t="n">
        <v>18.25</v>
      </c>
      <c r="J117" s="2" t="n">
        <v>22.4653</v>
      </c>
      <c r="K117" s="2" t="n">
        <v>1.97</v>
      </c>
      <c r="L117" s="10" t="n">
        <v>0.1079</v>
      </c>
      <c r="M117" s="10" t="n">
        <v>0.0385</v>
      </c>
      <c r="N117" s="2" t="n">
        <v>15.8834</v>
      </c>
      <c r="O117" s="2" t="n">
        <v>2026</v>
      </c>
      <c r="P117" s="2" t="n">
        <v>16.37</v>
      </c>
      <c r="Q117" s="10" t="n">
        <v>0.0306</v>
      </c>
    </row>
    <row r="118">
      <c r="A118" s="2" t="inlineStr">
        <is>
          <t>FMG.AX</t>
        </is>
      </c>
      <c r="B118" s="2" t="inlineStr">
        <is>
          <t>Fortescue Ltd</t>
        </is>
      </c>
      <c r="C118" s="2" t="inlineStr">
        <is>
          <t>AUD</t>
        </is>
      </c>
      <c r="D118" s="2" t="n">
        <v>2025</v>
      </c>
      <c r="E118" s="9" t="n">
        <v>46022</v>
      </c>
      <c r="F118" s="2" t="n">
        <v>18.35</v>
      </c>
      <c r="G118" s="2" t="n">
        <v>23.38</v>
      </c>
      <c r="H118" s="2" t="n">
        <v>13.18</v>
      </c>
      <c r="I118" s="2" t="n">
        <v>22.01</v>
      </c>
      <c r="J118" s="2" t="n">
        <v>18.181</v>
      </c>
      <c r="K118" s="2" t="n">
        <v>1.1</v>
      </c>
      <c r="L118" s="10" t="n">
        <v>0.05</v>
      </c>
      <c r="M118" s="10" t="n">
        <v>0.039</v>
      </c>
      <c r="N118" s="2" t="n">
        <v>21.532</v>
      </c>
      <c r="O118" s="2" t="n">
        <v>2027</v>
      </c>
      <c r="P118" s="2" t="n"/>
      <c r="Q118" s="10" t="n"/>
    </row>
    <row r="119">
      <c r="A119" s="2" t="inlineStr">
        <is>
          <t>FMG.AX</t>
        </is>
      </c>
      <c r="B119" s="2" t="inlineStr">
        <is>
          <t>Fortescue Ltd</t>
        </is>
      </c>
      <c r="C119" s="2" t="inlineStr">
        <is>
          <t>AUD</t>
        </is>
      </c>
      <c r="D119" s="2" t="n">
        <v>2026</v>
      </c>
      <c r="E119" s="9" t="n">
        <v>46290</v>
      </c>
      <c r="F119" s="2" t="n">
        <v>22</v>
      </c>
      <c r="G119" s="2" t="n">
        <v>23.35</v>
      </c>
      <c r="H119" s="2" t="n">
        <v>16.135</v>
      </c>
      <c r="I119" s="2" t="n">
        <v>16.37</v>
      </c>
      <c r="J119" s="2" t="n">
        <v>19.8599</v>
      </c>
      <c r="K119" s="2" t="n">
        <v>1.08</v>
      </c>
      <c r="L119" s="10" t="n">
        <v>0.066</v>
      </c>
      <c r="M119" s="10" t="n">
        <v>0.039</v>
      </c>
      <c r="N119" s="2" t="n">
        <v>15.5103</v>
      </c>
      <c r="O119" s="2" t="n">
        <v>2028</v>
      </c>
      <c r="P119" s="2" t="n"/>
      <c r="Q119" s="10" t="n"/>
    </row>
    <row r="120">
      <c r="A120" s="2" t="inlineStr">
        <is>
          <t>FRES.L</t>
        </is>
      </c>
      <c r="B120" s="2" t="inlineStr">
        <is>
          <t>Fresnillo plc</t>
        </is>
      </c>
      <c r="C120" s="2" t="inlineStr">
        <is>
          <t>GBp</t>
        </is>
      </c>
      <c r="D120" s="2" t="n">
        <v>2017</v>
      </c>
      <c r="E120" s="9" t="n">
        <v>43098</v>
      </c>
      <c r="F120" s="2" t="n">
        <v>1221</v>
      </c>
      <c r="G120" s="2" t="n">
        <v>1746</v>
      </c>
      <c r="H120" s="2" t="n">
        <v>1213</v>
      </c>
      <c r="I120" s="2" t="n">
        <v>1429</v>
      </c>
      <c r="J120" s="2" t="n">
        <v>1469.7605</v>
      </c>
      <c r="K120" s="2" t="n">
        <v>24.8029</v>
      </c>
      <c r="L120" s="10" t="n">
        <v>0.0174</v>
      </c>
      <c r="M120" s="10" t="n">
        <v>0.0045</v>
      </c>
      <c r="N120" s="2" t="n">
        <v>1392.7236</v>
      </c>
      <c r="O120" s="2" t="n">
        <v>2019</v>
      </c>
      <c r="P120" s="2" t="n">
        <v>640.2</v>
      </c>
      <c r="Q120" s="10" t="n">
        <v>-0.5403</v>
      </c>
    </row>
    <row r="121">
      <c r="A121" s="2" t="inlineStr">
        <is>
          <t>FRES.L</t>
        </is>
      </c>
      <c r="B121" s="2" t="inlineStr">
        <is>
          <t>Fresnillo plc</t>
        </is>
      </c>
      <c r="C121" s="2" t="inlineStr">
        <is>
          <t>GBp</t>
        </is>
      </c>
      <c r="D121" s="2" t="n">
        <v>2018</v>
      </c>
      <c r="E121" s="9" t="n">
        <v>43465</v>
      </c>
      <c r="F121" s="2" t="n">
        <v>1439</v>
      </c>
      <c r="G121" s="2" t="n">
        <v>1461</v>
      </c>
      <c r="H121" s="2" t="n">
        <v>737.6</v>
      </c>
      <c r="I121" s="2" t="n">
        <v>860</v>
      </c>
      <c r="J121" s="2" t="n">
        <v>1089.4767</v>
      </c>
      <c r="K121" s="2" t="n">
        <v>30.0051</v>
      </c>
      <c r="L121" s="10" t="n">
        <v>0.0349</v>
      </c>
      <c r="M121" s="10" t="n">
        <v>0.0075</v>
      </c>
      <c r="N121" s="2" t="n">
        <v>814.1569</v>
      </c>
      <c r="O121" s="2" t="n">
        <v>2020</v>
      </c>
      <c r="P121" s="2" t="n">
        <v>1129.5</v>
      </c>
      <c r="Q121" s="10" t="n">
        <v>0.3873</v>
      </c>
    </row>
    <row r="122">
      <c r="A122" s="2" t="inlineStr">
        <is>
          <t>FRES.L</t>
        </is>
      </c>
      <c r="B122" s="2" t="inlineStr">
        <is>
          <t>Fresnillo plc</t>
        </is>
      </c>
      <c r="C122" s="2" t="inlineStr">
        <is>
          <t>GBp</t>
        </is>
      </c>
      <c r="D122" s="2" t="n">
        <v>2019</v>
      </c>
      <c r="E122" s="9" t="n">
        <v>43830</v>
      </c>
      <c r="F122" s="2" t="n">
        <v>858.8</v>
      </c>
      <c r="G122" s="2" t="n">
        <v>1028</v>
      </c>
      <c r="H122" s="2" t="n">
        <v>536.8</v>
      </c>
      <c r="I122" s="2" t="n">
        <v>640.2</v>
      </c>
      <c r="J122" s="2" t="n">
        <v>764.7213</v>
      </c>
      <c r="K122" s="2" t="n">
        <v>15.0732</v>
      </c>
      <c r="L122" s="10" t="n">
        <v>0.0235</v>
      </c>
      <c r="M122" s="10" t="n">
        <v>0.0055</v>
      </c>
      <c r="N122" s="2" t="n">
        <v>617.5077</v>
      </c>
      <c r="O122" s="2" t="n">
        <v>2021</v>
      </c>
      <c r="P122" s="2" t="n">
        <v>892.8</v>
      </c>
      <c r="Q122" s="10" t="n">
        <v>0.4458</v>
      </c>
    </row>
    <row r="123">
      <c r="A123" s="2" t="inlineStr">
        <is>
          <t>FRES.L</t>
        </is>
      </c>
      <c r="B123" s="2" t="inlineStr">
        <is>
          <t>Fresnillo plc</t>
        </is>
      </c>
      <c r="C123" s="2" t="inlineStr">
        <is>
          <t>GBp</t>
        </is>
      </c>
      <c r="D123" s="2" t="n">
        <v>2020</v>
      </c>
      <c r="E123" s="9" t="n">
        <v>44196</v>
      </c>
      <c r="F123" s="2" t="n">
        <v>645.2</v>
      </c>
      <c r="G123" s="2" t="n">
        <v>1379.5</v>
      </c>
      <c r="H123" s="2" t="n">
        <v>456.509</v>
      </c>
      <c r="I123" s="2" t="n">
        <v>1129.5</v>
      </c>
      <c r="J123" s="2" t="n">
        <v>944.9961</v>
      </c>
      <c r="K123" s="2" t="n">
        <v>11.3422</v>
      </c>
      <c r="L123" s="10" t="n">
        <v>0.01</v>
      </c>
      <c r="M123" s="10" t="n">
        <v>-0.0015</v>
      </c>
      <c r="N123" s="2" t="n">
        <v>1103.7257</v>
      </c>
      <c r="O123" s="2" t="n">
        <v>2022</v>
      </c>
      <c r="P123" s="2" t="n">
        <v>901.8</v>
      </c>
      <c r="Q123" s="10" t="n">
        <v>-0.1829</v>
      </c>
    </row>
    <row r="124">
      <c r="A124" s="2" t="inlineStr">
        <is>
          <t>FRES.L</t>
        </is>
      </c>
      <c r="B124" s="2" t="inlineStr">
        <is>
          <t>Fresnillo plc</t>
        </is>
      </c>
      <c r="C124" s="2" t="inlineStr">
        <is>
          <t>GBp</t>
        </is>
      </c>
      <c r="D124" s="2" t="n">
        <v>2021</v>
      </c>
      <c r="E124" s="9" t="n">
        <v>44561</v>
      </c>
      <c r="F124" s="2" t="n">
        <v>1156.5</v>
      </c>
      <c r="G124" s="2" t="n">
        <v>1280</v>
      </c>
      <c r="H124" s="2" t="n">
        <v>742.6</v>
      </c>
      <c r="I124" s="2" t="n">
        <v>892.8</v>
      </c>
      <c r="J124" s="2" t="n">
        <v>894.1627999999999</v>
      </c>
      <c r="K124" s="2" t="n">
        <v>23.7399</v>
      </c>
      <c r="L124" s="10" t="n">
        <v>0.0266</v>
      </c>
      <c r="M124" s="10" t="n">
        <v>0.007</v>
      </c>
      <c r="N124" s="2" t="n">
        <v>858.4958</v>
      </c>
      <c r="O124" s="2" t="n">
        <v>2023</v>
      </c>
      <c r="P124" s="2" t="n">
        <v>594.4</v>
      </c>
      <c r="Q124" s="10" t="n">
        <v>-0.3076</v>
      </c>
    </row>
    <row r="125">
      <c r="A125" s="2" t="inlineStr">
        <is>
          <t>FRES.L</t>
        </is>
      </c>
      <c r="B125" s="2" t="inlineStr">
        <is>
          <t>Fresnillo plc</t>
        </is>
      </c>
      <c r="C125" s="2" t="inlineStr">
        <is>
          <t>GBp</t>
        </is>
      </c>
      <c r="D125" s="2" t="n">
        <v>2022</v>
      </c>
      <c r="E125" s="9" t="n">
        <v>44925</v>
      </c>
      <c r="F125" s="2" t="n">
        <v>888.2</v>
      </c>
      <c r="G125" s="2" t="n">
        <v>934.85</v>
      </c>
      <c r="H125" s="2" t="n">
        <v>610.6</v>
      </c>
      <c r="I125" s="2" t="n">
        <v>901.8</v>
      </c>
      <c r="J125" s="2" t="n">
        <v>757.8912</v>
      </c>
      <c r="K125" s="2" t="n">
        <v>21.9929</v>
      </c>
      <c r="L125" s="10" t="n">
        <v>0.0244</v>
      </c>
      <c r="M125" s="10" t="n">
        <v>0.036</v>
      </c>
      <c r="N125" s="2" t="n">
        <v>922.9888999999999</v>
      </c>
      <c r="O125" s="2" t="n">
        <v>2024</v>
      </c>
      <c r="P125" s="2" t="n">
        <v>621.5</v>
      </c>
      <c r="Q125" s="10" t="n">
        <v>-0.3266</v>
      </c>
    </row>
    <row r="126">
      <c r="A126" s="2" t="inlineStr">
        <is>
          <t>FRES.L</t>
        </is>
      </c>
      <c r="B126" s="2" t="inlineStr">
        <is>
          <t>Fresnillo plc</t>
        </is>
      </c>
      <c r="C126" s="2" t="inlineStr">
        <is>
          <t>GBp</t>
        </is>
      </c>
      <c r="D126" s="2" t="n">
        <v>2023</v>
      </c>
      <c r="E126" s="9" t="n">
        <v>45289</v>
      </c>
      <c r="F126" s="2" t="n">
        <v>904.2</v>
      </c>
      <c r="G126" s="2" t="n">
        <v>996.8</v>
      </c>
      <c r="H126" s="2" t="n">
        <v>499.3</v>
      </c>
      <c r="I126" s="2" t="n">
        <v>594.4</v>
      </c>
      <c r="J126" s="2" t="n">
        <v>659.8031999999999</v>
      </c>
      <c r="K126" s="2" t="n">
        <v>11.7816</v>
      </c>
      <c r="L126" s="10" t="n">
        <v>0.0198</v>
      </c>
      <c r="M126" s="10" t="n">
        <v>0.04</v>
      </c>
      <c r="N126" s="2" t="n">
        <v>618.8795</v>
      </c>
      <c r="O126" s="2" t="n">
        <v>2025</v>
      </c>
      <c r="P126" s="2" t="n">
        <v>3334</v>
      </c>
      <c r="Q126" s="10" t="n">
        <v>4.3872</v>
      </c>
    </row>
    <row r="127">
      <c r="A127" s="2" t="inlineStr">
        <is>
          <t>FRES.L</t>
        </is>
      </c>
      <c r="B127" s="2" t="inlineStr">
        <is>
          <t>Fresnillo plc</t>
        </is>
      </c>
      <c r="C127" s="2" t="inlineStr">
        <is>
          <t>GBp</t>
        </is>
      </c>
      <c r="D127" s="2" t="n">
        <v>2024</v>
      </c>
      <c r="E127" s="9" t="n">
        <v>45657</v>
      </c>
      <c r="F127" s="2" t="n">
        <v>600</v>
      </c>
      <c r="G127" s="2" t="n">
        <v>782</v>
      </c>
      <c r="H127" s="2" t="n">
        <v>435.2</v>
      </c>
      <c r="I127" s="2" t="n">
        <v>621.5</v>
      </c>
      <c r="J127" s="2" t="n">
        <v>577.0811</v>
      </c>
      <c r="K127" s="2" t="n">
        <v>8.4122</v>
      </c>
      <c r="L127" s="10" t="n">
        <v>0.0135</v>
      </c>
      <c r="M127" s="10" t="n">
        <v>0.044</v>
      </c>
      <c r="N127" s="2" t="n">
        <v>660.545</v>
      </c>
      <c r="O127" s="2" t="n">
        <v>2026</v>
      </c>
      <c r="P127" s="2" t="n">
        <v>2890</v>
      </c>
      <c r="Q127" s="10" t="n">
        <v>3.3752</v>
      </c>
    </row>
    <row r="128">
      <c r="A128" s="2" t="inlineStr">
        <is>
          <t>FRES.L</t>
        </is>
      </c>
      <c r="B128" s="2" t="inlineStr">
        <is>
          <t>Fresnillo plc</t>
        </is>
      </c>
      <c r="C128" s="2" t="inlineStr">
        <is>
          <t>GBp</t>
        </is>
      </c>
      <c r="D128" s="2" t="n">
        <v>2025</v>
      </c>
      <c r="E128" s="9" t="n">
        <v>46022</v>
      </c>
      <c r="F128" s="2" t="n">
        <v>624</v>
      </c>
      <c r="G128" s="2" t="n">
        <v>3412</v>
      </c>
      <c r="H128" s="2" t="n">
        <v>624</v>
      </c>
      <c r="I128" s="2" t="n">
        <v>3334</v>
      </c>
      <c r="J128" s="2" t="n">
        <v>1567.6403</v>
      </c>
      <c r="K128" s="2" t="n">
        <v>66.5138</v>
      </c>
      <c r="L128" s="10" t="n">
        <v>0.02</v>
      </c>
      <c r="M128" s="10" t="n">
        <v>0.0375</v>
      </c>
      <c r="N128" s="2" t="n">
        <v>3453.1004</v>
      </c>
      <c r="O128" s="2" t="n">
        <v>2027</v>
      </c>
      <c r="P128" s="2" t="n"/>
      <c r="Q128" s="10" t="n"/>
    </row>
    <row r="129">
      <c r="A129" s="2" t="inlineStr">
        <is>
          <t>FRES.L</t>
        </is>
      </c>
      <c r="B129" s="2" t="inlineStr">
        <is>
          <t>Fresnillo plc</t>
        </is>
      </c>
      <c r="C129" s="2" t="inlineStr">
        <is>
          <t>GBp</t>
        </is>
      </c>
      <c r="D129" s="2" t="n">
        <v>2026</v>
      </c>
      <c r="E129" s="9" t="n">
        <v>46290</v>
      </c>
      <c r="F129" s="2" t="n">
        <v>3374</v>
      </c>
      <c r="G129" s="2" t="n">
        <v>4472</v>
      </c>
      <c r="H129" s="2" t="n">
        <v>2397</v>
      </c>
      <c r="I129" s="2" t="n">
        <v>2890</v>
      </c>
      <c r="J129" s="2" t="n">
        <v>3281.3348</v>
      </c>
      <c r="K129" s="2" t="n">
        <v>111.7694</v>
      </c>
      <c r="L129" s="10" t="n">
        <v>0.0387</v>
      </c>
      <c r="M129" s="10" t="n">
        <v>0.0375</v>
      </c>
      <c r="N129" s="2" t="n">
        <v>2883.2192</v>
      </c>
      <c r="O129" s="2" t="n">
        <v>2028</v>
      </c>
      <c r="P129" s="2" t="n"/>
      <c r="Q129" s="10" t="n"/>
    </row>
    <row r="130">
      <c r="A130" s="2" t="inlineStr">
        <is>
          <t>GLEN.L</t>
        </is>
      </c>
      <c r="B130" s="2" t="inlineStr">
        <is>
          <t>Glencore plc</t>
        </is>
      </c>
      <c r="C130" s="2" t="inlineStr">
        <is>
          <t>GBp</t>
        </is>
      </c>
      <c r="D130" s="2" t="n">
        <v>2017</v>
      </c>
      <c r="E130" s="9" t="n">
        <v>43098</v>
      </c>
      <c r="F130" s="2" t="n">
        <v>280.35</v>
      </c>
      <c r="G130" s="2" t="n">
        <v>390.25</v>
      </c>
      <c r="H130" s="2" t="n">
        <v>270</v>
      </c>
      <c r="I130" s="2" t="n">
        <v>390</v>
      </c>
      <c r="J130" s="2" t="n">
        <v>329.0642</v>
      </c>
      <c r="K130" s="2" t="n">
        <v>5.2896</v>
      </c>
      <c r="L130" s="10" t="n">
        <v>0.0136</v>
      </c>
      <c r="M130" s="10" t="n">
        <v>0.0045</v>
      </c>
      <c r="N130" s="2" t="n">
        <v>382.9944</v>
      </c>
      <c r="O130" s="2" t="n">
        <v>2019</v>
      </c>
      <c r="P130" s="2" t="n">
        <v>235.35</v>
      </c>
      <c r="Q130" s="10" t="n">
        <v>-0.3855</v>
      </c>
    </row>
    <row r="131">
      <c r="A131" s="2" t="inlineStr">
        <is>
          <t>GLEN.L</t>
        </is>
      </c>
      <c r="B131" s="2" t="inlineStr">
        <is>
          <t>Glencore plc</t>
        </is>
      </c>
      <c r="C131" s="2" t="inlineStr">
        <is>
          <t>GBp</t>
        </is>
      </c>
      <c r="D131" s="2" t="n">
        <v>2018</v>
      </c>
      <c r="E131" s="9" t="n">
        <v>43465</v>
      </c>
      <c r="F131" s="2" t="n">
        <v>389.8</v>
      </c>
      <c r="G131" s="2" t="n">
        <v>416.9</v>
      </c>
      <c r="H131" s="2" t="n">
        <v>268.35</v>
      </c>
      <c r="I131" s="2" t="n">
        <v>291.35</v>
      </c>
      <c r="J131" s="2" t="n">
        <v>343.6761</v>
      </c>
      <c r="K131" s="2" t="n">
        <v>15.0322</v>
      </c>
      <c r="L131" s="10" t="n">
        <v>0.0516</v>
      </c>
      <c r="M131" s="10" t="n">
        <v>0.0075</v>
      </c>
      <c r="N131" s="2" t="n">
        <v>266.7563</v>
      </c>
      <c r="O131" s="2" t="n">
        <v>2020</v>
      </c>
      <c r="P131" s="2" t="n">
        <v>233</v>
      </c>
      <c r="Q131" s="10" t="n">
        <v>-0.1265</v>
      </c>
    </row>
    <row r="132">
      <c r="A132" s="2" t="inlineStr">
        <is>
          <t>GLEN.L</t>
        </is>
      </c>
      <c r="B132" s="2" t="inlineStr">
        <is>
          <t>Glencore plc</t>
        </is>
      </c>
      <c r="C132" s="2" t="inlineStr">
        <is>
          <t>GBp</t>
        </is>
      </c>
      <c r="D132" s="2" t="n">
        <v>2019</v>
      </c>
      <c r="E132" s="9" t="n">
        <v>43830</v>
      </c>
      <c r="F132" s="2" t="n">
        <v>282.65</v>
      </c>
      <c r="G132" s="2" t="n">
        <v>343.6</v>
      </c>
      <c r="H132" s="2" t="n">
        <v>188.233</v>
      </c>
      <c r="I132" s="2" t="n">
        <v>235.35</v>
      </c>
      <c r="J132" s="2" t="n">
        <v>269.3907</v>
      </c>
      <c r="K132" s="2" t="n">
        <v>15.657</v>
      </c>
      <c r="L132" s="10" t="n">
        <v>0.0665</v>
      </c>
      <c r="M132" s="10" t="n">
        <v>0.0055</v>
      </c>
      <c r="N132" s="2" t="n">
        <v>208.3087</v>
      </c>
      <c r="O132" s="2" t="n">
        <v>2021</v>
      </c>
      <c r="P132" s="2" t="n">
        <v>374.95</v>
      </c>
      <c r="Q132" s="10" t="n">
        <v>0.8</v>
      </c>
    </row>
    <row r="133">
      <c r="A133" s="2" t="inlineStr">
        <is>
          <t>GLEN.L</t>
        </is>
      </c>
      <c r="B133" s="2" t="inlineStr">
        <is>
          <t>Glencore plc</t>
        </is>
      </c>
      <c r="C133" s="2" t="inlineStr">
        <is>
          <t>GBp</t>
        </is>
      </c>
      <c r="D133" s="2" t="n">
        <v>2020</v>
      </c>
      <c r="E133" s="9" t="n">
        <v>44196</v>
      </c>
      <c r="F133" s="2" t="n">
        <v>236.55</v>
      </c>
      <c r="G133" s="2" t="n">
        <v>258.3</v>
      </c>
      <c r="H133" s="2" t="n">
        <v>109.76</v>
      </c>
      <c r="I133" s="2" t="n">
        <v>233</v>
      </c>
      <c r="J133" s="2" t="n">
        <v>181.6924</v>
      </c>
      <c r="K133" s="2" t="n">
        <v>0</v>
      </c>
      <c r="L133" s="10" t="n">
        <v>0</v>
      </c>
      <c r="M133" s="10" t="n">
        <v>-0.0015</v>
      </c>
      <c r="N133" s="2" t="n">
        <v>232.302</v>
      </c>
      <c r="O133" s="2" t="n">
        <v>2022</v>
      </c>
      <c r="P133" s="2" t="n">
        <v>552.4</v>
      </c>
      <c r="Q133" s="10" t="n">
        <v>1.3779</v>
      </c>
    </row>
    <row r="134">
      <c r="A134" s="2" t="inlineStr">
        <is>
          <t>GLEN.L</t>
        </is>
      </c>
      <c r="B134" s="2" t="inlineStr">
        <is>
          <t>Glencore plc</t>
        </is>
      </c>
      <c r="C134" s="2" t="inlineStr">
        <is>
          <t>GBp</t>
        </is>
      </c>
      <c r="D134" s="2" t="n">
        <v>2021</v>
      </c>
      <c r="E134" s="9" t="n">
        <v>44561</v>
      </c>
      <c r="F134" s="2" t="n">
        <v>237.65</v>
      </c>
      <c r="G134" s="2" t="n">
        <v>420.03</v>
      </c>
      <c r="H134" s="2" t="n">
        <v>219.7</v>
      </c>
      <c r="I134" s="2" t="n">
        <v>374.95</v>
      </c>
      <c r="J134" s="2" t="n">
        <v>320.0962</v>
      </c>
      <c r="K134" s="2" t="n">
        <v>11.8589</v>
      </c>
      <c r="L134" s="10" t="n">
        <v>0.0316</v>
      </c>
      <c r="M134" s="10" t="n">
        <v>0.007</v>
      </c>
      <c r="N134" s="2" t="n">
        <v>356.929</v>
      </c>
      <c r="O134" s="2" t="n">
        <v>2023</v>
      </c>
      <c r="P134" s="2" t="n">
        <v>472.1</v>
      </c>
      <c r="Q134" s="10" t="n">
        <v>0.3227</v>
      </c>
    </row>
    <row r="135">
      <c r="A135" s="2" t="inlineStr">
        <is>
          <t>GLEN.L</t>
        </is>
      </c>
      <c r="B135" s="2" t="inlineStr">
        <is>
          <t>Glencore plc</t>
        </is>
      </c>
      <c r="C135" s="2" t="inlineStr">
        <is>
          <t>GBp</t>
        </is>
      </c>
      <c r="D135" s="2" t="n">
        <v>2022</v>
      </c>
      <c r="E135" s="9" t="n">
        <v>44925</v>
      </c>
      <c r="F135" s="2" t="n">
        <v>381.05</v>
      </c>
      <c r="G135" s="2" t="n">
        <v>571.9</v>
      </c>
      <c r="H135" s="2" t="n">
        <v>381.05</v>
      </c>
      <c r="I135" s="2" t="n">
        <v>552.4</v>
      </c>
      <c r="J135" s="2" t="n">
        <v>477.7438</v>
      </c>
      <c r="K135" s="2" t="n">
        <v>31.3397</v>
      </c>
      <c r="L135" s="10" t="n">
        <v>0.0567</v>
      </c>
      <c r="M135" s="10" t="n">
        <v>0.036</v>
      </c>
      <c r="N135" s="2" t="n">
        <v>529.9619</v>
      </c>
      <c r="O135" s="2" t="n">
        <v>2024</v>
      </c>
      <c r="P135" s="2" t="n">
        <v>353.4</v>
      </c>
      <c r="Q135" s="10" t="n">
        <v>-0.3332</v>
      </c>
    </row>
    <row r="136">
      <c r="A136" s="2" t="inlineStr">
        <is>
          <t>GLEN.L</t>
        </is>
      </c>
      <c r="B136" s="2" t="inlineStr">
        <is>
          <t>Glencore plc</t>
        </is>
      </c>
      <c r="C136" s="2" t="inlineStr">
        <is>
          <t>GBp</t>
        </is>
      </c>
      <c r="D136" s="2" t="n">
        <v>2023</v>
      </c>
      <c r="E136" s="9" t="n">
        <v>45289</v>
      </c>
      <c r="F136" s="2" t="n">
        <v>557.9</v>
      </c>
      <c r="G136" s="2" t="n">
        <v>584.5</v>
      </c>
      <c r="H136" s="2" t="n">
        <v>106.98</v>
      </c>
      <c r="I136" s="2" t="n">
        <v>472.1</v>
      </c>
      <c r="J136" s="2" t="n">
        <v>464.8237</v>
      </c>
      <c r="K136" s="2" t="n">
        <v>41.6849</v>
      </c>
      <c r="L136" s="10" t="n">
        <v>0.0883</v>
      </c>
      <c r="M136" s="10" t="n">
        <v>0.04</v>
      </c>
      <c r="N136" s="2" t="n">
        <v>428.6314</v>
      </c>
      <c r="O136" s="2" t="n">
        <v>2025</v>
      </c>
      <c r="P136" s="2" t="n">
        <v>406.55</v>
      </c>
      <c r="Q136" s="10" t="n">
        <v>-0.0515</v>
      </c>
    </row>
    <row r="137">
      <c r="A137" s="2" t="inlineStr">
        <is>
          <t>GLEN.L</t>
        </is>
      </c>
      <c r="B137" s="2" t="inlineStr">
        <is>
          <t>Glencore plc</t>
        </is>
      </c>
      <c r="C137" s="2" t="inlineStr">
        <is>
          <t>GBp</t>
        </is>
      </c>
      <c r="D137" s="2" t="n">
        <v>2024</v>
      </c>
      <c r="E137" s="9" t="n">
        <v>45657</v>
      </c>
      <c r="F137" s="2" t="n">
        <v>475</v>
      </c>
      <c r="G137" s="2" t="n">
        <v>506.72</v>
      </c>
      <c r="H137" s="2" t="n">
        <v>348.35</v>
      </c>
      <c r="I137" s="2" t="n">
        <v>353.4</v>
      </c>
      <c r="J137" s="2" t="n">
        <v>422.8279</v>
      </c>
      <c r="K137" s="2" t="n">
        <v>10.1346</v>
      </c>
      <c r="L137" s="10" t="n">
        <v>0.0287</v>
      </c>
      <c r="M137" s="10" t="n">
        <v>0.044</v>
      </c>
      <c r="N137" s="2" t="n">
        <v>364.3976</v>
      </c>
      <c r="O137" s="2" t="n">
        <v>2026</v>
      </c>
      <c r="P137" s="2" t="n">
        <v>561.1</v>
      </c>
      <c r="Q137" s="10" t="n">
        <v>0.5397999999999999</v>
      </c>
    </row>
    <row r="138">
      <c r="A138" s="2" t="inlineStr">
        <is>
          <t>GLEN.L</t>
        </is>
      </c>
      <c r="B138" s="2" t="inlineStr">
        <is>
          <t>Glencore plc</t>
        </is>
      </c>
      <c r="C138" s="2" t="inlineStr">
        <is>
          <t>GBp</t>
        </is>
      </c>
      <c r="D138" s="2" t="n">
        <v>2025</v>
      </c>
      <c r="E138" s="9" t="n">
        <v>46022</v>
      </c>
      <c r="F138" s="2" t="n">
        <v>357</v>
      </c>
      <c r="G138" s="2" t="n">
        <v>408.9</v>
      </c>
      <c r="H138" s="2" t="n">
        <v>205</v>
      </c>
      <c r="I138" s="2" t="n">
        <v>406.55</v>
      </c>
      <c r="J138" s="2" t="n">
        <v>319.4573</v>
      </c>
      <c r="K138" s="2" t="n">
        <v>7.4807</v>
      </c>
      <c r="L138" s="10" t="n">
        <v>0.0184</v>
      </c>
      <c r="M138" s="10" t="n">
        <v>0.0375</v>
      </c>
      <c r="N138" s="2" t="n">
        <v>422.3803</v>
      </c>
      <c r="O138" s="2" t="n">
        <v>2027</v>
      </c>
      <c r="P138" s="2" t="n"/>
      <c r="Q138" s="10" t="n"/>
    </row>
    <row r="139">
      <c r="A139" s="2" t="inlineStr">
        <is>
          <t>GLEN.L</t>
        </is>
      </c>
      <c r="B139" s="2" t="inlineStr">
        <is>
          <t>Glencore plc</t>
        </is>
      </c>
      <c r="C139" s="2" t="inlineStr">
        <is>
          <t>GBp</t>
        </is>
      </c>
      <c r="D139" s="2" t="n">
        <v>2026</v>
      </c>
      <c r="E139" s="9" t="n">
        <v>46290</v>
      </c>
      <c r="F139" s="2" t="n">
        <v>410.4</v>
      </c>
      <c r="G139" s="2" t="n">
        <v>707.2</v>
      </c>
      <c r="H139" s="2" t="n">
        <v>396.68</v>
      </c>
      <c r="I139" s="2" t="n">
        <v>561.1</v>
      </c>
      <c r="J139" s="2" t="n">
        <v>540.9868</v>
      </c>
      <c r="K139" s="2" t="n">
        <v>12.5647</v>
      </c>
      <c r="L139" s="10" t="n">
        <v>0.0224</v>
      </c>
      <c r="M139" s="10" t="n">
        <v>0.0375</v>
      </c>
      <c r="N139" s="2" t="n">
        <v>578.3117999999999</v>
      </c>
      <c r="O139" s="2" t="n">
        <v>2028</v>
      </c>
      <c r="P139" s="2" t="n"/>
      <c r="Q139" s="10" t="n"/>
    </row>
    <row r="140">
      <c r="A140" s="2" t="inlineStr">
        <is>
          <t>GMEXICOB.MX</t>
        </is>
      </c>
      <c r="B140" s="2" t="inlineStr">
        <is>
          <t>Grupo Mexico SAB de CV</t>
        </is>
      </c>
      <c r="C140" s="2" t="inlineStr">
        <is>
          <t>MXN</t>
        </is>
      </c>
      <c r="D140" s="2" t="n">
        <v>2017</v>
      </c>
      <c r="E140" s="9" t="n">
        <v>43098</v>
      </c>
      <c r="F140" s="2" t="n">
        <v>57.1</v>
      </c>
      <c r="G140" s="2" t="n">
        <v>67.34</v>
      </c>
      <c r="H140" s="2" t="n">
        <v>48.01</v>
      </c>
      <c r="I140" s="2" t="n">
        <v>64.91</v>
      </c>
      <c r="J140" s="2" t="n">
        <v>57.8312</v>
      </c>
      <c r="K140" s="2" t="n">
        <v>1.26</v>
      </c>
      <c r="L140" s="10" t="n">
        <v>0.0194</v>
      </c>
      <c r="M140" s="10" t="n">
        <v>0.076</v>
      </c>
      <c r="N140" s="2" t="n">
        <v>72.68819999999999</v>
      </c>
      <c r="O140" s="2" t="n">
        <v>2019</v>
      </c>
      <c r="P140" s="2" t="n">
        <v>51.89</v>
      </c>
      <c r="Q140" s="10" t="n">
        <v>-0.2861</v>
      </c>
    </row>
    <row r="141">
      <c r="A141" s="2" t="inlineStr">
        <is>
          <t>GMEXICOB.MX</t>
        </is>
      </c>
      <c r="B141" s="2" t="inlineStr">
        <is>
          <t>Grupo Mexico SAB de CV</t>
        </is>
      </c>
      <c r="C141" s="2" t="inlineStr">
        <is>
          <t>MXN</t>
        </is>
      </c>
      <c r="D141" s="2" t="n">
        <v>2018</v>
      </c>
      <c r="E141" s="9" t="n">
        <v>43465</v>
      </c>
      <c r="F141" s="2" t="n">
        <v>65.06999999999999</v>
      </c>
      <c r="G141" s="2" t="n">
        <v>68.69</v>
      </c>
      <c r="H141" s="2" t="n">
        <v>36.75</v>
      </c>
      <c r="I141" s="2" t="n">
        <v>40.44</v>
      </c>
      <c r="J141" s="2" t="n">
        <v>55.813</v>
      </c>
      <c r="K141" s="2" t="n">
        <v>2.7</v>
      </c>
      <c r="L141" s="10" t="n">
        <v>0.0668</v>
      </c>
      <c r="M141" s="10" t="n">
        <v>0.08599999999999999</v>
      </c>
      <c r="N141" s="2" t="n">
        <v>42.026</v>
      </c>
      <c r="O141" s="2" t="n">
        <v>2020</v>
      </c>
      <c r="P141" s="2" t="n">
        <v>84.12</v>
      </c>
      <c r="Q141" s="10" t="n">
        <v>1.0016</v>
      </c>
    </row>
    <row r="142">
      <c r="A142" s="2" t="inlineStr">
        <is>
          <t>GMEXICOB.MX</t>
        </is>
      </c>
      <c r="B142" s="2" t="inlineStr">
        <is>
          <t>Grupo Mexico SAB de CV</t>
        </is>
      </c>
      <c r="C142" s="2" t="inlineStr">
        <is>
          <t>MXN</t>
        </is>
      </c>
      <c r="D142" s="2" t="n">
        <v>2019</v>
      </c>
      <c r="E142" s="9" t="n">
        <v>43830</v>
      </c>
      <c r="F142" s="2" t="n">
        <v>40.02</v>
      </c>
      <c r="G142" s="2" t="n">
        <v>59.2</v>
      </c>
      <c r="H142" s="2" t="n">
        <v>39.53</v>
      </c>
      <c r="I142" s="2" t="n">
        <v>51.89</v>
      </c>
      <c r="J142" s="2" t="n">
        <v>48.7693</v>
      </c>
      <c r="K142" s="2" t="n">
        <v>2.4</v>
      </c>
      <c r="L142" s="10" t="n">
        <v>0.0463</v>
      </c>
      <c r="M142" s="10" t="n">
        <v>0.06900000000000001</v>
      </c>
      <c r="N142" s="2" t="n">
        <v>54.3054</v>
      </c>
      <c r="O142" s="2" t="n">
        <v>2021</v>
      </c>
      <c r="P142" s="2" t="n">
        <v>89.29000000000001</v>
      </c>
      <c r="Q142" s="10" t="n">
        <v>0.6442</v>
      </c>
    </row>
    <row r="143">
      <c r="A143" s="2" t="inlineStr">
        <is>
          <t>GMEXICOB.MX</t>
        </is>
      </c>
      <c r="B143" s="2" t="inlineStr">
        <is>
          <t>Grupo Mexico SAB de CV</t>
        </is>
      </c>
      <c r="C143" s="2" t="inlineStr">
        <is>
          <t>MXN</t>
        </is>
      </c>
      <c r="D143" s="2" t="n">
        <v>2020</v>
      </c>
      <c r="E143" s="9" t="n">
        <v>44196</v>
      </c>
      <c r="F143" s="2" t="n">
        <v>52.42</v>
      </c>
      <c r="G143" s="2" t="n">
        <v>88.97</v>
      </c>
      <c r="H143" s="2" t="n">
        <v>37.21</v>
      </c>
      <c r="I143" s="2" t="n">
        <v>84.12</v>
      </c>
      <c r="J143" s="2" t="n">
        <v>56.4322</v>
      </c>
      <c r="K143" s="2" t="n">
        <v>3</v>
      </c>
      <c r="L143" s="10" t="n">
        <v>0.0357</v>
      </c>
      <c r="M143" s="10" t="n">
        <v>0.043</v>
      </c>
      <c r="N143" s="2" t="n">
        <v>85.3635</v>
      </c>
      <c r="O143" s="2" t="n">
        <v>2022</v>
      </c>
      <c r="P143" s="2" t="n">
        <v>68.7</v>
      </c>
      <c r="Q143" s="10" t="n">
        <v>-0.1952</v>
      </c>
    </row>
    <row r="144">
      <c r="A144" s="2" t="inlineStr">
        <is>
          <t>GMEXICOB.MX</t>
        </is>
      </c>
      <c r="B144" s="2" t="inlineStr">
        <is>
          <t>Grupo Mexico SAB de CV</t>
        </is>
      </c>
      <c r="C144" s="2" t="inlineStr">
        <is>
          <t>MXN</t>
        </is>
      </c>
      <c r="D144" s="2" t="n">
        <v>2021</v>
      </c>
      <c r="E144" s="9" t="n">
        <v>44561</v>
      </c>
      <c r="F144" s="2" t="n">
        <v>85.87</v>
      </c>
      <c r="G144" s="2" t="n">
        <v>110.52</v>
      </c>
      <c r="H144" s="2" t="n">
        <v>78.08</v>
      </c>
      <c r="I144" s="2" t="n">
        <v>89.29000000000001</v>
      </c>
      <c r="J144" s="2" t="n">
        <v>93.24679999999999</v>
      </c>
      <c r="K144" s="2" t="n">
        <v>6.25</v>
      </c>
      <c r="L144" s="10" t="n">
        <v>0.07000000000000001</v>
      </c>
      <c r="M144" s="10" t="n">
        <v>0.07199999999999999</v>
      </c>
      <c r="N144" s="2" t="n">
        <v>89.6485</v>
      </c>
      <c r="O144" s="2" t="n">
        <v>2023</v>
      </c>
      <c r="P144" s="2" t="n">
        <v>94.38</v>
      </c>
      <c r="Q144" s="10" t="n">
        <v>0.0528</v>
      </c>
    </row>
    <row r="145">
      <c r="A145" s="2" t="inlineStr">
        <is>
          <t>GMEXICOB.MX</t>
        </is>
      </c>
      <c r="B145" s="2" t="inlineStr">
        <is>
          <t>Grupo Mexico SAB de CV</t>
        </is>
      </c>
      <c r="C145" s="2" t="inlineStr">
        <is>
          <t>MXN</t>
        </is>
      </c>
      <c r="D145" s="2" t="n">
        <v>2022</v>
      </c>
      <c r="E145" s="9" t="n">
        <v>44925</v>
      </c>
      <c r="F145" s="2" t="n">
        <v>89.01000000000001</v>
      </c>
      <c r="G145" s="2" t="n">
        <v>122.1</v>
      </c>
      <c r="H145" s="2" t="n">
        <v>61.69</v>
      </c>
      <c r="I145" s="2" t="n">
        <v>68.7</v>
      </c>
      <c r="J145" s="2" t="n">
        <v>87.3723</v>
      </c>
      <c r="K145" s="2" t="n">
        <v>5</v>
      </c>
      <c r="L145" s="10" t="n">
        <v>0.0728</v>
      </c>
      <c r="M145" s="10" t="n">
        <v>0.105</v>
      </c>
      <c r="N145" s="2" t="n">
        <v>73.2728</v>
      </c>
      <c r="O145" s="2" t="n">
        <v>2024</v>
      </c>
      <c r="P145" s="2" t="n">
        <v>99.28</v>
      </c>
      <c r="Q145" s="10" t="n">
        <v>0.3549</v>
      </c>
    </row>
    <row r="146">
      <c r="A146" s="2" t="inlineStr">
        <is>
          <t>GMEXICOB.MX</t>
        </is>
      </c>
      <c r="B146" s="2" t="inlineStr">
        <is>
          <t>Grupo Mexico SAB de CV</t>
        </is>
      </c>
      <c r="C146" s="2" t="inlineStr">
        <is>
          <t>MXN</t>
        </is>
      </c>
      <c r="D146" s="2" t="n">
        <v>2023</v>
      </c>
      <c r="E146" s="9" t="n">
        <v>45289</v>
      </c>
      <c r="F146" s="2" t="n">
        <v>68.73999999999999</v>
      </c>
      <c r="G146" s="2" t="n">
        <v>95.39</v>
      </c>
      <c r="H146" s="2" t="n">
        <v>68.34999999999999</v>
      </c>
      <c r="I146" s="2" t="n">
        <v>94.38</v>
      </c>
      <c r="J146" s="2" t="n">
        <v>82.699</v>
      </c>
      <c r="K146" s="2" t="n">
        <v>3.8</v>
      </c>
      <c r="L146" s="10" t="n">
        <v>0.0403</v>
      </c>
      <c r="M146" s="10" t="n">
        <v>0.103</v>
      </c>
      <c r="N146" s="2" t="n">
        <v>106.9973</v>
      </c>
      <c r="O146" s="2" t="n">
        <v>2025</v>
      </c>
      <c r="P146" s="2" t="n">
        <v>170.2001</v>
      </c>
      <c r="Q146" s="10" t="n">
        <v>0.5907</v>
      </c>
    </row>
    <row r="147">
      <c r="A147" s="2" t="inlineStr">
        <is>
          <t>GMEXICOB.MX</t>
        </is>
      </c>
      <c r="B147" s="2" t="inlineStr">
        <is>
          <t>Grupo Mexico SAB de CV</t>
        </is>
      </c>
      <c r="C147" s="2" t="inlineStr">
        <is>
          <t>MXN</t>
        </is>
      </c>
      <c r="D147" s="2" t="n">
        <v>2024</v>
      </c>
      <c r="E147" s="9" t="n">
        <v>45657</v>
      </c>
      <c r="F147" s="2" t="n">
        <v>93.7</v>
      </c>
      <c r="G147" s="2" t="n">
        <v>115.97</v>
      </c>
      <c r="H147" s="2" t="n">
        <v>79.98999999999999</v>
      </c>
      <c r="I147" s="2" t="n">
        <v>99.28</v>
      </c>
      <c r="J147" s="2" t="n">
        <v>100.1006</v>
      </c>
      <c r="K147" s="2" t="n">
        <v>4.3</v>
      </c>
      <c r="L147" s="10" t="n">
        <v>0.0433</v>
      </c>
      <c r="M147" s="10" t="n">
        <v>0.099</v>
      </c>
      <c r="N147" s="2" t="n">
        <v>110.9768</v>
      </c>
      <c r="O147" s="2" t="n">
        <v>2026</v>
      </c>
      <c r="P147" s="2" t="n">
        <v>224.11</v>
      </c>
      <c r="Q147" s="10" t="n">
        <v>1.0298</v>
      </c>
    </row>
    <row r="148">
      <c r="A148" s="2" t="inlineStr">
        <is>
          <t>GMEXICOB.MX</t>
        </is>
      </c>
      <c r="B148" s="2" t="inlineStr">
        <is>
          <t>Grupo Mexico SAB de CV</t>
        </is>
      </c>
      <c r="C148" s="2" t="inlineStr">
        <is>
          <t>MXN</t>
        </is>
      </c>
      <c r="D148" s="2" t="n">
        <v>2025</v>
      </c>
      <c r="E148" s="9" t="n">
        <v>46022</v>
      </c>
      <c r="F148" s="2" t="n">
        <v>100.23</v>
      </c>
      <c r="G148" s="2" t="n">
        <v>176.9901</v>
      </c>
      <c r="H148" s="2" t="n">
        <v>91.08</v>
      </c>
      <c r="I148" s="2" t="n">
        <v>170.2001</v>
      </c>
      <c r="J148" s="2" t="n">
        <v>122.9126</v>
      </c>
      <c r="K148" s="2" t="n">
        <v>5.1</v>
      </c>
      <c r="L148" s="10" t="n">
        <v>0.03</v>
      </c>
      <c r="M148" s="10" t="n">
        <v>0.073</v>
      </c>
      <c r="N148" s="2" t="n">
        <v>185.4982</v>
      </c>
      <c r="O148" s="2" t="n">
        <v>2027</v>
      </c>
      <c r="P148" s="2" t="n"/>
      <c r="Q148" s="10" t="n"/>
    </row>
    <row r="149">
      <c r="A149" s="2" t="inlineStr">
        <is>
          <t>GMEXICOB.MX</t>
        </is>
      </c>
      <c r="B149" s="2" t="inlineStr">
        <is>
          <t>Grupo Mexico SAB de CV</t>
        </is>
      </c>
      <c r="C149" s="2" t="inlineStr">
        <is>
          <t>MXN</t>
        </is>
      </c>
      <c r="D149" s="2" t="n">
        <v>2026</v>
      </c>
      <c r="E149" s="9" t="n">
        <v>46290</v>
      </c>
      <c r="F149" s="2" t="n">
        <v>172.2901</v>
      </c>
      <c r="G149" s="2" t="n">
        <v>240.9701</v>
      </c>
      <c r="H149" s="2" t="n">
        <v>166.5401</v>
      </c>
      <c r="I149" s="2" t="n">
        <v>224.11</v>
      </c>
      <c r="J149" s="2" t="n">
        <v>205.4347</v>
      </c>
      <c r="K149" s="2" t="n">
        <v>3.95</v>
      </c>
      <c r="L149" s="10" t="n">
        <v>0.0176</v>
      </c>
      <c r="M149" s="10" t="n">
        <v>0.073</v>
      </c>
      <c r="N149" s="2" t="n">
        <v>250.3927</v>
      </c>
      <c r="O149" s="2" t="n">
        <v>2028</v>
      </c>
      <c r="P149" s="2" t="n"/>
      <c r="Q149" s="10" t="n"/>
    </row>
    <row r="150">
      <c r="A150" s="2" t="inlineStr">
        <is>
          <t>INCO.JK</t>
        </is>
      </c>
      <c r="B150" s="2" t="inlineStr">
        <is>
          <t>PT Vale Indonesia Tbk</t>
        </is>
      </c>
      <c r="C150" s="2" t="inlineStr">
        <is>
          <t>IDR</t>
        </is>
      </c>
      <c r="D150" s="2" t="n">
        <v>2017</v>
      </c>
      <c r="E150" s="9" t="n">
        <v>43098</v>
      </c>
      <c r="F150" s="2" t="n">
        <v>2820</v>
      </c>
      <c r="G150" s="2" t="n">
        <v>3340</v>
      </c>
      <c r="H150" s="2" t="n">
        <v>1835</v>
      </c>
      <c r="I150" s="2" t="n">
        <v>2890</v>
      </c>
      <c r="J150" s="2" t="n">
        <v>2505.9252</v>
      </c>
      <c r="K150" s="2" t="n">
        <v>0</v>
      </c>
      <c r="L150" s="10" t="n">
        <v>0</v>
      </c>
      <c r="M150" s="10" t="n">
        <v>0.058</v>
      </c>
      <c r="N150" s="2" t="n">
        <v>3245.4581</v>
      </c>
      <c r="O150" s="2" t="n">
        <v>2019</v>
      </c>
      <c r="P150" s="2" t="n">
        <v>3640</v>
      </c>
      <c r="Q150" s="10" t="n">
        <v>0.1216</v>
      </c>
    </row>
    <row r="151">
      <c r="A151" s="2" t="inlineStr">
        <is>
          <t>INCO.JK</t>
        </is>
      </c>
      <c r="B151" s="2" t="inlineStr">
        <is>
          <t>PT Vale Indonesia Tbk</t>
        </is>
      </c>
      <c r="C151" s="2" t="inlineStr">
        <is>
          <t>IDR</t>
        </is>
      </c>
      <c r="D151" s="2" t="n">
        <v>2018</v>
      </c>
      <c r="E151" s="9" t="n">
        <v>43465</v>
      </c>
      <c r="F151" s="2" t="n">
        <v>2890</v>
      </c>
      <c r="G151" s="2" t="n">
        <v>4720</v>
      </c>
      <c r="H151" s="2" t="n">
        <v>2740</v>
      </c>
      <c r="I151" s="2" t="n">
        <v>3260</v>
      </c>
      <c r="J151" s="2" t="n">
        <v>3498.0843</v>
      </c>
      <c r="K151" s="2" t="n">
        <v>0</v>
      </c>
      <c r="L151" s="10" t="n">
        <v>0</v>
      </c>
      <c r="M151" s="10" t="n">
        <v>0.077</v>
      </c>
      <c r="N151" s="2" t="n">
        <v>3802.7603</v>
      </c>
      <c r="O151" s="2" t="n">
        <v>2020</v>
      </c>
      <c r="P151" s="2" t="n">
        <v>5100</v>
      </c>
      <c r="Q151" s="10" t="n">
        <v>0.3411</v>
      </c>
    </row>
    <row r="152">
      <c r="A152" s="2" t="inlineStr">
        <is>
          <t>INCO.JK</t>
        </is>
      </c>
      <c r="B152" s="2" t="inlineStr">
        <is>
          <t>PT Vale Indonesia Tbk</t>
        </is>
      </c>
      <c r="C152" s="2" t="inlineStr">
        <is>
          <t>IDR</t>
        </is>
      </c>
      <c r="D152" s="2" t="n">
        <v>2019</v>
      </c>
      <c r="E152" s="9" t="n">
        <v>43829</v>
      </c>
      <c r="F152" s="2" t="n">
        <v>3260</v>
      </c>
      <c r="G152" s="2" t="n">
        <v>4320</v>
      </c>
      <c r="H152" s="2" t="n">
        <v>2410</v>
      </c>
      <c r="I152" s="2" t="n">
        <v>3640</v>
      </c>
      <c r="J152" s="2" t="n">
        <v>3334.2023</v>
      </c>
      <c r="K152" s="2" t="n">
        <v>0</v>
      </c>
      <c r="L152" s="10" t="n">
        <v>0</v>
      </c>
      <c r="M152" s="10" t="n">
        <v>0.057</v>
      </c>
      <c r="N152" s="2" t="n">
        <v>4079.5377</v>
      </c>
      <c r="O152" s="2" t="n">
        <v>2021</v>
      </c>
      <c r="P152" s="2" t="n">
        <v>4680</v>
      </c>
      <c r="Q152" s="10" t="n">
        <v>0.1472</v>
      </c>
    </row>
    <row r="153">
      <c r="A153" s="2" t="inlineStr">
        <is>
          <t>INCO.JK</t>
        </is>
      </c>
      <c r="B153" s="2" t="inlineStr">
        <is>
          <t>PT Vale Indonesia Tbk</t>
        </is>
      </c>
      <c r="C153" s="2" t="inlineStr">
        <is>
          <t>IDR</t>
        </is>
      </c>
      <c r="D153" s="2" t="n">
        <v>2020</v>
      </c>
      <c r="E153" s="9" t="n">
        <v>44195</v>
      </c>
      <c r="F153" s="2" t="n">
        <v>3650</v>
      </c>
      <c r="G153" s="2" t="n">
        <v>5900</v>
      </c>
      <c r="H153" s="2" t="n">
        <v>1340</v>
      </c>
      <c r="I153" s="2" t="n">
        <v>5100</v>
      </c>
      <c r="J153" s="2" t="n">
        <v>3398.8843</v>
      </c>
      <c r="K153" s="2" t="n">
        <v>0</v>
      </c>
      <c r="L153" s="10" t="n">
        <v>0</v>
      </c>
      <c r="M153" s="10" t="n">
        <v>0.041</v>
      </c>
      <c r="N153" s="2" t="n">
        <v>5535.8246</v>
      </c>
      <c r="O153" s="2" t="n">
        <v>2022</v>
      </c>
      <c r="P153" s="2" t="n">
        <v>7100</v>
      </c>
      <c r="Q153" s="10" t="n">
        <v>0.2826</v>
      </c>
    </row>
    <row r="154">
      <c r="A154" s="2" t="inlineStr">
        <is>
          <t>INCO.JK</t>
        </is>
      </c>
      <c r="B154" s="2" t="inlineStr">
        <is>
          <t>PT Vale Indonesia Tbk</t>
        </is>
      </c>
      <c r="C154" s="2" t="inlineStr">
        <is>
          <t>IDR</t>
        </is>
      </c>
      <c r="D154" s="2" t="n">
        <v>2021</v>
      </c>
      <c r="E154" s="9" t="n">
        <v>44560</v>
      </c>
      <c r="F154" s="2" t="n">
        <v>5200</v>
      </c>
      <c r="G154" s="2" t="n">
        <v>7100</v>
      </c>
      <c r="H154" s="2" t="n">
        <v>4110</v>
      </c>
      <c r="I154" s="2" t="n">
        <v>4680</v>
      </c>
      <c r="J154" s="2" t="n">
        <v>5034.9798</v>
      </c>
      <c r="K154" s="2" t="n">
        <v>46.6313</v>
      </c>
      <c r="L154" s="10" t="n">
        <v>0.01</v>
      </c>
      <c r="M154" s="10" t="n">
        <v>0.039</v>
      </c>
      <c r="N154" s="2" t="n">
        <v>4959.8237</v>
      </c>
      <c r="O154" s="2" t="n">
        <v>2023</v>
      </c>
      <c r="P154" s="2" t="n">
        <v>4310</v>
      </c>
      <c r="Q154" s="10" t="n">
        <v>-0.131</v>
      </c>
    </row>
    <row r="155">
      <c r="A155" s="2" t="inlineStr">
        <is>
          <t>INCO.JK</t>
        </is>
      </c>
      <c r="B155" s="2" t="inlineStr">
        <is>
          <t>PT Vale Indonesia Tbk</t>
        </is>
      </c>
      <c r="C155" s="2" t="inlineStr">
        <is>
          <t>IDR</t>
        </is>
      </c>
      <c r="D155" s="2" t="n">
        <v>2022</v>
      </c>
      <c r="E155" s="9" t="n">
        <v>44925</v>
      </c>
      <c r="F155" s="2" t="n">
        <v>4700</v>
      </c>
      <c r="G155" s="2" t="n">
        <v>8800</v>
      </c>
      <c r="H155" s="2" t="n">
        <v>4240</v>
      </c>
      <c r="I155" s="2" t="n">
        <v>7100</v>
      </c>
      <c r="J155" s="2" t="n">
        <v>6366.4024</v>
      </c>
      <c r="K155" s="2" t="n">
        <v>0</v>
      </c>
      <c r="L155" s="10" t="n">
        <v>0</v>
      </c>
      <c r="M155" s="10" t="n">
        <v>0.059</v>
      </c>
      <c r="N155" s="2" t="n">
        <v>7989.2332</v>
      </c>
      <c r="O155" s="2" t="n">
        <v>2024</v>
      </c>
      <c r="P155" s="2" t="n">
        <v>3620</v>
      </c>
      <c r="Q155" s="10" t="n">
        <v>-0.5469000000000001</v>
      </c>
    </row>
    <row r="156">
      <c r="A156" s="2" t="inlineStr">
        <is>
          <t>INCO.JK</t>
        </is>
      </c>
      <c r="B156" s="2" t="inlineStr">
        <is>
          <t>PT Vale Indonesia Tbk</t>
        </is>
      </c>
      <c r="C156" s="2" t="inlineStr">
        <is>
          <t>IDR</t>
        </is>
      </c>
      <c r="D156" s="2" t="n">
        <v>2023</v>
      </c>
      <c r="E156" s="9" t="n">
        <v>45289</v>
      </c>
      <c r="F156" s="2" t="n">
        <v>7125</v>
      </c>
      <c r="G156" s="2" t="n">
        <v>7750</v>
      </c>
      <c r="H156" s="2" t="n">
        <v>4010</v>
      </c>
      <c r="I156" s="2" t="n">
        <v>4310</v>
      </c>
      <c r="J156" s="2" t="n">
        <v>6121.4435</v>
      </c>
      <c r="K156" s="2" t="n">
        <v>88.33329999999999</v>
      </c>
      <c r="L156" s="10" t="n">
        <v>0.0205</v>
      </c>
      <c r="M156" s="10" t="n">
        <v>0.064</v>
      </c>
      <c r="N156" s="2" t="n">
        <v>4701.8119</v>
      </c>
      <c r="O156" s="2" t="n">
        <v>2025</v>
      </c>
      <c r="P156" s="2" t="n">
        <v>5175</v>
      </c>
      <c r="Q156" s="10" t="n">
        <v>0.1006</v>
      </c>
    </row>
    <row r="157">
      <c r="A157" s="2" t="inlineStr">
        <is>
          <t>INCO.JK</t>
        </is>
      </c>
      <c r="B157" s="2" t="inlineStr">
        <is>
          <t>PT Vale Indonesia Tbk</t>
        </is>
      </c>
      <c r="C157" s="2" t="inlineStr">
        <is>
          <t>IDR</t>
        </is>
      </c>
      <c r="D157" s="2" t="n">
        <v>2024</v>
      </c>
      <c r="E157" s="9" t="n">
        <v>45656</v>
      </c>
      <c r="F157" s="2" t="n">
        <v>4320</v>
      </c>
      <c r="G157" s="2" t="n">
        <v>5300</v>
      </c>
      <c r="H157" s="2" t="n">
        <v>3500</v>
      </c>
      <c r="I157" s="2" t="n">
        <v>3620</v>
      </c>
      <c r="J157" s="2" t="n">
        <v>4009.8058</v>
      </c>
      <c r="K157" s="2" t="n">
        <v>0</v>
      </c>
      <c r="L157" s="10" t="n">
        <v>0</v>
      </c>
      <c r="M157" s="10" t="n">
        <v>0.06900000000000001</v>
      </c>
      <c r="N157" s="2" t="n">
        <v>4155.6715</v>
      </c>
      <c r="O157" s="2" t="n">
        <v>2026</v>
      </c>
      <c r="P157" s="2" t="n">
        <v>4680</v>
      </c>
      <c r="Q157" s="10" t="n">
        <v>0.1262</v>
      </c>
    </row>
    <row r="158">
      <c r="A158" s="2" t="inlineStr">
        <is>
          <t>INCO.JK</t>
        </is>
      </c>
      <c r="B158" s="2" t="inlineStr">
        <is>
          <t>PT Vale Indonesia Tbk</t>
        </is>
      </c>
      <c r="C158" s="2" t="inlineStr">
        <is>
          <t>IDR</t>
        </is>
      </c>
      <c r="D158" s="2" t="n">
        <v>2025</v>
      </c>
      <c r="E158" s="9" t="n">
        <v>46021</v>
      </c>
      <c r="F158" s="2" t="n">
        <v>3620</v>
      </c>
      <c r="G158" s="2" t="n">
        <v>5325</v>
      </c>
      <c r="H158" s="2" t="n">
        <v>1825</v>
      </c>
      <c r="I158" s="2" t="n">
        <v>5175</v>
      </c>
      <c r="J158" s="2" t="n">
        <v>3525.2119</v>
      </c>
      <c r="K158" s="2" t="n">
        <v>53.4</v>
      </c>
      <c r="L158" s="10" t="n">
        <v>0.0103</v>
      </c>
      <c r="M158" s="10" t="n">
        <v>0.05</v>
      </c>
      <c r="N158" s="2" t="n">
        <v>5602.4369</v>
      </c>
      <c r="O158" s="2" t="n">
        <v>2027</v>
      </c>
      <c r="P158" s="2" t="n"/>
      <c r="Q158" s="10" t="n"/>
    </row>
    <row r="159">
      <c r="A159" s="2" t="inlineStr">
        <is>
          <t>INCO.JK</t>
        </is>
      </c>
      <c r="B159" s="2" t="inlineStr">
        <is>
          <t>PT Vale Indonesia Tbk</t>
        </is>
      </c>
      <c r="C159" s="2" t="inlineStr">
        <is>
          <t>IDR</t>
        </is>
      </c>
      <c r="D159" s="2" t="n">
        <v>2026</v>
      </c>
      <c r="E159" s="9" t="n">
        <v>46290</v>
      </c>
      <c r="F159" s="2" t="n">
        <v>5300</v>
      </c>
      <c r="G159" s="2" t="n">
        <v>7900</v>
      </c>
      <c r="H159" s="2" t="n">
        <v>3960</v>
      </c>
      <c r="I159" s="2" t="n">
        <v>4680</v>
      </c>
      <c r="J159" s="2" t="n">
        <v>5592.0506</v>
      </c>
      <c r="K159" s="2" t="n">
        <v>77.90000000000001</v>
      </c>
      <c r="L159" s="10" t="n">
        <v>0.0166</v>
      </c>
      <c r="M159" s="10" t="n">
        <v>0.05</v>
      </c>
      <c r="N159" s="2" t="n">
        <v>5002.8488</v>
      </c>
      <c r="O159" s="2" t="n">
        <v>2028</v>
      </c>
      <c r="P159" s="2" t="n"/>
      <c r="Q159" s="10" t="n"/>
    </row>
    <row r="160">
      <c r="A160" s="2" t="inlineStr">
        <is>
          <t>LUN.TO</t>
        </is>
      </c>
      <c r="B160" s="2" t="inlineStr">
        <is>
          <t>Lundin Mining Corp</t>
        </is>
      </c>
      <c r="C160" s="2" t="inlineStr">
        <is>
          <t>CAD</t>
        </is>
      </c>
      <c r="D160" s="2" t="n">
        <v>2017</v>
      </c>
      <c r="E160" s="9" t="n">
        <v>43098</v>
      </c>
      <c r="F160" s="2" t="n">
        <v>6.53</v>
      </c>
      <c r="G160" s="2" t="n">
        <v>10.22</v>
      </c>
      <c r="H160" s="2" t="n">
        <v>6.49</v>
      </c>
      <c r="I160" s="2" t="n">
        <v>8.359999999999999</v>
      </c>
      <c r="J160" s="2" t="n">
        <v>8.196400000000001</v>
      </c>
      <c r="K160" s="2" t="n">
        <v>0.12</v>
      </c>
      <c r="L160" s="10" t="n">
        <v>0.0144</v>
      </c>
      <c r="M160" s="10" t="n">
        <v>0.0169</v>
      </c>
      <c r="N160" s="2" t="n">
        <v>8.402699999999999</v>
      </c>
      <c r="O160" s="2" t="n">
        <v>2019</v>
      </c>
      <c r="P160" s="2" t="n">
        <v>7.76</v>
      </c>
      <c r="Q160" s="10" t="n">
        <v>-0.0765</v>
      </c>
    </row>
    <row r="161">
      <c r="A161" s="2" t="inlineStr">
        <is>
          <t>LUN.TO</t>
        </is>
      </c>
      <c r="B161" s="2" t="inlineStr">
        <is>
          <t>Lundin Mining Corp</t>
        </is>
      </c>
      <c r="C161" s="2" t="inlineStr">
        <is>
          <t>CAD</t>
        </is>
      </c>
      <c r="D161" s="2" t="n">
        <v>2018</v>
      </c>
      <c r="E161" s="9" t="n">
        <v>43465</v>
      </c>
      <c r="F161" s="2" t="n">
        <v>8.42</v>
      </c>
      <c r="G161" s="2" t="n">
        <v>9.210000000000001</v>
      </c>
      <c r="H161" s="2" t="n">
        <v>4.7</v>
      </c>
      <c r="I161" s="2" t="n">
        <v>5.64</v>
      </c>
      <c r="J161" s="2" t="n">
        <v>7.3422</v>
      </c>
      <c r="K161" s="2" t="n">
        <v>0.12</v>
      </c>
      <c r="L161" s="10" t="n">
        <v>0.0213</v>
      </c>
      <c r="M161" s="10" t="n">
        <v>0.0186</v>
      </c>
      <c r="N161" s="2" t="n">
        <v>5.6099</v>
      </c>
      <c r="O161" s="2" t="n">
        <v>2020</v>
      </c>
      <c r="P161" s="2" t="n">
        <v>11.3</v>
      </c>
      <c r="Q161" s="10" t="n">
        <v>1.0143</v>
      </c>
    </row>
    <row r="162">
      <c r="A162" s="2" t="inlineStr">
        <is>
          <t>LUN.TO</t>
        </is>
      </c>
      <c r="B162" s="2" t="inlineStr">
        <is>
          <t>Lundin Mining Corp</t>
        </is>
      </c>
      <c r="C162" s="2" t="inlineStr">
        <is>
          <t>CAD</t>
        </is>
      </c>
      <c r="D162" s="2" t="n">
        <v>2019</v>
      </c>
      <c r="E162" s="9" t="n">
        <v>43830</v>
      </c>
      <c r="F162" s="2" t="n">
        <v>5.49</v>
      </c>
      <c r="G162" s="2" t="n">
        <v>7.98</v>
      </c>
      <c r="H162" s="2" t="n">
        <v>5.44</v>
      </c>
      <c r="I162" s="2" t="n">
        <v>7.76</v>
      </c>
      <c r="J162" s="2" t="n">
        <v>6.6515</v>
      </c>
      <c r="K162" s="2" t="n">
        <v>0.12</v>
      </c>
      <c r="L162" s="10" t="n">
        <v>0.0155</v>
      </c>
      <c r="M162" s="10" t="n">
        <v>0.017</v>
      </c>
      <c r="N162" s="2" t="n">
        <v>7.7839</v>
      </c>
      <c r="O162" s="2" t="n">
        <v>2021</v>
      </c>
      <c r="P162" s="2" t="n">
        <v>9.880000000000001</v>
      </c>
      <c r="Q162" s="10" t="n">
        <v>0.2693</v>
      </c>
    </row>
    <row r="163">
      <c r="A163" s="2" t="inlineStr">
        <is>
          <t>LUN.TO</t>
        </is>
      </c>
      <c r="B163" s="2" t="inlineStr">
        <is>
          <t>Lundin Mining Corp</t>
        </is>
      </c>
      <c r="C163" s="2" t="inlineStr">
        <is>
          <t>CAD</t>
        </is>
      </c>
      <c r="D163" s="2" t="n">
        <v>2020</v>
      </c>
      <c r="E163" s="9" t="n">
        <v>44196</v>
      </c>
      <c r="F163" s="2" t="n">
        <v>7.86</v>
      </c>
      <c r="G163" s="2" t="n">
        <v>11.5</v>
      </c>
      <c r="H163" s="2" t="n">
        <v>4.08</v>
      </c>
      <c r="I163" s="2" t="n">
        <v>11.3</v>
      </c>
      <c r="J163" s="2" t="n">
        <v>7.555</v>
      </c>
      <c r="K163" s="2" t="n">
        <v>0.16</v>
      </c>
      <c r="L163" s="10" t="n">
        <v>0.0142</v>
      </c>
      <c r="M163" s="10" t="n">
        <v>0.002</v>
      </c>
      <c r="N163" s="2" t="n">
        <v>11.0285</v>
      </c>
      <c r="O163" s="2" t="n">
        <v>2022</v>
      </c>
      <c r="P163" s="2" t="n">
        <v>8.31</v>
      </c>
      <c r="Q163" s="10" t="n">
        <v>-0.2465</v>
      </c>
    </row>
    <row r="164">
      <c r="A164" s="2" t="inlineStr">
        <is>
          <t>LUN.TO</t>
        </is>
      </c>
      <c r="B164" s="2" t="inlineStr">
        <is>
          <t>Lundin Mining Corp</t>
        </is>
      </c>
      <c r="C164" s="2" t="inlineStr">
        <is>
          <t>CAD</t>
        </is>
      </c>
      <c r="D164" s="2" t="n">
        <v>2021</v>
      </c>
      <c r="E164" s="9" t="n">
        <v>44561</v>
      </c>
      <c r="F164" s="2" t="n">
        <v>11.51</v>
      </c>
      <c r="G164" s="2" t="n">
        <v>16.07</v>
      </c>
      <c r="H164" s="2" t="n">
        <v>8.56</v>
      </c>
      <c r="I164" s="2" t="n">
        <v>9.880000000000001</v>
      </c>
      <c r="J164" s="2" t="n">
        <v>11.8484</v>
      </c>
      <c r="K164" s="2" t="n">
        <v>0.39</v>
      </c>
      <c r="L164" s="10" t="n">
        <v>0.0395</v>
      </c>
      <c r="M164" s="10" t="n">
        <v>0.0095</v>
      </c>
      <c r="N164" s="2" t="n">
        <v>9.305099999999999</v>
      </c>
      <c r="O164" s="2" t="n">
        <v>2023</v>
      </c>
      <c r="P164" s="2" t="n">
        <v>10.84</v>
      </c>
      <c r="Q164" s="10" t="n">
        <v>0.1649</v>
      </c>
    </row>
    <row r="165">
      <c r="A165" s="2" t="inlineStr">
        <is>
          <t>LUN.TO</t>
        </is>
      </c>
      <c r="B165" s="2" t="inlineStr">
        <is>
          <t>Lundin Mining Corp</t>
        </is>
      </c>
      <c r="C165" s="2" t="inlineStr">
        <is>
          <t>CAD</t>
        </is>
      </c>
      <c r="D165" s="2" t="n">
        <v>2022</v>
      </c>
      <c r="E165" s="9" t="n">
        <v>44925</v>
      </c>
      <c r="F165" s="2" t="n">
        <v>10.07</v>
      </c>
      <c r="G165" s="2" t="n">
        <v>14</v>
      </c>
      <c r="H165" s="2" t="n">
        <v>6.24</v>
      </c>
      <c r="I165" s="2" t="n">
        <v>8.31</v>
      </c>
      <c r="J165" s="2" t="n">
        <v>9.3903</v>
      </c>
      <c r="K165" s="2" t="n">
        <v>0.47</v>
      </c>
      <c r="L165" s="10" t="n">
        <v>0.0566</v>
      </c>
      <c r="M165" s="10" t="n">
        <v>0.0405</v>
      </c>
      <c r="N165" s="2" t="n">
        <v>8.0474</v>
      </c>
      <c r="O165" s="2" t="n">
        <v>2024</v>
      </c>
      <c r="P165" s="2" t="n">
        <v>12.37</v>
      </c>
      <c r="Q165" s="10" t="n">
        <v>0.5372</v>
      </c>
    </row>
    <row r="166">
      <c r="A166" s="2" t="inlineStr">
        <is>
          <t>LUN.TO</t>
        </is>
      </c>
      <c r="B166" s="2" t="inlineStr">
        <is>
          <t>Lundin Mining Corp</t>
        </is>
      </c>
      <c r="C166" s="2" t="inlineStr">
        <is>
          <t>CAD</t>
        </is>
      </c>
      <c r="D166" s="2" t="n">
        <v>2023</v>
      </c>
      <c r="E166" s="9" t="n">
        <v>45289</v>
      </c>
      <c r="F166" s="2" t="n">
        <v>8.5</v>
      </c>
      <c r="G166" s="2" t="n">
        <v>11.93</v>
      </c>
      <c r="H166" s="2" t="n">
        <v>7.35</v>
      </c>
      <c r="I166" s="2" t="n">
        <v>10.84</v>
      </c>
      <c r="J166" s="2" t="n">
        <v>9.807700000000001</v>
      </c>
      <c r="K166" s="2" t="n">
        <v>0.36</v>
      </c>
      <c r="L166" s="10" t="n">
        <v>0.0332</v>
      </c>
      <c r="M166" s="10" t="n">
        <v>0.0388</v>
      </c>
      <c r="N166" s="2" t="n">
        <v>10.9619</v>
      </c>
      <c r="O166" s="2" t="n">
        <v>2025</v>
      </c>
      <c r="P166" s="2" t="n">
        <v>29.5</v>
      </c>
      <c r="Q166" s="10" t="n">
        <v>1.6911</v>
      </c>
    </row>
    <row r="167">
      <c r="A167" s="2" t="inlineStr">
        <is>
          <t>LUN.TO</t>
        </is>
      </c>
      <c r="B167" s="2" t="inlineStr">
        <is>
          <t>Lundin Mining Corp</t>
        </is>
      </c>
      <c r="C167" s="2" t="inlineStr">
        <is>
          <t>CAD</t>
        </is>
      </c>
      <c r="D167" s="2" t="n">
        <v>2024</v>
      </c>
      <c r="E167" s="9" t="n">
        <v>45657</v>
      </c>
      <c r="F167" s="2" t="n">
        <v>10.72</v>
      </c>
      <c r="G167" s="2" t="n">
        <v>17.97</v>
      </c>
      <c r="H167" s="2" t="n">
        <v>9.85</v>
      </c>
      <c r="I167" s="2" t="n">
        <v>12.37</v>
      </c>
      <c r="J167" s="2" t="n">
        <v>13.6098</v>
      </c>
      <c r="K167" s="2" t="n">
        <v>0.45</v>
      </c>
      <c r="L167" s="10" t="n">
        <v>0.0364</v>
      </c>
      <c r="M167" s="10" t="n">
        <v>0.0293</v>
      </c>
      <c r="N167" s="2" t="n">
        <v>12.1961</v>
      </c>
      <c r="O167" s="2" t="n">
        <v>2026</v>
      </c>
      <c r="P167" s="2" t="n">
        <v>34.98</v>
      </c>
      <c r="Q167" s="10" t="n">
        <v>1.8681</v>
      </c>
    </row>
    <row r="168">
      <c r="A168" s="2" t="inlineStr">
        <is>
          <t>LUN.TO</t>
        </is>
      </c>
      <c r="B168" s="2" t="inlineStr">
        <is>
          <t>Lundin Mining Corp</t>
        </is>
      </c>
      <c r="C168" s="2" t="inlineStr">
        <is>
          <t>CAD</t>
        </is>
      </c>
      <c r="D168" s="2" t="n">
        <v>2025</v>
      </c>
      <c r="E168" s="9" t="n">
        <v>46022</v>
      </c>
      <c r="F168" s="2" t="n">
        <v>12.65</v>
      </c>
      <c r="G168" s="2" t="n">
        <v>29.82</v>
      </c>
      <c r="H168" s="2" t="n">
        <v>8.94</v>
      </c>
      <c r="I168" s="2" t="n">
        <v>29.5</v>
      </c>
      <c r="J168" s="2" t="n">
        <v>16.2306</v>
      </c>
      <c r="K168" s="2" t="n">
        <v>0.174</v>
      </c>
      <c r="L168" s="10" t="n">
        <v>0.0059</v>
      </c>
      <c r="M168" s="10" t="n">
        <v>0.026</v>
      </c>
      <c r="N168" s="2" t="n">
        <v>30.7102</v>
      </c>
      <c r="O168" s="2" t="n">
        <v>2027</v>
      </c>
      <c r="P168" s="2" t="n"/>
      <c r="Q168" s="10" t="n"/>
    </row>
    <row r="169">
      <c r="A169" s="2" t="inlineStr">
        <is>
          <t>LUN.TO</t>
        </is>
      </c>
      <c r="B169" s="2" t="inlineStr">
        <is>
          <t>Lundin Mining Corp</t>
        </is>
      </c>
      <c r="C169" s="2" t="inlineStr">
        <is>
          <t>CAD</t>
        </is>
      </c>
      <c r="D169" s="2" t="n">
        <v>2026</v>
      </c>
      <c r="E169" s="9" t="n">
        <v>46290</v>
      </c>
      <c r="F169" s="2" t="n">
        <v>30.08</v>
      </c>
      <c r="G169" s="2" t="n">
        <v>45.74</v>
      </c>
      <c r="H169" s="2" t="n">
        <v>29.18</v>
      </c>
      <c r="I169" s="2" t="n">
        <v>34.98</v>
      </c>
      <c r="J169" s="2" t="n">
        <v>36.1563</v>
      </c>
      <c r="K169" s="2" t="n">
        <v>0.08400000000000001</v>
      </c>
      <c r="L169" s="10" t="n">
        <v>0.0024</v>
      </c>
      <c r="M169" s="10" t="n">
        <v>0.026</v>
      </c>
      <c r="N169" s="2" t="n">
        <v>36.6705</v>
      </c>
      <c r="O169" s="2" t="n">
        <v>2028</v>
      </c>
      <c r="P169" s="2" t="n"/>
      <c r="Q169" s="10" t="n"/>
    </row>
    <row r="170">
      <c r="A170" s="2" t="inlineStr">
        <is>
          <t>MIN.AX</t>
        </is>
      </c>
      <c r="B170" s="2" t="inlineStr">
        <is>
          <t>Mineral Resources Ltd</t>
        </is>
      </c>
      <c r="C170" s="2" t="inlineStr">
        <is>
          <t>AUD</t>
        </is>
      </c>
      <c r="D170" s="2" t="n">
        <v>2017</v>
      </c>
      <c r="E170" s="9" t="n">
        <v>43098</v>
      </c>
      <c r="F170" s="2" t="n">
        <v>12.01</v>
      </c>
      <c r="G170" s="2" t="n">
        <v>21.39</v>
      </c>
      <c r="H170" s="2" t="n">
        <v>9.15</v>
      </c>
      <c r="I170" s="2" t="n">
        <v>21.14</v>
      </c>
      <c r="J170" s="2" t="n">
        <v>13.5997</v>
      </c>
      <c r="K170" s="2" t="n">
        <v>0.54</v>
      </c>
      <c r="L170" s="10" t="n">
        <v>0.0255</v>
      </c>
      <c r="M170" s="10" t="n">
        <v>0.02</v>
      </c>
      <c r="N170" s="2" t="n">
        <v>20.9069</v>
      </c>
      <c r="O170" s="2" t="n">
        <v>2019</v>
      </c>
      <c r="P170" s="2" t="n">
        <v>16.5</v>
      </c>
      <c r="Q170" s="10" t="n">
        <v>-0.2108</v>
      </c>
    </row>
    <row r="171">
      <c r="A171" s="2" t="inlineStr">
        <is>
          <t>MIN.AX</t>
        </is>
      </c>
      <c r="B171" s="2" t="inlineStr">
        <is>
          <t>Mineral Resources Ltd</t>
        </is>
      </c>
      <c r="C171" s="2" t="inlineStr">
        <is>
          <t>AUD</t>
        </is>
      </c>
      <c r="D171" s="2" t="n">
        <v>2018</v>
      </c>
      <c r="E171" s="9" t="n">
        <v>43465</v>
      </c>
      <c r="F171" s="2" t="n">
        <v>21.16</v>
      </c>
      <c r="G171" s="2" t="n">
        <v>22.14</v>
      </c>
      <c r="H171" s="2" t="n">
        <v>12.39</v>
      </c>
      <c r="I171" s="2" t="n">
        <v>15.47</v>
      </c>
      <c r="J171" s="2" t="n">
        <v>16.8104</v>
      </c>
      <c r="K171" s="2" t="n">
        <v>0.65</v>
      </c>
      <c r="L171" s="10" t="n">
        <v>0.042</v>
      </c>
      <c r="M171" s="10" t="n">
        <v>0.019</v>
      </c>
      <c r="N171" s="2" t="n">
        <v>14.774</v>
      </c>
      <c r="O171" s="2" t="n">
        <v>2020</v>
      </c>
      <c r="P171" s="2" t="n">
        <v>37.45</v>
      </c>
      <c r="Q171" s="10" t="n">
        <v>1.5349</v>
      </c>
    </row>
    <row r="172">
      <c r="A172" s="2" t="inlineStr">
        <is>
          <t>MIN.AX</t>
        </is>
      </c>
      <c r="B172" s="2" t="inlineStr">
        <is>
          <t>Mineral Resources Ltd</t>
        </is>
      </c>
      <c r="C172" s="2" t="inlineStr">
        <is>
          <t>AUD</t>
        </is>
      </c>
      <c r="D172" s="2" t="n">
        <v>2019</v>
      </c>
      <c r="E172" s="9" t="n">
        <v>43830</v>
      </c>
      <c r="F172" s="2" t="n">
        <v>15.49</v>
      </c>
      <c r="G172" s="2" t="n">
        <v>18.12</v>
      </c>
      <c r="H172" s="2" t="n">
        <v>12.44</v>
      </c>
      <c r="I172" s="2" t="n">
        <v>16.5</v>
      </c>
      <c r="J172" s="2" t="n">
        <v>15.1182</v>
      </c>
      <c r="K172" s="2" t="n">
        <v>0.44</v>
      </c>
      <c r="L172" s="10" t="n">
        <v>0.0267</v>
      </c>
      <c r="M172" s="10" t="n">
        <v>0.008999999999999999</v>
      </c>
      <c r="N172" s="2" t="n">
        <v>15.9272</v>
      </c>
      <c r="O172" s="2" t="n">
        <v>2021</v>
      </c>
      <c r="P172" s="2" t="n">
        <v>56</v>
      </c>
      <c r="Q172" s="10" t="n">
        <v>2.516</v>
      </c>
    </row>
    <row r="173">
      <c r="A173" s="2" t="inlineStr">
        <is>
          <t>MIN.AX</t>
        </is>
      </c>
      <c r="B173" s="2" t="inlineStr">
        <is>
          <t>Mineral Resources Ltd</t>
        </is>
      </c>
      <c r="C173" s="2" t="inlineStr">
        <is>
          <t>AUD</t>
        </is>
      </c>
      <c r="D173" s="2" t="n">
        <v>2020</v>
      </c>
      <c r="E173" s="9" t="n">
        <v>44196</v>
      </c>
      <c r="F173" s="2" t="n">
        <v>16.5</v>
      </c>
      <c r="G173" s="2" t="n">
        <v>37.83</v>
      </c>
      <c r="H173" s="2" t="n">
        <v>12.11</v>
      </c>
      <c r="I173" s="2" t="n">
        <v>37.45</v>
      </c>
      <c r="J173" s="2" t="n">
        <v>22.586</v>
      </c>
      <c r="K173" s="2" t="n">
        <v>1</v>
      </c>
      <c r="L173" s="10" t="n">
        <v>0.0267</v>
      </c>
      <c r="M173" s="10" t="n">
        <v>0.001</v>
      </c>
      <c r="N173" s="2" t="n">
        <v>35.5735</v>
      </c>
      <c r="O173" s="2" t="n">
        <v>2022</v>
      </c>
      <c r="P173" s="2" t="n">
        <v>77.2</v>
      </c>
      <c r="Q173" s="10" t="n">
        <v>1.1702</v>
      </c>
    </row>
    <row r="174">
      <c r="A174" s="2" t="inlineStr">
        <is>
          <t>MIN.AX</t>
        </is>
      </c>
      <c r="B174" s="2" t="inlineStr">
        <is>
          <t>Mineral Resources Ltd</t>
        </is>
      </c>
      <c r="C174" s="2" t="inlineStr">
        <is>
          <t>AUD</t>
        </is>
      </c>
      <c r="D174" s="2" t="n">
        <v>2021</v>
      </c>
      <c r="E174" s="9" t="n">
        <v>44561</v>
      </c>
      <c r="F174" s="2" t="n">
        <v>38.93</v>
      </c>
      <c r="G174" s="2" t="n">
        <v>65.38</v>
      </c>
      <c r="H174" s="2" t="n">
        <v>33.33</v>
      </c>
      <c r="I174" s="2" t="n">
        <v>56</v>
      </c>
      <c r="J174" s="2" t="n">
        <v>46.0454</v>
      </c>
      <c r="K174" s="2" t="n">
        <v>2.75</v>
      </c>
      <c r="L174" s="10" t="n">
        <v>0.0491</v>
      </c>
      <c r="M174" s="10" t="n">
        <v>0.006</v>
      </c>
      <c r="N174" s="2" t="n">
        <v>51.3743</v>
      </c>
      <c r="O174" s="2" t="n">
        <v>2023</v>
      </c>
      <c r="P174" s="2" t="n">
        <v>70</v>
      </c>
      <c r="Q174" s="10" t="n">
        <v>0.3625</v>
      </c>
    </row>
    <row r="175">
      <c r="A175" s="2" t="inlineStr">
        <is>
          <t>MIN.AX</t>
        </is>
      </c>
      <c r="B175" s="2" t="inlineStr">
        <is>
          <t>Mineral Resources Ltd</t>
        </is>
      </c>
      <c r="C175" s="2" t="inlineStr">
        <is>
          <t>AUD</t>
        </is>
      </c>
      <c r="D175" s="2" t="n">
        <v>2022</v>
      </c>
      <c r="E175" s="9" t="n">
        <v>44925</v>
      </c>
      <c r="F175" s="2" t="n">
        <v>56.22</v>
      </c>
      <c r="G175" s="2" t="n">
        <v>92.44</v>
      </c>
      <c r="H175" s="2" t="n">
        <v>42.75</v>
      </c>
      <c r="I175" s="2" t="n">
        <v>77.2</v>
      </c>
      <c r="J175" s="2" t="n">
        <v>61.6235</v>
      </c>
      <c r="K175" s="2" t="n">
        <v>1</v>
      </c>
      <c r="L175" s="10" t="n">
        <v>0.013</v>
      </c>
      <c r="M175" s="10" t="n">
        <v>0.035</v>
      </c>
      <c r="N175" s="2" t="n">
        <v>80.6802</v>
      </c>
      <c r="O175" s="2" t="n">
        <v>2024</v>
      </c>
      <c r="P175" s="2" t="n">
        <v>34.25</v>
      </c>
      <c r="Q175" s="10" t="n">
        <v>-0.5755</v>
      </c>
    </row>
    <row r="176">
      <c r="A176" s="2" t="inlineStr">
        <is>
          <t>MIN.AX</t>
        </is>
      </c>
      <c r="B176" s="2" t="inlineStr">
        <is>
          <t>Mineral Resources Ltd</t>
        </is>
      </c>
      <c r="C176" s="2" t="inlineStr">
        <is>
          <t>AUD</t>
        </is>
      </c>
      <c r="D176" s="2" t="n">
        <v>2023</v>
      </c>
      <c r="E176" s="9" t="n">
        <v>45289</v>
      </c>
      <c r="F176" s="2" t="n">
        <v>78.39</v>
      </c>
      <c r="G176" s="2" t="n">
        <v>96.97</v>
      </c>
      <c r="H176" s="2" t="n">
        <v>56.2</v>
      </c>
      <c r="I176" s="2" t="n">
        <v>70</v>
      </c>
      <c r="J176" s="2" t="n">
        <v>72.59999999999999</v>
      </c>
      <c r="K176" s="2" t="n">
        <v>1.9</v>
      </c>
      <c r="L176" s="10" t="n">
        <v>0.0271</v>
      </c>
      <c r="M176" s="10" t="n">
        <v>0.037</v>
      </c>
      <c r="N176" s="2" t="n">
        <v>71.3937</v>
      </c>
      <c r="O176" s="2" t="n">
        <v>2025</v>
      </c>
      <c r="P176" s="2" t="n">
        <v>54.38</v>
      </c>
      <c r="Q176" s="10" t="n">
        <v>-0.2383</v>
      </c>
    </row>
    <row r="177">
      <c r="A177" s="2" t="inlineStr">
        <is>
          <t>MIN.AX</t>
        </is>
      </c>
      <c r="B177" s="2" t="inlineStr">
        <is>
          <t>Mineral Resources Ltd</t>
        </is>
      </c>
      <c r="C177" s="2" t="inlineStr">
        <is>
          <t>AUD</t>
        </is>
      </c>
      <c r="D177" s="2" t="n">
        <v>2024</v>
      </c>
      <c r="E177" s="9" t="n">
        <v>45657</v>
      </c>
      <c r="F177" s="2" t="n">
        <v>69.90000000000001</v>
      </c>
      <c r="G177" s="2" t="n">
        <v>79.76000000000001</v>
      </c>
      <c r="H177" s="2" t="n">
        <v>29.51</v>
      </c>
      <c r="I177" s="2" t="n">
        <v>34.25</v>
      </c>
      <c r="J177" s="2" t="n">
        <v>54.4461</v>
      </c>
      <c r="K177" s="2" t="n">
        <v>0.2</v>
      </c>
      <c r="L177" s="10" t="n">
        <v>0.0058</v>
      </c>
      <c r="M177" s="10" t="n">
        <v>0.0385</v>
      </c>
      <c r="N177" s="2" t="n">
        <v>36.5619</v>
      </c>
      <c r="O177" s="2" t="n">
        <v>2026</v>
      </c>
      <c r="P177" s="2" t="n">
        <v>52.41</v>
      </c>
      <c r="Q177" s="10" t="n">
        <v>0.4335</v>
      </c>
    </row>
    <row r="178">
      <c r="A178" s="2" t="inlineStr">
        <is>
          <t>MIN.AX</t>
        </is>
      </c>
      <c r="B178" s="2" t="inlineStr">
        <is>
          <t>Mineral Resources Ltd</t>
        </is>
      </c>
      <c r="C178" s="2" t="inlineStr">
        <is>
          <t>AUD</t>
        </is>
      </c>
      <c r="D178" s="2" t="n">
        <v>2025</v>
      </c>
      <c r="E178" s="9" t="n">
        <v>46022</v>
      </c>
      <c r="F178" s="2" t="n">
        <v>34.65</v>
      </c>
      <c r="G178" s="2" t="n">
        <v>56.56</v>
      </c>
      <c r="H178" s="2" t="n">
        <v>14.05</v>
      </c>
      <c r="I178" s="2" t="n">
        <v>54.38</v>
      </c>
      <c r="J178" s="2" t="n">
        <v>33.1684</v>
      </c>
      <c r="K178" s="2" t="n">
        <v>0</v>
      </c>
      <c r="L178" s="10" t="n">
        <v>0</v>
      </c>
      <c r="M178" s="10" t="n">
        <v>0.039</v>
      </c>
      <c r="N178" s="2" t="n">
        <v>58.7915</v>
      </c>
      <c r="O178" s="2" t="n">
        <v>2027</v>
      </c>
      <c r="P178" s="2" t="n"/>
      <c r="Q178" s="10" t="n"/>
    </row>
    <row r="179">
      <c r="A179" s="2" t="inlineStr">
        <is>
          <t>MIN.AX</t>
        </is>
      </c>
      <c r="B179" s="2" t="inlineStr">
        <is>
          <t>Mineral Resources Ltd</t>
        </is>
      </c>
      <c r="C179" s="2" t="inlineStr">
        <is>
          <t>AUD</t>
        </is>
      </c>
      <c r="D179" s="2" t="n">
        <v>2026</v>
      </c>
      <c r="E179" s="9" t="n">
        <v>46290</v>
      </c>
      <c r="F179" s="2" t="n">
        <v>54.4</v>
      </c>
      <c r="G179" s="2" t="n">
        <v>74.94</v>
      </c>
      <c r="H179" s="2" t="n">
        <v>48.27</v>
      </c>
      <c r="I179" s="2" t="n">
        <v>52.41</v>
      </c>
      <c r="J179" s="2" t="n">
        <v>60.7661</v>
      </c>
      <c r="K179" s="2" t="n">
        <v>0.83</v>
      </c>
      <c r="L179" s="10" t="n">
        <v>0.0158</v>
      </c>
      <c r="M179" s="10" t="n">
        <v>0.039</v>
      </c>
      <c r="N179" s="2" t="n">
        <v>54.8951</v>
      </c>
      <c r="O179" s="2" t="n">
        <v>2028</v>
      </c>
      <c r="P179" s="2" t="n"/>
      <c r="Q179" s="10" t="n"/>
    </row>
    <row r="180">
      <c r="A180" s="2" t="inlineStr">
        <is>
          <t>MT</t>
        </is>
      </c>
      <c r="B180" s="2" t="inlineStr">
        <is>
          <t>ArcelorMittal SA</t>
        </is>
      </c>
      <c r="C180" s="2" t="inlineStr">
        <is>
          <t>USD</t>
        </is>
      </c>
      <c r="D180" s="2" t="n">
        <v>2017</v>
      </c>
      <c r="E180" s="9" t="n">
        <v>43098</v>
      </c>
      <c r="F180" s="2" t="n">
        <v>7.39</v>
      </c>
      <c r="G180" s="2" t="n">
        <v>33.01</v>
      </c>
      <c r="H180" s="2" t="n">
        <v>7</v>
      </c>
      <c r="I180" s="2" t="n">
        <v>32.31</v>
      </c>
      <c r="J180" s="2" t="n">
        <v>19.5359</v>
      </c>
      <c r="K180" s="2" t="n">
        <v>0</v>
      </c>
      <c r="L180" s="10" t="n">
        <v>0</v>
      </c>
      <c r="M180" s="10" t="n">
        <v>0.0189</v>
      </c>
      <c r="N180" s="2" t="n">
        <v>33.5547</v>
      </c>
      <c r="O180" s="2" t="n">
        <v>2019</v>
      </c>
      <c r="P180" s="2" t="n">
        <v>17.54</v>
      </c>
      <c r="Q180" s="10" t="n">
        <v>-0.4773</v>
      </c>
    </row>
    <row r="181">
      <c r="A181" s="2" t="inlineStr">
        <is>
          <t>MT</t>
        </is>
      </c>
      <c r="B181" s="2" t="inlineStr">
        <is>
          <t>ArcelorMittal SA</t>
        </is>
      </c>
      <c r="C181" s="2" t="inlineStr">
        <is>
          <t>USD</t>
        </is>
      </c>
      <c r="D181" s="2" t="n">
        <v>2018</v>
      </c>
      <c r="E181" s="9" t="n">
        <v>43465</v>
      </c>
      <c r="F181" s="2" t="n">
        <v>33.14</v>
      </c>
      <c r="G181" s="2" t="n">
        <v>37.5</v>
      </c>
      <c r="H181" s="2" t="n">
        <v>19.84</v>
      </c>
      <c r="I181" s="2" t="n">
        <v>20.67</v>
      </c>
      <c r="J181" s="2" t="n">
        <v>30.612</v>
      </c>
      <c r="K181" s="2" t="n">
        <v>0.1</v>
      </c>
      <c r="L181" s="10" t="n">
        <v>0.0048</v>
      </c>
      <c r="M181" s="10" t="n">
        <v>0.0249</v>
      </c>
      <c r="N181" s="2" t="n">
        <v>21.5162</v>
      </c>
      <c r="O181" s="2" t="n">
        <v>2020</v>
      </c>
      <c r="P181" s="2" t="n">
        <v>22.9</v>
      </c>
      <c r="Q181" s="10" t="n">
        <v>0.0643</v>
      </c>
    </row>
    <row r="182">
      <c r="A182" s="2" t="inlineStr">
        <is>
          <t>MT</t>
        </is>
      </c>
      <c r="B182" s="2" t="inlineStr">
        <is>
          <t>ArcelorMittal SA</t>
        </is>
      </c>
      <c r="C182" s="2" t="inlineStr">
        <is>
          <t>USD</t>
        </is>
      </c>
      <c r="D182" s="2" t="n">
        <v>2019</v>
      </c>
      <c r="E182" s="9" t="n">
        <v>43830</v>
      </c>
      <c r="F182" s="2" t="n">
        <v>19.5</v>
      </c>
      <c r="G182" s="2" t="n">
        <v>24.24</v>
      </c>
      <c r="H182" s="2" t="n">
        <v>12.53</v>
      </c>
      <c r="I182" s="2" t="n">
        <v>17.54</v>
      </c>
      <c r="J182" s="2" t="n">
        <v>18.0963</v>
      </c>
      <c r="K182" s="2" t="n">
        <v>0.2</v>
      </c>
      <c r="L182" s="10" t="n">
        <v>0.0114</v>
      </c>
      <c r="M182" s="10" t="n">
        <v>0.0158</v>
      </c>
      <c r="N182" s="2" t="n">
        <v>17.6949</v>
      </c>
      <c r="O182" s="2" t="n">
        <v>2021</v>
      </c>
      <c r="P182" s="2" t="n">
        <v>31.83</v>
      </c>
      <c r="Q182" s="10" t="n">
        <v>0.7988</v>
      </c>
    </row>
    <row r="183">
      <c r="A183" s="2" t="inlineStr">
        <is>
          <t>MT</t>
        </is>
      </c>
      <c r="B183" s="2" t="inlineStr">
        <is>
          <t>ArcelorMittal SA</t>
        </is>
      </c>
      <c r="C183" s="2" t="inlineStr">
        <is>
          <t>USD</t>
        </is>
      </c>
      <c r="D183" s="2" t="n">
        <v>2020</v>
      </c>
      <c r="E183" s="9" t="n">
        <v>44196</v>
      </c>
      <c r="F183" s="2" t="n">
        <v>17.94</v>
      </c>
      <c r="G183" s="2" t="n">
        <v>24.03</v>
      </c>
      <c r="H183" s="2" t="n">
        <v>6.64</v>
      </c>
      <c r="I183" s="2" t="n">
        <v>22.9</v>
      </c>
      <c r="J183" s="2" t="n">
        <v>13.4174</v>
      </c>
      <c r="K183" s="2" t="n">
        <v>0</v>
      </c>
      <c r="L183" s="10" t="n">
        <v>0</v>
      </c>
      <c r="M183" s="10" t="n">
        <v>0.0013</v>
      </c>
      <c r="N183" s="2" t="n">
        <v>22.9596</v>
      </c>
      <c r="O183" s="2" t="n">
        <v>2022</v>
      </c>
      <c r="P183" s="2" t="n">
        <v>26.22</v>
      </c>
      <c r="Q183" s="10" t="n">
        <v>0.142</v>
      </c>
    </row>
    <row r="184">
      <c r="A184" s="2" t="inlineStr">
        <is>
          <t>MT</t>
        </is>
      </c>
      <c r="B184" s="2" t="inlineStr">
        <is>
          <t>ArcelorMittal SA</t>
        </is>
      </c>
      <c r="C184" s="2" t="inlineStr">
        <is>
          <t>USD</t>
        </is>
      </c>
      <c r="D184" s="2" t="n">
        <v>2021</v>
      </c>
      <c r="E184" s="9" t="n">
        <v>44561</v>
      </c>
      <c r="F184" s="2" t="n">
        <v>24.61</v>
      </c>
      <c r="G184" s="2" t="n">
        <v>36.58</v>
      </c>
      <c r="H184" s="2" t="n">
        <v>20.5</v>
      </c>
      <c r="I184" s="2" t="n">
        <v>31.83</v>
      </c>
      <c r="J184" s="2" t="n">
        <v>29.8296</v>
      </c>
      <c r="K184" s="2" t="n">
        <v>0.3</v>
      </c>
      <c r="L184" s="10" t="n">
        <v>0.0094</v>
      </c>
      <c r="M184" s="10" t="n">
        <v>0.0073</v>
      </c>
      <c r="N184" s="2" t="n">
        <v>31.695</v>
      </c>
      <c r="O184" s="2" t="n">
        <v>2023</v>
      </c>
      <c r="P184" s="2" t="n">
        <v>28.39</v>
      </c>
      <c r="Q184" s="10" t="n">
        <v>-0.1043</v>
      </c>
    </row>
    <row r="185">
      <c r="A185" s="2" t="inlineStr">
        <is>
          <t>MT</t>
        </is>
      </c>
      <c r="B185" s="2" t="inlineStr">
        <is>
          <t>ArcelorMittal SA</t>
        </is>
      </c>
      <c r="C185" s="2" t="inlineStr">
        <is>
          <t>USD</t>
        </is>
      </c>
      <c r="D185" s="2" t="n">
        <v>2022</v>
      </c>
      <c r="E185" s="9" t="n">
        <v>44925</v>
      </c>
      <c r="F185" s="2" t="n">
        <v>32.44</v>
      </c>
      <c r="G185" s="2" t="n">
        <v>37.87</v>
      </c>
      <c r="H185" s="2" t="n">
        <v>19.25</v>
      </c>
      <c r="I185" s="2" t="n">
        <v>26.22</v>
      </c>
      <c r="J185" s="2" t="n">
        <v>27.158</v>
      </c>
      <c r="K185" s="2" t="n">
        <v>0.38</v>
      </c>
      <c r="L185" s="10" t="n">
        <v>0.0145</v>
      </c>
      <c r="M185" s="10" t="n">
        <v>0.0443</v>
      </c>
      <c r="N185" s="2" t="n">
        <v>27.8306</v>
      </c>
      <c r="O185" s="2" t="n">
        <v>2024</v>
      </c>
      <c r="P185" s="2" t="n">
        <v>23.13</v>
      </c>
      <c r="Q185" s="10" t="n">
        <v>-0.1689</v>
      </c>
    </row>
    <row r="186">
      <c r="A186" s="2" t="inlineStr">
        <is>
          <t>MT</t>
        </is>
      </c>
      <c r="B186" s="2" t="inlineStr">
        <is>
          <t>ArcelorMittal SA</t>
        </is>
      </c>
      <c r="C186" s="2" t="inlineStr">
        <is>
          <t>USD</t>
        </is>
      </c>
      <c r="D186" s="2" t="n">
        <v>2023</v>
      </c>
      <c r="E186" s="9" t="n">
        <v>45289</v>
      </c>
      <c r="F186" s="2" t="n">
        <v>26.8</v>
      </c>
      <c r="G186" s="2" t="n">
        <v>32.49</v>
      </c>
      <c r="H186" s="2" t="n">
        <v>21.3</v>
      </c>
      <c r="I186" s="2" t="n">
        <v>28.39</v>
      </c>
      <c r="J186" s="2" t="n">
        <v>27.0743</v>
      </c>
      <c r="K186" s="2" t="n">
        <v>0.44</v>
      </c>
      <c r="L186" s="10" t="n">
        <v>0.0155</v>
      </c>
      <c r="M186" s="10" t="n">
        <v>0.0425</v>
      </c>
      <c r="N186" s="2" t="n">
        <v>29.9653</v>
      </c>
      <c r="O186" s="2" t="n">
        <v>2025</v>
      </c>
      <c r="P186" s="2" t="n">
        <v>45.57</v>
      </c>
      <c r="Q186" s="10" t="n">
        <v>0.5208</v>
      </c>
    </row>
    <row r="187">
      <c r="A187" s="2" t="inlineStr">
        <is>
          <t>MT</t>
        </is>
      </c>
      <c r="B187" s="2" t="inlineStr">
        <is>
          <t>ArcelorMittal SA</t>
        </is>
      </c>
      <c r="C187" s="2" t="inlineStr">
        <is>
          <t>USD</t>
        </is>
      </c>
      <c r="D187" s="2" t="n">
        <v>2024</v>
      </c>
      <c r="E187" s="9" t="n">
        <v>45657</v>
      </c>
      <c r="F187" s="2" t="n">
        <v>28.22</v>
      </c>
      <c r="G187" s="2" t="n">
        <v>28.95</v>
      </c>
      <c r="H187" s="2" t="n">
        <v>20.52</v>
      </c>
      <c r="I187" s="2" t="n">
        <v>23.13</v>
      </c>
      <c r="J187" s="2" t="n">
        <v>24.99</v>
      </c>
      <c r="K187" s="2" t="n">
        <v>0.5</v>
      </c>
      <c r="L187" s="10" t="n">
        <v>0.0216</v>
      </c>
      <c r="M187" s="10" t="n">
        <v>0.0424</v>
      </c>
      <c r="N187" s="2" t="n">
        <v>24.1117</v>
      </c>
      <c r="O187" s="2" t="n">
        <v>2026</v>
      </c>
      <c r="P187" s="2" t="n">
        <v>70.7</v>
      </c>
      <c r="Q187" s="10" t="n">
        <v>1.9322</v>
      </c>
    </row>
    <row r="188">
      <c r="A188" s="2" t="inlineStr">
        <is>
          <t>MT</t>
        </is>
      </c>
      <c r="B188" s="2" t="inlineStr">
        <is>
          <t>ArcelorMittal SA</t>
        </is>
      </c>
      <c r="C188" s="2" t="inlineStr">
        <is>
          <t>USD</t>
        </is>
      </c>
      <c r="D188" s="2" t="n">
        <v>2025</v>
      </c>
      <c r="E188" s="9" t="n">
        <v>46022</v>
      </c>
      <c r="F188" s="2" t="n">
        <v>23.12</v>
      </c>
      <c r="G188" s="2" t="n">
        <v>46.6</v>
      </c>
      <c r="H188" s="2" t="n">
        <v>21.59</v>
      </c>
      <c r="I188" s="2" t="n">
        <v>45.57</v>
      </c>
      <c r="J188" s="2" t="n">
        <v>33.0996</v>
      </c>
      <c r="K188" s="2" t="n">
        <v>0.55</v>
      </c>
      <c r="L188" s="10" t="n">
        <v>0.0121</v>
      </c>
      <c r="M188" s="10" t="n">
        <v>0.0348</v>
      </c>
      <c r="N188" s="2" t="n">
        <v>47.6895</v>
      </c>
      <c r="O188" s="2" t="n">
        <v>2027</v>
      </c>
      <c r="P188" s="2" t="n"/>
      <c r="Q188" s="10" t="n"/>
    </row>
    <row r="189">
      <c r="A189" s="2" t="inlineStr">
        <is>
          <t>MT</t>
        </is>
      </c>
      <c r="B189" s="2" t="inlineStr">
        <is>
          <t>ArcelorMittal SA</t>
        </is>
      </c>
      <c r="C189" s="2" t="inlineStr">
        <is>
          <t>USD</t>
        </is>
      </c>
      <c r="D189" s="2" t="n">
        <v>2026</v>
      </c>
      <c r="E189" s="9" t="n">
        <v>46290</v>
      </c>
      <c r="F189" s="2" t="n">
        <v>46.58</v>
      </c>
      <c r="G189" s="2" t="n">
        <v>79.68000000000001</v>
      </c>
      <c r="H189" s="2" t="n">
        <v>46.13</v>
      </c>
      <c r="I189" s="2" t="n">
        <v>70.7</v>
      </c>
      <c r="J189" s="2" t="n">
        <v>62.9916</v>
      </c>
      <c r="K189" s="2" t="n">
        <v>0.45</v>
      </c>
      <c r="L189" s="10" t="n">
        <v>0.0064</v>
      </c>
      <c r="M189" s="10" t="n">
        <v>0.0348</v>
      </c>
      <c r="N189" s="2" t="n">
        <v>74.8372</v>
      </c>
      <c r="O189" s="2" t="n">
        <v>2028</v>
      </c>
      <c r="P189" s="2" t="n"/>
      <c r="Q189" s="10" t="n"/>
    </row>
    <row r="190">
      <c r="A190" s="2" t="inlineStr">
        <is>
          <t>NEM</t>
        </is>
      </c>
      <c r="B190" s="2" t="inlineStr">
        <is>
          <t>Newmont Corp</t>
        </is>
      </c>
      <c r="C190" s="2" t="inlineStr">
        <is>
          <t>USD</t>
        </is>
      </c>
      <c r="D190" s="2" t="n">
        <v>2017</v>
      </c>
      <c r="E190" s="9" t="n">
        <v>43098</v>
      </c>
      <c r="F190" s="2" t="n">
        <v>34.12</v>
      </c>
      <c r="G190" s="2" t="n">
        <v>39.63</v>
      </c>
      <c r="H190" s="2" t="n">
        <v>31.42</v>
      </c>
      <c r="I190" s="2" t="n">
        <v>37.52</v>
      </c>
      <c r="J190" s="2" t="n">
        <v>35.4271</v>
      </c>
      <c r="K190" s="2" t="n">
        <v>0.25</v>
      </c>
      <c r="L190" s="10" t="n">
        <v>0.0067</v>
      </c>
      <c r="M190" s="10" t="n">
        <v>0.0189</v>
      </c>
      <c r="N190" s="2" t="n">
        <v>38.4496</v>
      </c>
      <c r="O190" s="2" t="n">
        <v>2019</v>
      </c>
      <c r="P190" s="2" t="n">
        <v>43.45</v>
      </c>
      <c r="Q190" s="10" t="n">
        <v>0.1301</v>
      </c>
    </row>
    <row r="191">
      <c r="A191" s="2" t="inlineStr">
        <is>
          <t>NEM</t>
        </is>
      </c>
      <c r="B191" s="2" t="inlineStr">
        <is>
          <t>Newmont Corp</t>
        </is>
      </c>
      <c r="C191" s="2" t="inlineStr">
        <is>
          <t>USD</t>
        </is>
      </c>
      <c r="D191" s="2" t="n">
        <v>2018</v>
      </c>
      <c r="E191" s="9" t="n">
        <v>43465</v>
      </c>
      <c r="F191" s="2" t="n">
        <v>37.87</v>
      </c>
      <c r="G191" s="2" t="n">
        <v>42.04</v>
      </c>
      <c r="H191" s="2" t="n">
        <v>29.06</v>
      </c>
      <c r="I191" s="2" t="n">
        <v>34.65</v>
      </c>
      <c r="J191" s="2" t="n">
        <v>36.0415</v>
      </c>
      <c r="K191" s="2" t="n">
        <v>0.5600000000000001</v>
      </c>
      <c r="L191" s="10" t="n">
        <v>0.0162</v>
      </c>
      <c r="M191" s="10" t="n">
        <v>0.0249</v>
      </c>
      <c r="N191" s="2" t="n">
        <v>35.2609</v>
      </c>
      <c r="O191" s="2" t="n">
        <v>2020</v>
      </c>
      <c r="P191" s="2" t="n">
        <v>59.89</v>
      </c>
      <c r="Q191" s="10" t="n">
        <v>0.6985</v>
      </c>
    </row>
    <row r="192">
      <c r="A192" s="2" t="inlineStr">
        <is>
          <t>NEM</t>
        </is>
      </c>
      <c r="B192" s="2" t="inlineStr">
        <is>
          <t>Newmont Corp</t>
        </is>
      </c>
      <c r="C192" s="2" t="inlineStr">
        <is>
          <t>USD</t>
        </is>
      </c>
      <c r="D192" s="2" t="n">
        <v>2019</v>
      </c>
      <c r="E192" s="9" t="n">
        <v>43830</v>
      </c>
      <c r="F192" s="2" t="n">
        <v>34.45</v>
      </c>
      <c r="G192" s="2" t="n">
        <v>44.08</v>
      </c>
      <c r="H192" s="2" t="n">
        <v>29.77</v>
      </c>
      <c r="I192" s="2" t="n">
        <v>43.45</v>
      </c>
      <c r="J192" s="2" t="n">
        <v>36.4424</v>
      </c>
      <c r="K192" s="2" t="n">
        <v>1.44</v>
      </c>
      <c r="L192" s="10" t="n">
        <v>0.0331</v>
      </c>
      <c r="M192" s="10" t="n">
        <v>0.0158</v>
      </c>
      <c r="N192" s="2" t="n">
        <v>41.9689</v>
      </c>
      <c r="O192" s="2" t="n">
        <v>2021</v>
      </c>
      <c r="P192" s="2" t="n">
        <v>62.02</v>
      </c>
      <c r="Q192" s="10" t="n">
        <v>0.4778</v>
      </c>
    </row>
    <row r="193">
      <c r="A193" s="2" t="inlineStr">
        <is>
          <t>NEM</t>
        </is>
      </c>
      <c r="B193" s="2" t="inlineStr">
        <is>
          <t>Newmont Corp</t>
        </is>
      </c>
      <c r="C193" s="2" t="inlineStr">
        <is>
          <t>USD</t>
        </is>
      </c>
      <c r="D193" s="2" t="n">
        <v>2020</v>
      </c>
      <c r="E193" s="9" t="n">
        <v>44196</v>
      </c>
      <c r="F193" s="2" t="n">
        <v>43.55</v>
      </c>
      <c r="G193" s="2" t="n">
        <v>72.22</v>
      </c>
      <c r="H193" s="2" t="n">
        <v>33</v>
      </c>
      <c r="I193" s="2" t="n">
        <v>59.89</v>
      </c>
      <c r="J193" s="2" t="n">
        <v>57.8758</v>
      </c>
      <c r="K193" s="2" t="n">
        <v>1.04</v>
      </c>
      <c r="L193" s="10" t="n">
        <v>0.0174</v>
      </c>
      <c r="M193" s="10" t="n">
        <v>0.0013</v>
      </c>
      <c r="N193" s="2" t="n">
        <v>57.9963</v>
      </c>
      <c r="O193" s="2" t="n">
        <v>2022</v>
      </c>
      <c r="P193" s="2" t="n">
        <v>47.2</v>
      </c>
      <c r="Q193" s="10" t="n">
        <v>-0.1862</v>
      </c>
    </row>
    <row r="194">
      <c r="A194" s="2" t="inlineStr">
        <is>
          <t>NEM</t>
        </is>
      </c>
      <c r="B194" s="2" t="inlineStr">
        <is>
          <t>Newmont Corp</t>
        </is>
      </c>
      <c r="C194" s="2" t="inlineStr">
        <is>
          <t>USD</t>
        </is>
      </c>
      <c r="D194" s="2" t="n">
        <v>2021</v>
      </c>
      <c r="E194" s="9" t="n">
        <v>44561</v>
      </c>
      <c r="F194" s="2" t="n">
        <v>61.9</v>
      </c>
      <c r="G194" s="2" t="n">
        <v>75.31</v>
      </c>
      <c r="H194" s="2" t="n">
        <v>52.6</v>
      </c>
      <c r="I194" s="2" t="n">
        <v>62.02</v>
      </c>
      <c r="J194" s="2" t="n">
        <v>60.6034</v>
      </c>
      <c r="K194" s="2" t="n">
        <v>2.2</v>
      </c>
      <c r="L194" s="10" t="n">
        <v>0.0355</v>
      </c>
      <c r="M194" s="10" t="n">
        <v>0.0073</v>
      </c>
      <c r="N194" s="2" t="n">
        <v>58.6221</v>
      </c>
      <c r="O194" s="2" t="n">
        <v>2023</v>
      </c>
      <c r="P194" s="2" t="n">
        <v>41.39</v>
      </c>
      <c r="Q194" s="10" t="n">
        <v>-0.294</v>
      </c>
    </row>
    <row r="195">
      <c r="A195" s="2" t="inlineStr">
        <is>
          <t>NEM</t>
        </is>
      </c>
      <c r="B195" s="2" t="inlineStr">
        <is>
          <t>Newmont Corp</t>
        </is>
      </c>
      <c r="C195" s="2" t="inlineStr">
        <is>
          <t>USD</t>
        </is>
      </c>
      <c r="D195" s="2" t="n">
        <v>2022</v>
      </c>
      <c r="E195" s="9" t="n">
        <v>44925</v>
      </c>
      <c r="F195" s="2" t="n">
        <v>61.17</v>
      </c>
      <c r="G195" s="2" t="n">
        <v>86.37</v>
      </c>
      <c r="H195" s="2" t="n">
        <v>37.45</v>
      </c>
      <c r="I195" s="2" t="n">
        <v>47.2</v>
      </c>
      <c r="J195" s="2" t="n">
        <v>57.3002</v>
      </c>
      <c r="K195" s="2" t="n">
        <v>2.2</v>
      </c>
      <c r="L195" s="10" t="n">
        <v>0.0466</v>
      </c>
      <c r="M195" s="10" t="n">
        <v>0.0443</v>
      </c>
      <c r="N195" s="2" t="n">
        <v>46.9824</v>
      </c>
      <c r="O195" s="2" t="n">
        <v>2024</v>
      </c>
      <c r="P195" s="2" t="n">
        <v>37.22</v>
      </c>
      <c r="Q195" s="10" t="n">
        <v>-0.2078</v>
      </c>
    </row>
    <row r="196">
      <c r="A196" s="2" t="inlineStr">
        <is>
          <t>NEM</t>
        </is>
      </c>
      <c r="B196" s="2" t="inlineStr">
        <is>
          <t>Newmont Corp</t>
        </is>
      </c>
      <c r="C196" s="2" t="inlineStr">
        <is>
          <t>USD</t>
        </is>
      </c>
      <c r="D196" s="2" t="n">
        <v>2023</v>
      </c>
      <c r="E196" s="9" t="n">
        <v>45289</v>
      </c>
      <c r="F196" s="2" t="n">
        <v>48.27</v>
      </c>
      <c r="G196" s="2" t="n">
        <v>55.41</v>
      </c>
      <c r="H196" s="2" t="n">
        <v>33.59</v>
      </c>
      <c r="I196" s="2" t="n">
        <v>41.39</v>
      </c>
      <c r="J196" s="2" t="n">
        <v>43.2534</v>
      </c>
      <c r="K196" s="2" t="n">
        <v>1.6</v>
      </c>
      <c r="L196" s="10" t="n">
        <v>0.0387</v>
      </c>
      <c r="M196" s="10" t="n">
        <v>0.0425</v>
      </c>
      <c r="N196" s="2" t="n">
        <v>41.7094</v>
      </c>
      <c r="O196" s="2" t="n">
        <v>2025</v>
      </c>
      <c r="P196" s="2" t="n">
        <v>99.84999999999999</v>
      </c>
      <c r="Q196" s="10" t="n">
        <v>1.3939</v>
      </c>
    </row>
    <row r="197">
      <c r="A197" s="2" t="inlineStr">
        <is>
          <t>NEM</t>
        </is>
      </c>
      <c r="B197" s="2" t="inlineStr">
        <is>
          <t>Newmont Corp</t>
        </is>
      </c>
      <c r="C197" s="2" t="inlineStr">
        <is>
          <t>USD</t>
        </is>
      </c>
      <c r="D197" s="2" t="n">
        <v>2024</v>
      </c>
      <c r="E197" s="9" t="n">
        <v>45657</v>
      </c>
      <c r="F197" s="2" t="n">
        <v>41.26</v>
      </c>
      <c r="G197" s="2" t="n">
        <v>58.72</v>
      </c>
      <c r="H197" s="2" t="n">
        <v>29.42</v>
      </c>
      <c r="I197" s="2" t="n">
        <v>37.22</v>
      </c>
      <c r="J197" s="2" t="n">
        <v>42.76</v>
      </c>
      <c r="K197" s="2" t="n">
        <v>1</v>
      </c>
      <c r="L197" s="10" t="n">
        <v>0.0269</v>
      </c>
      <c r="M197" s="10" t="n">
        <v>0.0424</v>
      </c>
      <c r="N197" s="2" t="n">
        <v>38.3944</v>
      </c>
      <c r="O197" s="2" t="n">
        <v>2026</v>
      </c>
      <c r="P197" s="2" t="n">
        <v>121.43</v>
      </c>
      <c r="Q197" s="10" t="n">
        <v>2.1627</v>
      </c>
    </row>
    <row r="198">
      <c r="A198" s="2" t="inlineStr">
        <is>
          <t>NEM</t>
        </is>
      </c>
      <c r="B198" s="2" t="inlineStr">
        <is>
          <t>Newmont Corp</t>
        </is>
      </c>
      <c r="C198" s="2" t="inlineStr">
        <is>
          <t>USD</t>
        </is>
      </c>
      <c r="D198" s="2" t="n">
        <v>2025</v>
      </c>
      <c r="E198" s="9" t="n">
        <v>46022</v>
      </c>
      <c r="F198" s="2" t="n">
        <v>38.06</v>
      </c>
      <c r="G198" s="2" t="n">
        <v>106.34</v>
      </c>
      <c r="H198" s="2" t="n">
        <v>37.68</v>
      </c>
      <c r="I198" s="2" t="n">
        <v>99.84999999999999</v>
      </c>
      <c r="J198" s="2" t="n">
        <v>64.7567</v>
      </c>
      <c r="K198" s="2" t="n">
        <v>1</v>
      </c>
      <c r="L198" s="10" t="n">
        <v>0.01</v>
      </c>
      <c r="M198" s="10" t="n">
        <v>0.0348</v>
      </c>
      <c r="N198" s="2" t="n">
        <v>104.9243</v>
      </c>
      <c r="O198" s="2" t="n">
        <v>2027</v>
      </c>
      <c r="P198" s="2" t="n"/>
      <c r="Q198" s="10" t="n"/>
    </row>
    <row r="199">
      <c r="A199" s="2" t="inlineStr">
        <is>
          <t>NEM</t>
        </is>
      </c>
      <c r="B199" s="2" t="inlineStr">
        <is>
          <t>Newmont Corp</t>
        </is>
      </c>
      <c r="C199" s="2" t="inlineStr">
        <is>
          <t>USD</t>
        </is>
      </c>
      <c r="D199" s="2" t="n">
        <v>2026</v>
      </c>
      <c r="E199" s="9" t="n">
        <v>46290</v>
      </c>
      <c r="F199" s="2" t="n">
        <v>100.99</v>
      </c>
      <c r="G199" s="2" t="n">
        <v>135.29</v>
      </c>
      <c r="H199" s="2" t="n">
        <v>88.75</v>
      </c>
      <c r="I199" s="2" t="n">
        <v>121.43</v>
      </c>
      <c r="J199" s="2" t="n">
        <v>111.9634</v>
      </c>
      <c r="K199" s="2" t="n">
        <v>0.78</v>
      </c>
      <c r="L199" s="10" t="n">
        <v>0.0064</v>
      </c>
      <c r="M199" s="10" t="n">
        <v>0.0348</v>
      </c>
      <c r="N199" s="2" t="n">
        <v>128.5208</v>
      </c>
      <c r="O199" s="2" t="n">
        <v>2028</v>
      </c>
      <c r="P199" s="2" t="n"/>
      <c r="Q199" s="10" t="n"/>
    </row>
    <row r="200">
      <c r="A200" s="2" t="inlineStr">
        <is>
          <t>NEXA</t>
        </is>
      </c>
      <c r="B200" s="2" t="inlineStr">
        <is>
          <t>Nexa Resources SA</t>
        </is>
      </c>
      <c r="C200" s="2" t="inlineStr">
        <is>
          <t>USD</t>
        </is>
      </c>
      <c r="D200" s="2" t="n">
        <v>2017</v>
      </c>
      <c r="E200" s="9" t="n">
        <v>43098</v>
      </c>
      <c r="F200" s="2" t="n">
        <v>16.5</v>
      </c>
      <c r="G200" s="2" t="n">
        <v>20</v>
      </c>
      <c r="H200" s="2" t="n">
        <v>15.27</v>
      </c>
      <c r="I200" s="2" t="n">
        <v>19.61</v>
      </c>
      <c r="J200" s="2" t="n">
        <v>17.2823</v>
      </c>
      <c r="K200" s="2" t="n">
        <v>0</v>
      </c>
      <c r="L200" s="10" t="n">
        <v>0</v>
      </c>
      <c r="M200" s="10" t="n">
        <v>0.0189</v>
      </c>
      <c r="N200" s="2" t="n">
        <v>20.3654</v>
      </c>
      <c r="O200" s="2" t="n">
        <v>2019</v>
      </c>
      <c r="P200" s="2" t="n">
        <v>8.140000000000001</v>
      </c>
      <c r="Q200" s="10" t="n">
        <v>-0.6002999999999999</v>
      </c>
    </row>
    <row r="201">
      <c r="A201" s="2" t="inlineStr">
        <is>
          <t>NEXA</t>
        </is>
      </c>
      <c r="B201" s="2" t="inlineStr">
        <is>
          <t>Nexa Resources SA</t>
        </is>
      </c>
      <c r="C201" s="2" t="inlineStr">
        <is>
          <t>USD</t>
        </is>
      </c>
      <c r="D201" s="2" t="n">
        <v>2018</v>
      </c>
      <c r="E201" s="9" t="n">
        <v>43465</v>
      </c>
      <c r="F201" s="2" t="n">
        <v>19.85</v>
      </c>
      <c r="G201" s="2" t="n">
        <v>21.61</v>
      </c>
      <c r="H201" s="2" t="n">
        <v>10.52</v>
      </c>
      <c r="I201" s="2" t="n">
        <v>11.9</v>
      </c>
      <c r="J201" s="2" t="n">
        <v>15.0073</v>
      </c>
      <c r="K201" s="2" t="n">
        <v>0.6</v>
      </c>
      <c r="L201" s="10" t="n">
        <v>0.0504</v>
      </c>
      <c r="M201" s="10" t="n">
        <v>0.0249</v>
      </c>
      <c r="N201" s="2" t="n">
        <v>11.3079</v>
      </c>
      <c r="O201" s="2" t="n">
        <v>2020</v>
      </c>
      <c r="P201" s="2" t="n">
        <v>9.640000000000001</v>
      </c>
      <c r="Q201" s="10" t="n">
        <v>-0.1475</v>
      </c>
    </row>
    <row r="202">
      <c r="A202" s="2" t="inlineStr">
        <is>
          <t>NEXA</t>
        </is>
      </c>
      <c r="B202" s="2" t="inlineStr">
        <is>
          <t>Nexa Resources SA</t>
        </is>
      </c>
      <c r="C202" s="2" t="inlineStr">
        <is>
          <t>USD</t>
        </is>
      </c>
      <c r="D202" s="2" t="n">
        <v>2019</v>
      </c>
      <c r="E202" s="9" t="n">
        <v>43830</v>
      </c>
      <c r="F202" s="2" t="n">
        <v>11.8</v>
      </c>
      <c r="G202" s="2" t="n">
        <v>12.8</v>
      </c>
      <c r="H202" s="2" t="n">
        <v>7</v>
      </c>
      <c r="I202" s="2" t="n">
        <v>8.140000000000001</v>
      </c>
      <c r="J202" s="2" t="n">
        <v>9.849600000000001</v>
      </c>
      <c r="K202" s="2" t="n">
        <v>0.525</v>
      </c>
      <c r="L202" s="10" t="n">
        <v>0.0645</v>
      </c>
      <c r="M202" s="10" t="n">
        <v>0.0158</v>
      </c>
      <c r="N202" s="2" t="n">
        <v>7.3846</v>
      </c>
      <c r="O202" s="2" t="n">
        <v>2021</v>
      </c>
      <c r="P202" s="2" t="n">
        <v>7.86</v>
      </c>
      <c r="Q202" s="10" t="n">
        <v>0.0644</v>
      </c>
    </row>
    <row r="203">
      <c r="A203" s="2" t="inlineStr">
        <is>
          <t>NEXA</t>
        </is>
      </c>
      <c r="B203" s="2" t="inlineStr">
        <is>
          <t>Nexa Resources SA</t>
        </is>
      </c>
      <c r="C203" s="2" t="inlineStr">
        <is>
          <t>USD</t>
        </is>
      </c>
      <c r="D203" s="2" t="n">
        <v>2020</v>
      </c>
      <c r="E203" s="9" t="n">
        <v>44196</v>
      </c>
      <c r="F203" s="2" t="n">
        <v>8.210000000000001</v>
      </c>
      <c r="G203" s="2" t="n">
        <v>10.02</v>
      </c>
      <c r="H203" s="2" t="n">
        <v>2.565</v>
      </c>
      <c r="I203" s="2" t="n">
        <v>9.640000000000001</v>
      </c>
      <c r="J203" s="2" t="n">
        <v>6.3724</v>
      </c>
      <c r="K203" s="2" t="n">
        <v>0.378</v>
      </c>
      <c r="L203" s="10" t="n">
        <v>0.0392</v>
      </c>
      <c r="M203" s="10" t="n">
        <v>0.0013</v>
      </c>
      <c r="N203" s="2" t="n">
        <v>8.9361</v>
      </c>
      <c r="O203" s="2" t="n">
        <v>2022</v>
      </c>
      <c r="P203" s="2" t="n">
        <v>6.03</v>
      </c>
      <c r="Q203" s="10" t="n">
        <v>-0.3252</v>
      </c>
    </row>
    <row r="204">
      <c r="A204" s="2" t="inlineStr">
        <is>
          <t>NEXA</t>
        </is>
      </c>
      <c r="B204" s="2" t="inlineStr">
        <is>
          <t>Nexa Resources SA</t>
        </is>
      </c>
      <c r="C204" s="2" t="inlineStr">
        <is>
          <t>USD</t>
        </is>
      </c>
      <c r="D204" s="2" t="n">
        <v>2021</v>
      </c>
      <c r="E204" s="9" t="n">
        <v>44561</v>
      </c>
      <c r="F204" s="2" t="n">
        <v>9.76</v>
      </c>
      <c r="G204" s="2" t="n">
        <v>12.86</v>
      </c>
      <c r="H204" s="2" t="n">
        <v>6.5</v>
      </c>
      <c r="I204" s="2" t="n">
        <v>7.86</v>
      </c>
      <c r="J204" s="2" t="n">
        <v>9.168799999999999</v>
      </c>
      <c r="K204" s="2" t="n">
        <v>0.264</v>
      </c>
      <c r="L204" s="10" t="n">
        <v>0.0336</v>
      </c>
      <c r="M204" s="10" t="n">
        <v>0.0073</v>
      </c>
      <c r="N204" s="2" t="n">
        <v>7.4574</v>
      </c>
      <c r="O204" s="2" t="n">
        <v>2023</v>
      </c>
      <c r="P204" s="2" t="n">
        <v>7.14</v>
      </c>
      <c r="Q204" s="10" t="n">
        <v>-0.0426</v>
      </c>
    </row>
    <row r="205">
      <c r="A205" s="2" t="inlineStr">
        <is>
          <t>NEXA</t>
        </is>
      </c>
      <c r="B205" s="2" t="inlineStr">
        <is>
          <t>Nexa Resources SA</t>
        </is>
      </c>
      <c r="C205" s="2" t="inlineStr">
        <is>
          <t>USD</t>
        </is>
      </c>
      <c r="D205" s="2" t="n">
        <v>2022</v>
      </c>
      <c r="E205" s="9" t="n">
        <v>44925</v>
      </c>
      <c r="F205" s="2" t="n">
        <v>7.82</v>
      </c>
      <c r="G205" s="2" t="n">
        <v>10.54</v>
      </c>
      <c r="H205" s="2" t="n">
        <v>4.27</v>
      </c>
      <c r="I205" s="2" t="n">
        <v>6.03</v>
      </c>
      <c r="J205" s="2" t="n">
        <v>7.0703</v>
      </c>
      <c r="K205" s="2" t="n">
        <v>0.378</v>
      </c>
      <c r="L205" s="10" t="n">
        <v>0.06270000000000001</v>
      </c>
      <c r="M205" s="10" t="n">
        <v>0.0443</v>
      </c>
      <c r="N205" s="2" t="n">
        <v>5.8123</v>
      </c>
      <c r="O205" s="2" t="n">
        <v>2024</v>
      </c>
      <c r="P205" s="2" t="n">
        <v>8.800000000000001</v>
      </c>
      <c r="Q205" s="10" t="n">
        <v>0.514</v>
      </c>
    </row>
    <row r="206">
      <c r="A206" s="2" t="inlineStr">
        <is>
          <t>NEXA</t>
        </is>
      </c>
      <c r="B206" s="2" t="inlineStr">
        <is>
          <t>Nexa Resources SA</t>
        </is>
      </c>
      <c r="C206" s="2" t="inlineStr">
        <is>
          <t>USD</t>
        </is>
      </c>
      <c r="D206" s="2" t="n">
        <v>2023</v>
      </c>
      <c r="E206" s="9" t="n">
        <v>45289</v>
      </c>
      <c r="F206" s="2" t="n">
        <v>6.15</v>
      </c>
      <c r="G206" s="2" t="n">
        <v>7.7</v>
      </c>
      <c r="H206" s="2" t="n">
        <v>4.135</v>
      </c>
      <c r="I206" s="2" t="n">
        <v>7.14</v>
      </c>
      <c r="J206" s="2" t="n">
        <v>5.8762</v>
      </c>
      <c r="K206" s="2" t="n">
        <v>0.189</v>
      </c>
      <c r="L206" s="10" t="n">
        <v>0.0265</v>
      </c>
      <c r="M206" s="10" t="n">
        <v>0.0425</v>
      </c>
      <c r="N206" s="2" t="n">
        <v>7.3726</v>
      </c>
      <c r="O206" s="2" t="n">
        <v>2025</v>
      </c>
      <c r="P206" s="2" t="n">
        <v>8.85</v>
      </c>
      <c r="Q206" s="10" t="n">
        <v>0.2004</v>
      </c>
    </row>
    <row r="207">
      <c r="A207" s="2" t="inlineStr">
        <is>
          <t>NEXA</t>
        </is>
      </c>
      <c r="B207" s="2" t="inlineStr">
        <is>
          <t>Nexa Resources SA</t>
        </is>
      </c>
      <c r="C207" s="2" t="inlineStr">
        <is>
          <t>USD</t>
        </is>
      </c>
      <c r="D207" s="2" t="n">
        <v>2024</v>
      </c>
      <c r="E207" s="9" t="n">
        <v>45657</v>
      </c>
      <c r="F207" s="2" t="n">
        <v>6.98</v>
      </c>
      <c r="G207" s="2" t="n">
        <v>9.609999999999999</v>
      </c>
      <c r="H207" s="2" t="n">
        <v>5.1</v>
      </c>
      <c r="I207" s="2" t="n">
        <v>8.800000000000001</v>
      </c>
      <c r="J207" s="2" t="n">
        <v>7.3132</v>
      </c>
      <c r="K207" s="2" t="n">
        <v>0</v>
      </c>
      <c r="L207" s="10" t="n">
        <v>0</v>
      </c>
      <c r="M207" s="10" t="n">
        <v>0.0424</v>
      </c>
      <c r="N207" s="2" t="n">
        <v>9.578799999999999</v>
      </c>
      <c r="O207" s="2" t="n">
        <v>2026</v>
      </c>
      <c r="P207" s="2" t="n">
        <v>12.44</v>
      </c>
      <c r="Q207" s="10" t="n">
        <v>0.2987</v>
      </c>
    </row>
    <row r="208">
      <c r="A208" s="2" t="inlineStr">
        <is>
          <t>NEXA</t>
        </is>
      </c>
      <c r="B208" s="2" t="inlineStr">
        <is>
          <t>Nexa Resources SA</t>
        </is>
      </c>
      <c r="C208" s="2" t="inlineStr">
        <is>
          <t>USD</t>
        </is>
      </c>
      <c r="D208" s="2" t="n">
        <v>2025</v>
      </c>
      <c r="E208" s="9" t="n">
        <v>46022</v>
      </c>
      <c r="F208" s="2" t="n">
        <v>9.359999999999999</v>
      </c>
      <c r="G208" s="2" t="n">
        <v>9.56</v>
      </c>
      <c r="H208" s="2" t="n">
        <v>4.438</v>
      </c>
      <c r="I208" s="2" t="n">
        <v>8.85</v>
      </c>
      <c r="J208" s="2" t="n">
        <v>5.674</v>
      </c>
      <c r="K208" s="2" t="n">
        <v>0.101</v>
      </c>
      <c r="L208" s="10" t="n">
        <v>0.0114</v>
      </c>
      <c r="M208" s="10" t="n">
        <v>0.0348</v>
      </c>
      <c r="N208" s="2" t="n">
        <v>9.2738</v>
      </c>
      <c r="O208" s="2" t="n">
        <v>2027</v>
      </c>
      <c r="P208" s="2" t="n"/>
      <c r="Q208" s="10" t="n"/>
    </row>
    <row r="209">
      <c r="A209" s="2" t="inlineStr">
        <is>
          <t>NEXA</t>
        </is>
      </c>
      <c r="B209" s="2" t="inlineStr">
        <is>
          <t>Nexa Resources SA</t>
        </is>
      </c>
      <c r="C209" s="2" t="inlineStr">
        <is>
          <t>USD</t>
        </is>
      </c>
      <c r="D209" s="2" t="n">
        <v>2026</v>
      </c>
      <c r="E209" s="9" t="n">
        <v>46290</v>
      </c>
      <c r="F209" s="2" t="n">
        <v>9</v>
      </c>
      <c r="G209" s="2" t="n">
        <v>16.89</v>
      </c>
      <c r="H209" s="2" t="n">
        <v>8.715999999999999</v>
      </c>
      <c r="I209" s="2" t="n">
        <v>12.44</v>
      </c>
      <c r="J209" s="2" t="n">
        <v>12.9963</v>
      </c>
      <c r="K209" s="2" t="n">
        <v>0.132</v>
      </c>
      <c r="L209" s="10" t="n">
        <v>0.0106</v>
      </c>
      <c r="M209" s="10" t="n">
        <v>0.0348</v>
      </c>
      <c r="N209" s="2" t="n">
        <v>13.0566</v>
      </c>
      <c r="O209" s="2" t="n">
        <v>2028</v>
      </c>
      <c r="P209" s="2" t="n"/>
      <c r="Q209" s="10" t="n"/>
    </row>
    <row r="210">
      <c r="A210" s="2" t="inlineStr">
        <is>
          <t>NST.AX</t>
        </is>
      </c>
      <c r="B210" s="2" t="inlineStr">
        <is>
          <t>Northern Star Resources Ltd</t>
        </is>
      </c>
      <c r="C210" s="2" t="inlineStr">
        <is>
          <t>AUD</t>
        </is>
      </c>
      <c r="D210" s="2" t="n">
        <v>2017</v>
      </c>
      <c r="E210" s="9" t="n">
        <v>43098</v>
      </c>
      <c r="F210" s="2" t="n">
        <v>3.54</v>
      </c>
      <c r="G210" s="2" t="n">
        <v>6.24</v>
      </c>
      <c r="H210" s="2" t="n">
        <v>3.46</v>
      </c>
      <c r="I210" s="2" t="n">
        <v>6.1</v>
      </c>
      <c r="J210" s="2" t="n">
        <v>4.7683</v>
      </c>
      <c r="K210" s="2" t="n">
        <v>0.09</v>
      </c>
      <c r="L210" s="10" t="n">
        <v>0.0148</v>
      </c>
      <c r="M210" s="10" t="n">
        <v>0.02</v>
      </c>
      <c r="N210" s="2" t="n">
        <v>6.1643</v>
      </c>
      <c r="O210" s="2" t="n">
        <v>2019</v>
      </c>
      <c r="P210" s="2" t="n">
        <v>11.31</v>
      </c>
      <c r="Q210" s="10" t="n">
        <v>0.8347</v>
      </c>
    </row>
    <row r="211">
      <c r="A211" s="2" t="inlineStr">
        <is>
          <t>NST.AX</t>
        </is>
      </c>
      <c r="B211" s="2" t="inlineStr">
        <is>
          <t>Northern Star Resources Ltd</t>
        </is>
      </c>
      <c r="C211" s="2" t="inlineStr">
        <is>
          <t>AUD</t>
        </is>
      </c>
      <c r="D211" s="2" t="n">
        <v>2018</v>
      </c>
      <c r="E211" s="9" t="n">
        <v>43465</v>
      </c>
      <c r="F211" s="2" t="n">
        <v>6.15</v>
      </c>
      <c r="G211" s="2" t="n">
        <v>9.49</v>
      </c>
      <c r="H211" s="2" t="n">
        <v>5.57</v>
      </c>
      <c r="I211" s="2" t="n">
        <v>9.24</v>
      </c>
      <c r="J211" s="2" t="n">
        <v>7.1962</v>
      </c>
      <c r="K211" s="2" t="n">
        <v>0.095</v>
      </c>
      <c r="L211" s="10" t="n">
        <v>0.0103</v>
      </c>
      <c r="M211" s="10" t="n">
        <v>0.019</v>
      </c>
      <c r="N211" s="2" t="n">
        <v>9.4025</v>
      </c>
      <c r="O211" s="2" t="n">
        <v>2020</v>
      </c>
      <c r="P211" s="2" t="n">
        <v>12.69</v>
      </c>
      <c r="Q211" s="10" t="n">
        <v>0.3496</v>
      </c>
    </row>
    <row r="212">
      <c r="A212" s="2" t="inlineStr">
        <is>
          <t>NST.AX</t>
        </is>
      </c>
      <c r="B212" s="2" t="inlineStr">
        <is>
          <t>Northern Star Resources Ltd</t>
        </is>
      </c>
      <c r="C212" s="2" t="inlineStr">
        <is>
          <t>AUD</t>
        </is>
      </c>
      <c r="D212" s="2" t="n">
        <v>2019</v>
      </c>
      <c r="E212" s="9" t="n">
        <v>43830</v>
      </c>
      <c r="F212" s="2" t="n">
        <v>9.24</v>
      </c>
      <c r="G212" s="2" t="n">
        <v>14.055</v>
      </c>
      <c r="H212" s="2" t="n">
        <v>7.85</v>
      </c>
      <c r="I212" s="2" t="n">
        <v>11.31</v>
      </c>
      <c r="J212" s="2" t="n">
        <v>10.1989</v>
      </c>
      <c r="K212" s="2" t="n">
        <v>0.135</v>
      </c>
      <c r="L212" s="10" t="n">
        <v>0.0119</v>
      </c>
      <c r="M212" s="10" t="n">
        <v>0.008999999999999999</v>
      </c>
      <c r="N212" s="2" t="n">
        <v>11.2438</v>
      </c>
      <c r="O212" s="2" t="n">
        <v>2021</v>
      </c>
      <c r="P212" s="2" t="n">
        <v>9.41</v>
      </c>
      <c r="Q212" s="10" t="n">
        <v>-0.1631</v>
      </c>
    </row>
    <row r="213">
      <c r="A213" s="2" t="inlineStr">
        <is>
          <t>NST.AX</t>
        </is>
      </c>
      <c r="B213" s="2" t="inlineStr">
        <is>
          <t>Northern Star Resources Ltd</t>
        </is>
      </c>
      <c r="C213" s="2" t="inlineStr">
        <is>
          <t>AUD</t>
        </is>
      </c>
      <c r="D213" s="2" t="n">
        <v>2020</v>
      </c>
      <c r="E213" s="9" t="n">
        <v>44196</v>
      </c>
      <c r="F213" s="2" t="n">
        <v>11.34</v>
      </c>
      <c r="G213" s="2" t="n">
        <v>17.03</v>
      </c>
      <c r="H213" s="2" t="n">
        <v>8.85</v>
      </c>
      <c r="I213" s="2" t="n">
        <v>12.69</v>
      </c>
      <c r="J213" s="2" t="n">
        <v>13.6693</v>
      </c>
      <c r="K213" s="2" t="n">
        <v>0.27</v>
      </c>
      <c r="L213" s="10" t="n">
        <v>0.0213</v>
      </c>
      <c r="M213" s="10" t="n">
        <v>0.001</v>
      </c>
      <c r="N213" s="2" t="n">
        <v>12.1857</v>
      </c>
      <c r="O213" s="2" t="n">
        <v>2022</v>
      </c>
      <c r="P213" s="2" t="n">
        <v>10.91</v>
      </c>
      <c r="Q213" s="10" t="n">
        <v>-0.1047</v>
      </c>
    </row>
    <row r="214">
      <c r="A214" s="2" t="inlineStr">
        <is>
          <t>NST.AX</t>
        </is>
      </c>
      <c r="B214" s="2" t="inlineStr">
        <is>
          <t>Northern Star Resources Ltd</t>
        </is>
      </c>
      <c r="C214" s="2" t="inlineStr">
        <is>
          <t>AUD</t>
        </is>
      </c>
      <c r="D214" s="2" t="n">
        <v>2021</v>
      </c>
      <c r="E214" s="9" t="n">
        <v>44561</v>
      </c>
      <c r="F214" s="2" t="n">
        <v>12.84</v>
      </c>
      <c r="G214" s="2" t="n">
        <v>14.08</v>
      </c>
      <c r="H214" s="2" t="n">
        <v>7.955</v>
      </c>
      <c r="I214" s="2" t="n">
        <v>9.41</v>
      </c>
      <c r="J214" s="2" t="n">
        <v>10.3376</v>
      </c>
      <c r="K214" s="2" t="n">
        <v>0.19</v>
      </c>
      <c r="L214" s="10" t="n">
        <v>0.0202</v>
      </c>
      <c r="M214" s="10" t="n">
        <v>0.006</v>
      </c>
      <c r="N214" s="2" t="n">
        <v>9.146699999999999</v>
      </c>
      <c r="O214" s="2" t="n">
        <v>2023</v>
      </c>
      <c r="P214" s="2" t="n">
        <v>13.65</v>
      </c>
      <c r="Q214" s="10" t="n">
        <v>0.4923</v>
      </c>
    </row>
    <row r="215">
      <c r="A215" s="2" t="inlineStr">
        <is>
          <t>NST.AX</t>
        </is>
      </c>
      <c r="B215" s="2" t="inlineStr">
        <is>
          <t>Northern Star Resources Ltd</t>
        </is>
      </c>
      <c r="C215" s="2" t="inlineStr">
        <is>
          <t>AUD</t>
        </is>
      </c>
      <c r="D215" s="2" t="n">
        <v>2022</v>
      </c>
      <c r="E215" s="9" t="n">
        <v>44925</v>
      </c>
      <c r="F215" s="2" t="n">
        <v>9.31</v>
      </c>
      <c r="G215" s="2" t="n">
        <v>11.59</v>
      </c>
      <c r="H215" s="2" t="n">
        <v>6.6</v>
      </c>
      <c r="I215" s="2" t="n">
        <v>10.91</v>
      </c>
      <c r="J215" s="2" t="n">
        <v>8.988899999999999</v>
      </c>
      <c r="K215" s="2" t="n">
        <v>0.215</v>
      </c>
      <c r="L215" s="10" t="n">
        <v>0.0197</v>
      </c>
      <c r="M215" s="10" t="n">
        <v>0.035</v>
      </c>
      <c r="N215" s="2" t="n">
        <v>11.2489</v>
      </c>
      <c r="O215" s="2" t="n">
        <v>2024</v>
      </c>
      <c r="P215" s="2" t="n">
        <v>15.44</v>
      </c>
      <c r="Q215" s="10" t="n">
        <v>0.3726</v>
      </c>
    </row>
    <row r="216">
      <c r="A216" s="2" t="inlineStr">
        <is>
          <t>NST.AX</t>
        </is>
      </c>
      <c r="B216" s="2" t="inlineStr">
        <is>
          <t>Northern Star Resources Ltd</t>
        </is>
      </c>
      <c r="C216" s="2" t="inlineStr">
        <is>
          <t>AUD</t>
        </is>
      </c>
      <c r="D216" s="2" t="n">
        <v>2023</v>
      </c>
      <c r="E216" s="9" t="n">
        <v>45289</v>
      </c>
      <c r="F216" s="2" t="n">
        <v>10.93</v>
      </c>
      <c r="G216" s="2" t="n">
        <v>14.44</v>
      </c>
      <c r="H216" s="2" t="n">
        <v>9.99</v>
      </c>
      <c r="I216" s="2" t="n">
        <v>13.65</v>
      </c>
      <c r="J216" s="2" t="n">
        <v>12.1048</v>
      </c>
      <c r="K216" s="2" t="n">
        <v>0.265</v>
      </c>
      <c r="L216" s="10" t="n">
        <v>0.0194</v>
      </c>
      <c r="M216" s="10" t="n">
        <v>0.037</v>
      </c>
      <c r="N216" s="2" t="n">
        <v>14.1386</v>
      </c>
      <c r="O216" s="2" t="n">
        <v>2025</v>
      </c>
      <c r="P216" s="2" t="n">
        <v>26.73</v>
      </c>
      <c r="Q216" s="10" t="n">
        <v>0.8905999999999999</v>
      </c>
    </row>
    <row r="217">
      <c r="A217" s="2" t="inlineStr">
        <is>
          <t>NST.AX</t>
        </is>
      </c>
      <c r="B217" s="2" t="inlineStr">
        <is>
          <t>Northern Star Resources Ltd</t>
        </is>
      </c>
      <c r="C217" s="2" t="inlineStr">
        <is>
          <t>AUD</t>
        </is>
      </c>
      <c r="D217" s="2" t="n">
        <v>2024</v>
      </c>
      <c r="E217" s="9" t="n">
        <v>45657</v>
      </c>
      <c r="F217" s="2" t="n">
        <v>13.53</v>
      </c>
      <c r="G217" s="2" t="n">
        <v>18.32</v>
      </c>
      <c r="H217" s="2" t="n">
        <v>12</v>
      </c>
      <c r="I217" s="2" t="n">
        <v>15.44</v>
      </c>
      <c r="J217" s="2" t="n">
        <v>14.7334</v>
      </c>
      <c r="K217" s="2" t="n">
        <v>0.4</v>
      </c>
      <c r="L217" s="10" t="n">
        <v>0.0259</v>
      </c>
      <c r="M217" s="10" t="n">
        <v>0.0385</v>
      </c>
      <c r="N217" s="2" t="n">
        <v>15.8338</v>
      </c>
      <c r="O217" s="2" t="n">
        <v>2026</v>
      </c>
      <c r="P217" s="2" t="n">
        <v>22.11</v>
      </c>
      <c r="Q217" s="10" t="n">
        <v>0.3964</v>
      </c>
    </row>
    <row r="218">
      <c r="A218" s="2" t="inlineStr">
        <is>
          <t>NST.AX</t>
        </is>
      </c>
      <c r="B218" s="2" t="inlineStr">
        <is>
          <t>Northern Star Resources Ltd</t>
        </is>
      </c>
      <c r="C218" s="2" t="inlineStr">
        <is>
          <t>AUD</t>
        </is>
      </c>
      <c r="D218" s="2" t="n">
        <v>2025</v>
      </c>
      <c r="E218" s="9" t="n">
        <v>46022</v>
      </c>
      <c r="F218" s="2" t="n">
        <v>15.4</v>
      </c>
      <c r="G218" s="2" t="n">
        <v>27.985</v>
      </c>
      <c r="H218" s="2" t="n">
        <v>15.3</v>
      </c>
      <c r="I218" s="2" t="n">
        <v>26.73</v>
      </c>
      <c r="J218" s="2" t="n">
        <v>20.4275</v>
      </c>
      <c r="K218" s="2" t="n">
        <v>0.55</v>
      </c>
      <c r="L218" s="10" t="n">
        <v>0.0206</v>
      </c>
      <c r="M218" s="10" t="n">
        <v>0.039</v>
      </c>
      <c r="N218" s="2" t="n">
        <v>27.7333</v>
      </c>
      <c r="O218" s="2" t="n">
        <v>2027</v>
      </c>
      <c r="P218" s="2" t="n"/>
      <c r="Q218" s="10" t="n"/>
    </row>
    <row r="219">
      <c r="A219" s="2" t="inlineStr">
        <is>
          <t>NST.AX</t>
        </is>
      </c>
      <c r="B219" s="2" t="inlineStr">
        <is>
          <t>Northern Star Resources Ltd</t>
        </is>
      </c>
      <c r="C219" s="2" t="inlineStr">
        <is>
          <t>AUD</t>
        </is>
      </c>
      <c r="D219" s="2" t="n">
        <v>2026</v>
      </c>
      <c r="E219" s="9" t="n">
        <v>46290</v>
      </c>
      <c r="F219" s="2" t="n">
        <v>24.56</v>
      </c>
      <c r="G219" s="2" t="n">
        <v>31.96</v>
      </c>
      <c r="H219" s="2" t="n">
        <v>17.07</v>
      </c>
      <c r="I219" s="2" t="n">
        <v>22.11</v>
      </c>
      <c r="J219" s="2" t="n">
        <v>22.9722</v>
      </c>
      <c r="K219" s="2" t="n">
        <v>0.55</v>
      </c>
      <c r="L219" s="10" t="n">
        <v>0.0249</v>
      </c>
      <c r="M219" s="10" t="n">
        <v>0.039</v>
      </c>
      <c r="N219" s="2" t="n">
        <v>22.7435</v>
      </c>
      <c r="O219" s="2" t="n">
        <v>2028</v>
      </c>
      <c r="P219" s="2" t="n"/>
      <c r="Q219" s="10" t="n"/>
    </row>
    <row r="220">
      <c r="A220" s="2" t="inlineStr">
        <is>
          <t>RIO.L</t>
        </is>
      </c>
      <c r="B220" s="2" t="inlineStr">
        <is>
          <t>Rio Tinto plc</t>
        </is>
      </c>
      <c r="C220" s="2" t="inlineStr">
        <is>
          <t>GBp</t>
        </is>
      </c>
      <c r="D220" s="2" t="n">
        <v>2017</v>
      </c>
      <c r="E220" s="9" t="n">
        <v>43098</v>
      </c>
      <c r="F220" s="2" t="n">
        <v>3168.5</v>
      </c>
      <c r="G220" s="2" t="n">
        <v>4226.5601</v>
      </c>
      <c r="H220" s="2" t="n">
        <v>2882.5</v>
      </c>
      <c r="I220" s="2" t="n">
        <v>3942</v>
      </c>
      <c r="J220" s="2" t="n">
        <v>3411.8813</v>
      </c>
      <c r="K220" s="2" t="n">
        <v>183.69</v>
      </c>
      <c r="L220" s="10" t="n">
        <v>0.0466</v>
      </c>
      <c r="M220" s="10" t="n">
        <v>0.0045</v>
      </c>
      <c r="N220" s="2" t="n">
        <v>3623.6864</v>
      </c>
      <c r="O220" s="2" t="n">
        <v>2019</v>
      </c>
      <c r="P220" s="2" t="n">
        <v>4503</v>
      </c>
      <c r="Q220" s="10" t="n">
        <v>0.2427</v>
      </c>
    </row>
    <row r="221">
      <c r="A221" s="2" t="inlineStr">
        <is>
          <t>RIO.L</t>
        </is>
      </c>
      <c r="B221" s="2" t="inlineStr">
        <is>
          <t>Rio Tinto plc</t>
        </is>
      </c>
      <c r="C221" s="2" t="inlineStr">
        <is>
          <t>GBp</t>
        </is>
      </c>
      <c r="D221" s="2" t="n">
        <v>2018</v>
      </c>
      <c r="E221" s="9" t="n">
        <v>43465</v>
      </c>
      <c r="F221" s="2" t="n">
        <v>3943.5</v>
      </c>
      <c r="G221" s="2" t="n">
        <v>4541</v>
      </c>
      <c r="H221" s="2" t="n">
        <v>3460.5</v>
      </c>
      <c r="I221" s="2" t="n">
        <v>3730</v>
      </c>
      <c r="J221" s="2" t="n">
        <v>3895.4986</v>
      </c>
      <c r="K221" s="2" t="n">
        <v>226.25</v>
      </c>
      <c r="L221" s="10" t="n">
        <v>0.0607</v>
      </c>
      <c r="M221" s="10" t="n">
        <v>0.0075</v>
      </c>
      <c r="N221" s="2" t="n">
        <v>3353.8018</v>
      </c>
      <c r="O221" s="2" t="n">
        <v>2020</v>
      </c>
      <c r="P221" s="2" t="n">
        <v>5470</v>
      </c>
      <c r="Q221" s="10" t="n">
        <v>0.631</v>
      </c>
    </row>
    <row r="222">
      <c r="A222" s="2" t="inlineStr">
        <is>
          <t>RIO.L</t>
        </is>
      </c>
      <c r="B222" s="2" t="inlineStr">
        <is>
          <t>Rio Tinto plc</t>
        </is>
      </c>
      <c r="C222" s="2" t="inlineStr">
        <is>
          <t>GBp</t>
        </is>
      </c>
      <c r="D222" s="2" t="n">
        <v>2019</v>
      </c>
      <c r="E222" s="9" t="n">
        <v>43830</v>
      </c>
      <c r="F222" s="2" t="n">
        <v>3651</v>
      </c>
      <c r="G222" s="2" t="n">
        <v>5039</v>
      </c>
      <c r="H222" s="2" t="n">
        <v>3587</v>
      </c>
      <c r="I222" s="2" t="n">
        <v>4503</v>
      </c>
      <c r="J222" s="2" t="n">
        <v>4342.7005</v>
      </c>
      <c r="K222" s="2" t="n">
        <v>492.65</v>
      </c>
      <c r="L222" s="10" t="n">
        <v>0.1094</v>
      </c>
      <c r="M222" s="10" t="n">
        <v>0.0055</v>
      </c>
      <c r="N222" s="2" t="n">
        <v>3658.0644</v>
      </c>
      <c r="O222" s="2" t="n">
        <v>2021</v>
      </c>
      <c r="P222" s="2" t="n">
        <v>4892</v>
      </c>
      <c r="Q222" s="10" t="n">
        <v>0.3373</v>
      </c>
    </row>
    <row r="223">
      <c r="A223" s="2" t="inlineStr">
        <is>
          <t>RIO.L</t>
        </is>
      </c>
      <c r="B223" s="2" t="inlineStr">
        <is>
          <t>Rio Tinto plc</t>
        </is>
      </c>
      <c r="C223" s="2" t="inlineStr">
        <is>
          <t>GBp</t>
        </is>
      </c>
      <c r="D223" s="2" t="n">
        <v>2020</v>
      </c>
      <c r="E223" s="9" t="n">
        <v>44196</v>
      </c>
      <c r="F223" s="2" t="n">
        <v>4519</v>
      </c>
      <c r="G223" s="2" t="n">
        <v>5771</v>
      </c>
      <c r="H223" s="2" t="n">
        <v>2954</v>
      </c>
      <c r="I223" s="2" t="n">
        <v>5470</v>
      </c>
      <c r="J223" s="2" t="n">
        <v>4451.9528</v>
      </c>
      <c r="K223" s="2" t="n">
        <v>297.21</v>
      </c>
      <c r="L223" s="10" t="n">
        <v>0.0543</v>
      </c>
      <c r="M223" s="10" t="n">
        <v>-0.0015</v>
      </c>
      <c r="N223" s="2" t="n">
        <v>4892.0406</v>
      </c>
      <c r="O223" s="2" t="n">
        <v>2022</v>
      </c>
      <c r="P223" s="2" t="n">
        <v>5798</v>
      </c>
      <c r="Q223" s="10" t="n">
        <v>0.1852</v>
      </c>
    </row>
    <row r="224">
      <c r="A224" s="2" t="inlineStr">
        <is>
          <t>RIO.L</t>
        </is>
      </c>
      <c r="B224" s="2" t="inlineStr">
        <is>
          <t>Rio Tinto plc</t>
        </is>
      </c>
      <c r="C224" s="2" t="inlineStr">
        <is>
          <t>GBp</t>
        </is>
      </c>
      <c r="D224" s="2" t="n">
        <v>2021</v>
      </c>
      <c r="E224" s="9" t="n">
        <v>44561</v>
      </c>
      <c r="F224" s="2" t="n">
        <v>5583</v>
      </c>
      <c r="G224" s="2" t="n">
        <v>6876.2598</v>
      </c>
      <c r="H224" s="2" t="n">
        <v>4354</v>
      </c>
      <c r="I224" s="2" t="n">
        <v>4892</v>
      </c>
      <c r="J224" s="2" t="n">
        <v>5555.4545</v>
      </c>
      <c r="K224" s="2" t="n">
        <v>691.75</v>
      </c>
      <c r="L224" s="10" t="n">
        <v>0.1414</v>
      </c>
      <c r="M224" s="10" t="n">
        <v>0.007</v>
      </c>
      <c r="N224" s="2" t="n">
        <v>3738.9041</v>
      </c>
      <c r="O224" s="2" t="n">
        <v>2023</v>
      </c>
      <c r="P224" s="2" t="n">
        <v>5842</v>
      </c>
      <c r="Q224" s="10" t="n">
        <v>0.5625</v>
      </c>
    </row>
    <row r="225">
      <c r="A225" s="2" t="inlineStr">
        <is>
          <t>RIO.L</t>
        </is>
      </c>
      <c r="B225" s="2" t="inlineStr">
        <is>
          <t>Rio Tinto plc</t>
        </is>
      </c>
      <c r="C225" s="2" t="inlineStr">
        <is>
          <t>GBp</t>
        </is>
      </c>
      <c r="D225" s="2" t="n">
        <v>2022</v>
      </c>
      <c r="E225" s="9" t="n">
        <v>44925</v>
      </c>
      <c r="F225" s="2" t="n">
        <v>4921</v>
      </c>
      <c r="G225" s="2" t="n">
        <v>6343</v>
      </c>
      <c r="H225" s="2" t="n">
        <v>4424.5</v>
      </c>
      <c r="I225" s="2" t="n">
        <v>5798</v>
      </c>
      <c r="J225" s="2" t="n">
        <v>5306.756</v>
      </c>
      <c r="K225" s="2" t="n">
        <v>573.95</v>
      </c>
      <c r="L225" s="10" t="n">
        <v>0.099</v>
      </c>
      <c r="M225" s="10" t="n">
        <v>0.036</v>
      </c>
      <c r="N225" s="2" t="n">
        <v>5111.6946</v>
      </c>
      <c r="O225" s="2" t="n">
        <v>2024</v>
      </c>
      <c r="P225" s="2" t="n">
        <v>4723</v>
      </c>
      <c r="Q225" s="10" t="n">
        <v>-0.076</v>
      </c>
    </row>
    <row r="226">
      <c r="A226" s="2" t="inlineStr">
        <is>
          <t>RIO.L</t>
        </is>
      </c>
      <c r="B226" s="2" t="inlineStr">
        <is>
          <t>Rio Tinto plc</t>
        </is>
      </c>
      <c r="C226" s="2" t="inlineStr">
        <is>
          <t>GBp</t>
        </is>
      </c>
      <c r="D226" s="2" t="n">
        <v>2023</v>
      </c>
      <c r="E226" s="9" t="n">
        <v>45289</v>
      </c>
      <c r="F226" s="2" t="n">
        <v>5818</v>
      </c>
      <c r="G226" s="2" t="n">
        <v>6406</v>
      </c>
      <c r="H226" s="2" t="n">
        <v>4509.5</v>
      </c>
      <c r="I226" s="2" t="n">
        <v>5842</v>
      </c>
      <c r="J226" s="2" t="n">
        <v>5342.7092</v>
      </c>
      <c r="K226" s="2" t="n">
        <v>323.02</v>
      </c>
      <c r="L226" s="10" t="n">
        <v>0.0553</v>
      </c>
      <c r="M226" s="10" t="n">
        <v>0.04</v>
      </c>
      <c r="N226" s="2" t="n">
        <v>5666.0249</v>
      </c>
      <c r="O226" s="2" t="n">
        <v>2025</v>
      </c>
      <c r="P226" s="2" t="n">
        <v>5994</v>
      </c>
      <c r="Q226" s="10" t="n">
        <v>0.0579</v>
      </c>
    </row>
    <row r="227">
      <c r="A227" s="2" t="inlineStr">
        <is>
          <t>RIO.L</t>
        </is>
      </c>
      <c r="B227" s="2" t="inlineStr">
        <is>
          <t>Rio Tinto plc</t>
        </is>
      </c>
      <c r="C227" s="2" t="inlineStr">
        <is>
          <t>GBp</t>
        </is>
      </c>
      <c r="D227" s="2" t="n">
        <v>2024</v>
      </c>
      <c r="E227" s="9" t="n">
        <v>45657</v>
      </c>
      <c r="F227" s="2" t="n">
        <v>5877</v>
      </c>
      <c r="G227" s="2" t="n">
        <v>5899</v>
      </c>
      <c r="H227" s="2" t="n">
        <v>4509</v>
      </c>
      <c r="I227" s="2" t="n">
        <v>4723</v>
      </c>
      <c r="J227" s="2" t="n">
        <v>5135.3917</v>
      </c>
      <c r="K227" s="2" t="n">
        <v>337.99</v>
      </c>
      <c r="L227" s="10" t="n">
        <v>0.0716</v>
      </c>
      <c r="M227" s="10" t="n">
        <v>0.044</v>
      </c>
      <c r="N227" s="2" t="n">
        <v>4469.69</v>
      </c>
      <c r="O227" s="2" t="n">
        <v>2026</v>
      </c>
      <c r="P227" s="2" t="n">
        <v>7088</v>
      </c>
      <c r="Q227" s="10" t="n">
        <v>0.5858</v>
      </c>
    </row>
    <row r="228">
      <c r="A228" s="2" t="inlineStr">
        <is>
          <t>RIO.L</t>
        </is>
      </c>
      <c r="B228" s="2" t="inlineStr">
        <is>
          <t>Rio Tinto plc</t>
        </is>
      </c>
      <c r="C228" s="2" t="inlineStr">
        <is>
          <t>GBp</t>
        </is>
      </c>
      <c r="D228" s="2" t="n">
        <v>2025</v>
      </c>
      <c r="E228" s="9" t="n">
        <v>46022</v>
      </c>
      <c r="F228" s="2" t="n">
        <v>4769</v>
      </c>
      <c r="G228" s="2" t="n">
        <v>6047</v>
      </c>
      <c r="H228" s="2" t="n">
        <v>4024.5</v>
      </c>
      <c r="I228" s="2" t="n">
        <v>5994</v>
      </c>
      <c r="J228" s="2" t="n">
        <v>4816.0417</v>
      </c>
      <c r="K228" s="2" t="n">
        <v>284.5675</v>
      </c>
      <c r="L228" s="10" t="n">
        <v>0.0475</v>
      </c>
      <c r="M228" s="10" t="n">
        <v>0.0375</v>
      </c>
      <c r="N228" s="2" t="n">
        <v>5875.6</v>
      </c>
      <c r="O228" s="2" t="n">
        <v>2027</v>
      </c>
      <c r="P228" s="2" t="n"/>
      <c r="Q228" s="10" t="n"/>
    </row>
    <row r="229">
      <c r="A229" s="2" t="inlineStr">
        <is>
          <t>RIO.L</t>
        </is>
      </c>
      <c r="B229" s="2" t="inlineStr">
        <is>
          <t>Rio Tinto plc</t>
        </is>
      </c>
      <c r="C229" s="2" t="inlineStr">
        <is>
          <t>GBp</t>
        </is>
      </c>
      <c r="D229" s="2" t="n">
        <v>2026</v>
      </c>
      <c r="E229" s="9" t="n">
        <v>46290</v>
      </c>
      <c r="F229" s="2" t="n">
        <v>5995</v>
      </c>
      <c r="G229" s="2" t="n">
        <v>9117</v>
      </c>
      <c r="H229" s="2" t="n">
        <v>5629</v>
      </c>
      <c r="I229" s="2" t="n">
        <v>7088</v>
      </c>
      <c r="J229" s="2" t="n">
        <v>7167.1347</v>
      </c>
      <c r="K229" s="2" t="n">
        <v>348.4323</v>
      </c>
      <c r="L229" s="10" t="n">
        <v>0.0492</v>
      </c>
      <c r="M229" s="10" t="n">
        <v>0.0375</v>
      </c>
      <c r="N229" s="2" t="n">
        <v>6924.6472</v>
      </c>
      <c r="O229" s="2" t="n">
        <v>2028</v>
      </c>
      <c r="P229" s="2" t="n"/>
      <c r="Q229" s="10" t="n"/>
    </row>
    <row r="230">
      <c r="A230" s="2" t="inlineStr">
        <is>
          <t>SCCO</t>
        </is>
      </c>
      <c r="B230" s="2" t="inlineStr">
        <is>
          <t>Southern Copper Corp</t>
        </is>
      </c>
      <c r="C230" s="2" t="inlineStr">
        <is>
          <t>USD</t>
        </is>
      </c>
      <c r="D230" s="2" t="n">
        <v>2017</v>
      </c>
      <c r="E230" s="9" t="n">
        <v>43098</v>
      </c>
      <c r="F230" s="2" t="n">
        <v>32.28</v>
      </c>
      <c r="G230" s="2" t="n">
        <v>47.93</v>
      </c>
      <c r="H230" s="2" t="n">
        <v>32.1</v>
      </c>
      <c r="I230" s="2" t="n">
        <v>47.45</v>
      </c>
      <c r="J230" s="2" t="n">
        <v>38.4764</v>
      </c>
      <c r="K230" s="2" t="n">
        <v>0.59</v>
      </c>
      <c r="L230" s="10" t="n">
        <v>0.0124</v>
      </c>
      <c r="M230" s="10" t="n">
        <v>0.0189</v>
      </c>
      <c r="N230" s="2" t="n">
        <v>48.0676</v>
      </c>
      <c r="O230" s="2" t="n">
        <v>2019</v>
      </c>
      <c r="P230" s="2" t="n">
        <v>42.48</v>
      </c>
      <c r="Q230" s="10" t="n">
        <v>-0.1162</v>
      </c>
    </row>
    <row r="231">
      <c r="A231" s="2" t="inlineStr">
        <is>
          <t>SCCO</t>
        </is>
      </c>
      <c r="B231" s="2" t="inlineStr">
        <is>
          <t>Southern Copper Corp</t>
        </is>
      </c>
      <c r="C231" s="2" t="inlineStr">
        <is>
          <t>USD</t>
        </is>
      </c>
      <c r="D231" s="2" t="n">
        <v>2018</v>
      </c>
      <c r="E231" s="9" t="n">
        <v>43465</v>
      </c>
      <c r="F231" s="2" t="n">
        <v>47.94</v>
      </c>
      <c r="G231" s="2" t="n">
        <v>58.09</v>
      </c>
      <c r="H231" s="2" t="n">
        <v>29.4</v>
      </c>
      <c r="I231" s="2" t="n">
        <v>30.77</v>
      </c>
      <c r="J231" s="2" t="n">
        <v>45.891</v>
      </c>
      <c r="K231" s="2" t="n">
        <v>1.4</v>
      </c>
      <c r="L231" s="10" t="n">
        <v>0.0455</v>
      </c>
      <c r="M231" s="10" t="n">
        <v>0.0249</v>
      </c>
      <c r="N231" s="2" t="n">
        <v>29.5281</v>
      </c>
      <c r="O231" s="2" t="n">
        <v>2020</v>
      </c>
      <c r="P231" s="2" t="n">
        <v>65.12</v>
      </c>
      <c r="Q231" s="10" t="n">
        <v>1.2054</v>
      </c>
    </row>
    <row r="232">
      <c r="A232" s="2" t="inlineStr">
        <is>
          <t>SCCO</t>
        </is>
      </c>
      <c r="B232" s="2" t="inlineStr">
        <is>
          <t>Southern Copper Corp</t>
        </is>
      </c>
      <c r="C232" s="2" t="inlineStr">
        <is>
          <t>USD</t>
        </is>
      </c>
      <c r="D232" s="2" t="n">
        <v>2019</v>
      </c>
      <c r="E232" s="9" t="n">
        <v>43830</v>
      </c>
      <c r="F232" s="2" t="n">
        <v>30.11</v>
      </c>
      <c r="G232" s="2" t="n">
        <v>43.38</v>
      </c>
      <c r="H232" s="2" t="n">
        <v>29.01</v>
      </c>
      <c r="I232" s="2" t="n">
        <v>42.48</v>
      </c>
      <c r="J232" s="2" t="n">
        <v>35.956</v>
      </c>
      <c r="K232" s="2" t="n">
        <v>2.044</v>
      </c>
      <c r="L232" s="10" t="n">
        <v>0.0481</v>
      </c>
      <c r="M232" s="10" t="n">
        <v>0.0158</v>
      </c>
      <c r="N232" s="2" t="n">
        <v>39.8212</v>
      </c>
      <c r="O232" s="2" t="n">
        <v>2021</v>
      </c>
      <c r="P232" s="2" t="n">
        <v>61.71</v>
      </c>
      <c r="Q232" s="10" t="n">
        <v>0.5497</v>
      </c>
    </row>
    <row r="233">
      <c r="A233" s="2" t="inlineStr">
        <is>
          <t>SCCO</t>
        </is>
      </c>
      <c r="B233" s="2" t="inlineStr">
        <is>
          <t>Southern Copper Corp</t>
        </is>
      </c>
      <c r="C233" s="2" t="inlineStr">
        <is>
          <t>USD</t>
        </is>
      </c>
      <c r="D233" s="2" t="n">
        <v>2020</v>
      </c>
      <c r="E233" s="9" t="n">
        <v>44196</v>
      </c>
      <c r="F233" s="2" t="n">
        <v>42.96</v>
      </c>
      <c r="G233" s="2" t="n">
        <v>65.90000000000001</v>
      </c>
      <c r="H233" s="2" t="n">
        <v>23.43</v>
      </c>
      <c r="I233" s="2" t="n">
        <v>65.12</v>
      </c>
      <c r="J233" s="2" t="n">
        <v>42.748</v>
      </c>
      <c r="K233" s="2" t="n">
        <v>1.5</v>
      </c>
      <c r="L233" s="10" t="n">
        <v>0.023</v>
      </c>
      <c r="M233" s="10" t="n">
        <v>0.0013</v>
      </c>
      <c r="N233" s="2" t="n">
        <v>62.35</v>
      </c>
      <c r="O233" s="2" t="n">
        <v>2022</v>
      </c>
      <c r="P233" s="2" t="n">
        <v>60.39</v>
      </c>
      <c r="Q233" s="10" t="n">
        <v>-0.0314</v>
      </c>
    </row>
    <row r="234">
      <c r="A234" s="2" t="inlineStr">
        <is>
          <t>SCCO</t>
        </is>
      </c>
      <c r="B234" s="2" t="inlineStr">
        <is>
          <t>Southern Copper Corp</t>
        </is>
      </c>
      <c r="C234" s="2" t="inlineStr">
        <is>
          <t>USD</t>
        </is>
      </c>
      <c r="D234" s="2" t="n">
        <v>2021</v>
      </c>
      <c r="E234" s="9" t="n">
        <v>44561</v>
      </c>
      <c r="F234" s="2" t="n">
        <v>67.38</v>
      </c>
      <c r="G234" s="2" t="n">
        <v>83.29000000000001</v>
      </c>
      <c r="H234" s="2" t="n">
        <v>54.92</v>
      </c>
      <c r="I234" s="2" t="n">
        <v>61.71</v>
      </c>
      <c r="J234" s="2" t="n">
        <v>66.059</v>
      </c>
      <c r="K234" s="2" t="n">
        <v>3.2</v>
      </c>
      <c r="L234" s="10" t="n">
        <v>0.0519</v>
      </c>
      <c r="M234" s="10" t="n">
        <v>0.0073</v>
      </c>
      <c r="N234" s="2" t="n">
        <v>56.4489</v>
      </c>
      <c r="O234" s="2" t="n">
        <v>2023</v>
      </c>
      <c r="P234" s="2" t="n">
        <v>86.06999999999999</v>
      </c>
      <c r="Q234" s="10" t="n">
        <v>0.5247000000000001</v>
      </c>
    </row>
    <row r="235">
      <c r="A235" s="2" t="inlineStr">
        <is>
          <t>SCCO</t>
        </is>
      </c>
      <c r="B235" s="2" t="inlineStr">
        <is>
          <t>Southern Copper Corp</t>
        </is>
      </c>
      <c r="C235" s="2" t="inlineStr">
        <is>
          <t>USD</t>
        </is>
      </c>
      <c r="D235" s="2" t="n">
        <v>2022</v>
      </c>
      <c r="E235" s="9" t="n">
        <v>44925</v>
      </c>
      <c r="F235" s="2" t="n">
        <v>61.52</v>
      </c>
      <c r="G235" s="2" t="n">
        <v>79.31999999999999</v>
      </c>
      <c r="H235" s="2" t="n">
        <v>42.42</v>
      </c>
      <c r="I235" s="2" t="n">
        <v>60.39</v>
      </c>
      <c r="J235" s="2" t="n">
        <v>58.4327</v>
      </c>
      <c r="K235" s="2" t="n">
        <v>3.5</v>
      </c>
      <c r="L235" s="10" t="n">
        <v>0.058</v>
      </c>
      <c r="M235" s="10" t="n">
        <v>0.0443</v>
      </c>
      <c r="N235" s="2" t="n">
        <v>58.7629</v>
      </c>
      <c r="O235" s="2" t="n">
        <v>2024</v>
      </c>
      <c r="P235" s="2" t="n">
        <v>91.13</v>
      </c>
      <c r="Q235" s="10" t="n">
        <v>0.5679</v>
      </c>
    </row>
    <row r="236">
      <c r="A236" s="2" t="inlineStr">
        <is>
          <t>SCCO</t>
        </is>
      </c>
      <c r="B236" s="2" t="inlineStr">
        <is>
          <t>Southern Copper Corp</t>
        </is>
      </c>
      <c r="C236" s="2" t="inlineStr">
        <is>
          <t>USD</t>
        </is>
      </c>
      <c r="D236" s="2" t="n">
        <v>2023</v>
      </c>
      <c r="E236" s="9" t="n">
        <v>45289</v>
      </c>
      <c r="F236" s="2" t="n">
        <v>60.96</v>
      </c>
      <c r="G236" s="2" t="n">
        <v>88.40000000000001</v>
      </c>
      <c r="H236" s="2" t="n">
        <v>60.87</v>
      </c>
      <c r="I236" s="2" t="n">
        <v>86.06999999999999</v>
      </c>
      <c r="J236" s="2" t="n">
        <v>75.20829999999999</v>
      </c>
      <c r="K236" s="2" t="n">
        <v>4</v>
      </c>
      <c r="L236" s="10" t="n">
        <v>0.0465</v>
      </c>
      <c r="M236" s="10" t="n">
        <v>0.0425</v>
      </c>
      <c r="N236" s="2" t="n">
        <v>85.3887</v>
      </c>
      <c r="O236" s="2" t="n">
        <v>2025</v>
      </c>
      <c r="P236" s="2" t="n">
        <v>143.47</v>
      </c>
      <c r="Q236" s="10" t="n">
        <v>0.745</v>
      </c>
    </row>
    <row r="237">
      <c r="A237" s="2" t="inlineStr">
        <is>
          <t>SCCO</t>
        </is>
      </c>
      <c r="B237" s="2" t="inlineStr">
        <is>
          <t>Southern Copper Corp</t>
        </is>
      </c>
      <c r="C237" s="2" t="inlineStr">
        <is>
          <t>USD</t>
        </is>
      </c>
      <c r="D237" s="2" t="n">
        <v>2024</v>
      </c>
      <c r="E237" s="9" t="n">
        <v>45657</v>
      </c>
      <c r="F237" s="2" t="n">
        <v>85.28</v>
      </c>
      <c r="G237" s="2" t="n">
        <v>129.79</v>
      </c>
      <c r="H237" s="2" t="n">
        <v>77.14</v>
      </c>
      <c r="I237" s="2" t="n">
        <v>91.13</v>
      </c>
      <c r="J237" s="2" t="n">
        <v>102.8628</v>
      </c>
      <c r="K237" s="2" t="n">
        <v>2.093</v>
      </c>
      <c r="L237" s="10" t="n">
        <v>0.0228</v>
      </c>
      <c r="M237" s="10" t="n">
        <v>0.0424</v>
      </c>
      <c r="N237" s="2" t="n">
        <v>94.7671</v>
      </c>
      <c r="O237" s="2" t="n">
        <v>2026</v>
      </c>
      <c r="P237" s="2" t="n">
        <v>203.92</v>
      </c>
      <c r="Q237" s="10" t="n">
        <v>1.2774</v>
      </c>
    </row>
    <row r="238">
      <c r="A238" s="2" t="inlineStr">
        <is>
          <t>SCCO</t>
        </is>
      </c>
      <c r="B238" s="2" t="inlineStr">
        <is>
          <t>Southern Copper Corp</t>
        </is>
      </c>
      <c r="C238" s="2" t="inlineStr">
        <is>
          <t>USD</t>
        </is>
      </c>
      <c r="D238" s="2" t="n">
        <v>2025</v>
      </c>
      <c r="E238" s="9" t="n">
        <v>46022</v>
      </c>
      <c r="F238" s="2" t="n">
        <v>92.12</v>
      </c>
      <c r="G238" s="2" t="n">
        <v>152.19</v>
      </c>
      <c r="H238" s="2" t="n">
        <v>74.84</v>
      </c>
      <c r="I238" s="2" t="n">
        <v>143.47</v>
      </c>
      <c r="J238" s="2" t="n">
        <v>105.9675</v>
      </c>
      <c r="K238" s="2" t="n">
        <v>3.072</v>
      </c>
      <c r="L238" s="10" t="n">
        <v>0.0212</v>
      </c>
      <c r="M238" s="10" t="n">
        <v>0.0348</v>
      </c>
      <c r="N238" s="2" t="n">
        <v>147.4395</v>
      </c>
      <c r="O238" s="2" t="n">
        <v>2027</v>
      </c>
      <c r="P238" s="2" t="n"/>
      <c r="Q238" s="10" t="n"/>
    </row>
    <row r="239">
      <c r="A239" s="2" t="inlineStr">
        <is>
          <t>SCCO</t>
        </is>
      </c>
      <c r="B239" s="2" t="inlineStr">
        <is>
          <t>Southern Copper Corp</t>
        </is>
      </c>
      <c r="C239" s="2" t="inlineStr">
        <is>
          <t>USD</t>
        </is>
      </c>
      <c r="D239" s="2" t="n">
        <v>2026</v>
      </c>
      <c r="E239" s="9" t="n">
        <v>46290</v>
      </c>
      <c r="F239" s="2" t="n">
        <v>146.66</v>
      </c>
      <c r="G239" s="2" t="n">
        <v>223.89</v>
      </c>
      <c r="H239" s="2" t="n">
        <v>144.8</v>
      </c>
      <c r="I239" s="2" t="n">
        <v>203.92</v>
      </c>
      <c r="J239" s="2" t="n">
        <v>186.5898</v>
      </c>
      <c r="K239" s="2" t="n">
        <v>3.069</v>
      </c>
      <c r="L239" s="10" t="n">
        <v>0.0149</v>
      </c>
      <c r="M239" s="10" t="n">
        <v>0.0348</v>
      </c>
      <c r="N239" s="2" t="n">
        <v>212.2051</v>
      </c>
      <c r="O239" s="2" t="n">
        <v>2028</v>
      </c>
      <c r="P239" s="2" t="n"/>
      <c r="Q239" s="10" t="n"/>
    </row>
    <row r="240">
      <c r="A240" s="2" t="inlineStr">
        <is>
          <t>VALE3.SA</t>
        </is>
      </c>
      <c r="B240" s="2" t="inlineStr">
        <is>
          <t>Vale SA</t>
        </is>
      </c>
      <c r="C240" s="2" t="inlineStr">
        <is>
          <t>BRL</t>
        </is>
      </c>
      <c r="D240" s="2" t="n">
        <v>2017</v>
      </c>
      <c r="E240" s="9" t="n">
        <v>43098</v>
      </c>
      <c r="F240" s="2" t="n">
        <v>25.28</v>
      </c>
      <c r="G240" s="2" t="n">
        <v>40.26</v>
      </c>
      <c r="H240" s="2" t="n">
        <v>25</v>
      </c>
      <c r="I240" s="2" t="n">
        <v>40.26</v>
      </c>
      <c r="J240" s="2" t="n">
        <v>31.297</v>
      </c>
      <c r="K240" s="2" t="n">
        <v>1.3255</v>
      </c>
      <c r="L240" s="10" t="n">
        <v>0.0329</v>
      </c>
      <c r="M240" s="10" t="n">
        <v>0.075</v>
      </c>
      <c r="N240" s="2" t="n">
        <v>43.7947</v>
      </c>
      <c r="O240" s="2" t="n">
        <v>2019</v>
      </c>
      <c r="P240" s="2" t="n">
        <v>53.3</v>
      </c>
      <c r="Q240" s="10" t="n">
        <v>0.217</v>
      </c>
    </row>
    <row r="241">
      <c r="A241" s="2" t="inlineStr">
        <is>
          <t>VALE3.SA</t>
        </is>
      </c>
      <c r="B241" s="2" t="inlineStr">
        <is>
          <t>Vale SA</t>
        </is>
      </c>
      <c r="C241" s="2" t="inlineStr">
        <is>
          <t>BRL</t>
        </is>
      </c>
      <c r="D241" s="2" t="n">
        <v>2018</v>
      </c>
      <c r="E241" s="9" t="n">
        <v>43462</v>
      </c>
      <c r="F241" s="2" t="n">
        <v>40.44</v>
      </c>
      <c r="G241" s="2" t="n">
        <v>62.42</v>
      </c>
      <c r="H241" s="2" t="n">
        <v>39.93</v>
      </c>
      <c r="I241" s="2" t="n">
        <v>51</v>
      </c>
      <c r="J241" s="2" t="n">
        <v>49.9308</v>
      </c>
      <c r="K241" s="2" t="n">
        <v>1.9689</v>
      </c>
      <c r="L241" s="10" t="n">
        <v>0.0386</v>
      </c>
      <c r="M241" s="10" t="n">
        <v>0.07199999999999999</v>
      </c>
      <c r="N241" s="2" t="n">
        <v>54.5226</v>
      </c>
      <c r="O241" s="2" t="n">
        <v>2020</v>
      </c>
      <c r="P241" s="2" t="n">
        <v>87.45</v>
      </c>
      <c r="Q241" s="10" t="n">
        <v>0.6039</v>
      </c>
    </row>
    <row r="242">
      <c r="A242" s="2" t="inlineStr">
        <is>
          <t>VALE3.SA</t>
        </is>
      </c>
      <c r="B242" s="2" t="inlineStr">
        <is>
          <t>Vale SA</t>
        </is>
      </c>
      <c r="C242" s="2" t="inlineStr">
        <is>
          <t>BRL</t>
        </is>
      </c>
      <c r="D242" s="2" t="n">
        <v>2019</v>
      </c>
      <c r="E242" s="9" t="n">
        <v>43829</v>
      </c>
      <c r="F242" s="2" t="n">
        <v>50.01</v>
      </c>
      <c r="G242" s="2" t="n">
        <v>56.2</v>
      </c>
      <c r="H242" s="2" t="n">
        <v>40.51</v>
      </c>
      <c r="I242" s="2" t="n">
        <v>53.3</v>
      </c>
      <c r="J242" s="2" t="n">
        <v>49.1931</v>
      </c>
      <c r="K242" s="2" t="n">
        <v>1.4144</v>
      </c>
      <c r="L242" s="10" t="n">
        <v>0.0265</v>
      </c>
      <c r="M242" s="10" t="n">
        <v>0.053</v>
      </c>
      <c r="N242" s="2" t="n">
        <v>56.1971</v>
      </c>
      <c r="O242" s="2" t="n">
        <v>2021</v>
      </c>
      <c r="P242" s="2" t="n">
        <v>77.95999999999999</v>
      </c>
      <c r="Q242" s="10" t="n">
        <v>0.3873</v>
      </c>
    </row>
    <row r="243">
      <c r="A243" s="2" t="inlineStr">
        <is>
          <t>VALE3.SA</t>
        </is>
      </c>
      <c r="B243" s="2" t="inlineStr">
        <is>
          <t>Vale SA</t>
        </is>
      </c>
      <c r="C243" s="2" t="inlineStr">
        <is>
          <t>BRL</t>
        </is>
      </c>
      <c r="D243" s="2" t="n">
        <v>2020</v>
      </c>
      <c r="E243" s="9" t="n">
        <v>44195</v>
      </c>
      <c r="F243" s="2" t="n">
        <v>53.98</v>
      </c>
      <c r="G243" s="2" t="n">
        <v>88.58</v>
      </c>
      <c r="H243" s="2" t="n">
        <v>32.45</v>
      </c>
      <c r="I243" s="2" t="n">
        <v>87.45</v>
      </c>
      <c r="J243" s="2" t="n">
        <v>57.2251</v>
      </c>
      <c r="K243" s="2" t="n">
        <v>2.4075</v>
      </c>
      <c r="L243" s="10" t="n">
        <v>0.0275</v>
      </c>
      <c r="M243" s="10" t="n">
        <v>0.043</v>
      </c>
      <c r="N243" s="2" t="n">
        <v>90.19799999999999</v>
      </c>
      <c r="O243" s="2" t="n">
        <v>2022</v>
      </c>
      <c r="P243" s="2" t="n">
        <v>88.88</v>
      </c>
      <c r="Q243" s="10" t="n">
        <v>-0.0146</v>
      </c>
    </row>
    <row r="244">
      <c r="A244" s="2" t="inlineStr">
        <is>
          <t>VALE3.SA</t>
        </is>
      </c>
      <c r="B244" s="2" t="inlineStr">
        <is>
          <t>Vale SA</t>
        </is>
      </c>
      <c r="C244" s="2" t="inlineStr">
        <is>
          <t>BRL</t>
        </is>
      </c>
      <c r="D244" s="2" t="n">
        <v>2021</v>
      </c>
      <c r="E244" s="9" t="n">
        <v>44560</v>
      </c>
      <c r="F244" s="2" t="n">
        <v>89.34999999999999</v>
      </c>
      <c r="G244" s="2" t="n">
        <v>120.45</v>
      </c>
      <c r="H244" s="2" t="n">
        <v>61.85</v>
      </c>
      <c r="I244" s="2" t="n">
        <v>77.95999999999999</v>
      </c>
      <c r="J244" s="2" t="n">
        <v>95.587</v>
      </c>
      <c r="K244" s="2" t="n">
        <v>14.6486</v>
      </c>
      <c r="L244" s="10" t="n">
        <v>0.1879</v>
      </c>
      <c r="M244" s="10" t="n">
        <v>0.113</v>
      </c>
      <c r="N244" s="2" t="n">
        <v>67.1144</v>
      </c>
      <c r="O244" s="2" t="n">
        <v>2023</v>
      </c>
      <c r="P244" s="2" t="n">
        <v>77.2</v>
      </c>
      <c r="Q244" s="10" t="n">
        <v>0.1503</v>
      </c>
    </row>
    <row r="245">
      <c r="A245" s="2" t="inlineStr">
        <is>
          <t>VALE3.SA</t>
        </is>
      </c>
      <c r="B245" s="2" t="inlineStr">
        <is>
          <t>Vale SA</t>
        </is>
      </c>
      <c r="C245" s="2" t="inlineStr">
        <is>
          <t>BRL</t>
        </is>
      </c>
      <c r="D245" s="2" t="n">
        <v>2022</v>
      </c>
      <c r="E245" s="9" t="n">
        <v>44924</v>
      </c>
      <c r="F245" s="2" t="n">
        <v>79</v>
      </c>
      <c r="G245" s="2" t="n">
        <v>107.11</v>
      </c>
      <c r="H245" s="2" t="n">
        <v>61.9</v>
      </c>
      <c r="I245" s="2" t="n">
        <v>88.88</v>
      </c>
      <c r="J245" s="2" t="n">
        <v>80.3841</v>
      </c>
      <c r="K245" s="2" t="n">
        <v>7.5833</v>
      </c>
      <c r="L245" s="10" t="n">
        <v>0.0853</v>
      </c>
      <c r="M245" s="10" t="n">
        <v>0.134</v>
      </c>
      <c r="N245" s="2" t="n">
        <v>97.9684</v>
      </c>
      <c r="O245" s="2" t="n">
        <v>2024</v>
      </c>
      <c r="P245" s="2" t="n">
        <v>54.55</v>
      </c>
      <c r="Q245" s="10" t="n">
        <v>-0.4432</v>
      </c>
    </row>
    <row r="246">
      <c r="A246" s="2" t="inlineStr">
        <is>
          <t>VALE3.SA</t>
        </is>
      </c>
      <c r="B246" s="2" t="inlineStr">
        <is>
          <t>Vale SA</t>
        </is>
      </c>
      <c r="C246" s="2" t="inlineStr">
        <is>
          <t>BRL</t>
        </is>
      </c>
      <c r="D246" s="2" t="n">
        <v>2023</v>
      </c>
      <c r="E246" s="9" t="n">
        <v>45288</v>
      </c>
      <c r="F246" s="2" t="n">
        <v>88.68000000000001</v>
      </c>
      <c r="G246" s="2" t="n">
        <v>98.29000000000001</v>
      </c>
      <c r="H246" s="2" t="n">
        <v>61</v>
      </c>
      <c r="I246" s="2" t="n">
        <v>77.2</v>
      </c>
      <c r="J246" s="2" t="n">
        <v>73.99250000000001</v>
      </c>
      <c r="K246" s="2" t="n">
        <v>6.0778</v>
      </c>
      <c r="L246" s="10" t="n">
        <v>0.07870000000000001</v>
      </c>
      <c r="M246" s="10" t="n">
        <v>0.103</v>
      </c>
      <c r="N246" s="2" t="n">
        <v>81.0401</v>
      </c>
      <c r="O246" s="2" t="n">
        <v>2025</v>
      </c>
      <c r="P246" s="2" t="n">
        <v>71.95999999999999</v>
      </c>
      <c r="Q246" s="10" t="n">
        <v>-0.112</v>
      </c>
    </row>
    <row r="247">
      <c r="A247" s="2" t="inlineStr">
        <is>
          <t>VALE3.SA</t>
        </is>
      </c>
      <c r="B247" s="2" t="inlineStr">
        <is>
          <t>Vale SA</t>
        </is>
      </c>
      <c r="C247" s="2" t="inlineStr">
        <is>
          <t>BRL</t>
        </is>
      </c>
      <c r="D247" s="2" t="n">
        <v>2024</v>
      </c>
      <c r="E247" s="9" t="n">
        <v>45656</v>
      </c>
      <c r="F247" s="2" t="n">
        <v>77.59999999999999</v>
      </c>
      <c r="G247" s="2" t="n">
        <v>78.18000000000001</v>
      </c>
      <c r="H247" s="2" t="n">
        <v>53.33</v>
      </c>
      <c r="I247" s="2" t="n">
        <v>54.55</v>
      </c>
      <c r="J247" s="2" t="n">
        <v>62.0773</v>
      </c>
      <c r="K247" s="2" t="n">
        <v>5.3529</v>
      </c>
      <c r="L247" s="10" t="n">
        <v>0.09810000000000001</v>
      </c>
      <c r="M247" s="10" t="n">
        <v>0.154</v>
      </c>
      <c r="N247" s="2" t="n">
        <v>60.9993</v>
      </c>
      <c r="O247" s="2" t="n">
        <v>2026</v>
      </c>
      <c r="P247" s="2" t="n">
        <v>70.77</v>
      </c>
      <c r="Q247" s="10" t="n">
        <v>0.1602</v>
      </c>
    </row>
    <row r="248">
      <c r="A248" s="2" t="inlineStr">
        <is>
          <t>VALE3.SA</t>
        </is>
      </c>
      <c r="B248" s="2" t="inlineStr">
        <is>
          <t>Vale SA</t>
        </is>
      </c>
      <c r="C248" s="2" t="inlineStr">
        <is>
          <t>BRL</t>
        </is>
      </c>
      <c r="D248" s="2" t="n">
        <v>2025</v>
      </c>
      <c r="E248" s="9" t="n">
        <v>46021</v>
      </c>
      <c r="F248" s="2" t="n">
        <v>54.71</v>
      </c>
      <c r="G248" s="2" t="n">
        <v>73.73999999999999</v>
      </c>
      <c r="H248" s="2" t="n">
        <v>48.77</v>
      </c>
      <c r="I248" s="2" t="n">
        <v>71.95999999999999</v>
      </c>
      <c r="J248" s="2" t="n">
        <v>57.2672</v>
      </c>
      <c r="K248" s="2" t="n">
        <v>7.619</v>
      </c>
      <c r="L248" s="10" t="n">
        <v>0.1059</v>
      </c>
      <c r="M248" s="10" t="n">
        <v>0.139</v>
      </c>
      <c r="N248" s="2" t="n">
        <v>76.8883</v>
      </c>
      <c r="O248" s="2" t="n">
        <v>2027</v>
      </c>
      <c r="P248" s="2" t="n"/>
      <c r="Q248" s="10" t="n"/>
    </row>
    <row r="249">
      <c r="A249" s="2" t="inlineStr">
        <is>
          <t>VALE3.SA</t>
        </is>
      </c>
      <c r="B249" s="2" t="inlineStr">
        <is>
          <t>Vale SA</t>
        </is>
      </c>
      <c r="C249" s="2" t="inlineStr">
        <is>
          <t>BRL</t>
        </is>
      </c>
      <c r="D249" s="2" t="n">
        <v>2026</v>
      </c>
      <c r="E249" s="9" t="n">
        <v>46290</v>
      </c>
      <c r="F249" s="2" t="n">
        <v>72.33</v>
      </c>
      <c r="G249" s="2" t="n">
        <v>91.62</v>
      </c>
      <c r="H249" s="2" t="n">
        <v>69.94</v>
      </c>
      <c r="I249" s="2" t="n">
        <v>70.77</v>
      </c>
      <c r="J249" s="2" t="n">
        <v>79.8582</v>
      </c>
      <c r="K249" s="2" t="n">
        <v>2.0307</v>
      </c>
      <c r="L249" s="10" t="n">
        <v>0.0287</v>
      </c>
      <c r="M249" s="10" t="n">
        <v>0.139</v>
      </c>
      <c r="N249" s="2" t="n">
        <v>88.23869999999999</v>
      </c>
      <c r="O249" s="2" t="n">
        <v>2028</v>
      </c>
      <c r="P249" s="2" t="n"/>
      <c r="Q249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current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low</t>
        </is>
      </c>
      <c r="H1" s="1" t="inlineStr">
        <is>
          <t>high</t>
        </is>
      </c>
    </row>
    <row r="2">
      <c r="A2" t="inlineStr">
        <is>
          <t>000408.SZ</t>
        </is>
      </c>
      <c r="B2" t="inlineStr">
        <is>
          <t>Zangge Mining Co Ltd</t>
        </is>
      </c>
      <c r="C2" t="inlineStr">
        <is>
          <t>CNY</t>
        </is>
      </c>
      <c r="D2" t="n">
        <v>71.45999999999999</v>
      </c>
    </row>
    <row r="3">
      <c r="A3" t="inlineStr">
        <is>
          <t>1208.HK</t>
        </is>
      </c>
      <c r="B3" t="inlineStr">
        <is>
          <t>MMG Ltd</t>
        </is>
      </c>
      <c r="C3" t="inlineStr">
        <is>
          <t>HKD</t>
        </is>
      </c>
      <c r="D3" t="n">
        <v>8.545</v>
      </c>
      <c r="E3" t="n">
        <v>11.8078</v>
      </c>
      <c r="F3" t="n">
        <v>11.9926</v>
      </c>
      <c r="G3" t="n">
        <v>9.9925</v>
      </c>
      <c r="H3" t="n">
        <v>13.0044</v>
      </c>
    </row>
    <row r="4">
      <c r="A4" t="inlineStr">
        <is>
          <t>1211.SR</t>
        </is>
      </c>
      <c r="B4" t="inlineStr">
        <is>
          <t>Saudi Arabian Mining Co (Maaden)</t>
        </is>
      </c>
      <c r="C4" t="inlineStr">
        <is>
          <t>SAR</t>
        </is>
      </c>
      <c r="D4" t="n">
        <v>62.1</v>
      </c>
      <c r="E4" t="n">
        <v>66.7</v>
      </c>
      <c r="F4" t="n">
        <v>66.2</v>
      </c>
      <c r="G4" t="n">
        <v>46</v>
      </c>
      <c r="H4" t="n">
        <v>80</v>
      </c>
    </row>
    <row r="5">
      <c r="A5" t="inlineStr">
        <is>
          <t>2899.HK</t>
        </is>
      </c>
      <c r="B5" t="inlineStr">
        <is>
          <t>Zijin Mining Group Co Ltd</t>
        </is>
      </c>
      <c r="C5" t="inlineStr">
        <is>
          <t>HKD</t>
        </is>
      </c>
      <c r="D5" t="n">
        <v>32.5</v>
      </c>
      <c r="E5" t="n">
        <v>51.2647</v>
      </c>
      <c r="F5" t="n">
        <v>50.298</v>
      </c>
      <c r="G5" t="n">
        <v>43.5124</v>
      </c>
      <c r="H5" t="n">
        <v>61.2599</v>
      </c>
    </row>
    <row r="6">
      <c r="A6" t="inlineStr">
        <is>
          <t>AAL.L</t>
        </is>
      </c>
      <c r="B6" t="inlineStr">
        <is>
          <t>Anglo American plc</t>
        </is>
      </c>
      <c r="C6" t="inlineStr">
        <is>
          <t>GBp</t>
        </is>
      </c>
      <c r="D6" t="n">
        <v>4042</v>
      </c>
      <c r="E6" t="n">
        <v>4114.689</v>
      </c>
      <c r="F6" t="n">
        <v>4272.254</v>
      </c>
      <c r="G6" t="n">
        <v>2333.2515</v>
      </c>
      <c r="H6" t="n">
        <v>5321.736</v>
      </c>
    </row>
    <row r="7">
      <c r="A7" t="inlineStr">
        <is>
          <t>AEM</t>
        </is>
      </c>
      <c r="B7" t="inlineStr">
        <is>
          <t>Agnico Eagle Mines Ltd</t>
        </is>
      </c>
      <c r="C7" t="inlineStr">
        <is>
          <t>USD</t>
        </is>
      </c>
      <c r="D7" t="n">
        <v>194.48</v>
      </c>
      <c r="E7" t="n">
        <v>215.9636</v>
      </c>
      <c r="F7" t="n">
        <v>222.745</v>
      </c>
      <c r="G7" t="n">
        <v>87</v>
      </c>
      <c r="H7" t="n">
        <v>300</v>
      </c>
    </row>
    <row r="8">
      <c r="A8" t="inlineStr">
        <is>
          <t>B</t>
        </is>
      </c>
      <c r="B8" t="inlineStr">
        <is>
          <t>Barrick Mining Corp</t>
        </is>
      </c>
      <c r="C8" t="inlineStr">
        <is>
          <t>USD</t>
        </is>
      </c>
      <c r="D8" t="n">
        <v>42.88</v>
      </c>
      <c r="E8" t="n">
        <v>51.7044</v>
      </c>
      <c r="F8" t="n">
        <v>53.5</v>
      </c>
      <c r="G8" t="n">
        <v>29</v>
      </c>
      <c r="H8" t="n">
        <v>63</v>
      </c>
    </row>
    <row r="9">
      <c r="A9" t="inlineStr">
        <is>
          <t>BHP.AX</t>
        </is>
      </c>
      <c r="B9" t="inlineStr">
        <is>
          <t>BHP Group Ltd</t>
        </is>
      </c>
      <c r="C9" t="inlineStr">
        <is>
          <t>AUD</t>
        </is>
      </c>
      <c r="D9" t="n">
        <v>60.72</v>
      </c>
      <c r="E9" t="n">
        <v>60.3607</v>
      </c>
      <c r="F9" t="n">
        <v>63.0845</v>
      </c>
      <c r="G9" t="n">
        <v>43.0777</v>
      </c>
      <c r="H9" t="n">
        <v>68.7863</v>
      </c>
    </row>
    <row r="10">
      <c r="A10" t="inlineStr">
        <is>
          <t>EQX</t>
        </is>
      </c>
      <c r="B10" t="inlineStr">
        <is>
          <t>Equinox Gold Corp</t>
        </is>
      </c>
      <c r="C10" t="inlineStr">
        <is>
          <t>USD</t>
        </is>
      </c>
      <c r="D10" t="n">
        <v>11.94</v>
      </c>
      <c r="E10" t="n">
        <v>14</v>
      </c>
      <c r="F10" t="n">
        <v>14</v>
      </c>
      <c r="G10" t="n">
        <v>14</v>
      </c>
      <c r="H10" t="n">
        <v>14</v>
      </c>
    </row>
    <row r="11">
      <c r="A11" t="inlineStr">
        <is>
          <t>EVN.AX</t>
        </is>
      </c>
      <c r="B11" t="inlineStr">
        <is>
          <t>Evolution Mining Ltd</t>
        </is>
      </c>
      <c r="C11" t="inlineStr">
        <is>
          <t>AUD</t>
        </is>
      </c>
      <c r="D11" t="n">
        <v>13.71</v>
      </c>
      <c r="E11" t="n">
        <v>13.5412</v>
      </c>
      <c r="F11" t="n">
        <v>14.2</v>
      </c>
      <c r="G11" t="n">
        <v>4.8</v>
      </c>
      <c r="H11" t="n">
        <v>18</v>
      </c>
    </row>
    <row r="12">
      <c r="A12" t="inlineStr">
        <is>
          <t>FCX</t>
        </is>
      </c>
      <c r="B12" t="inlineStr">
        <is>
          <t>Freeport-McMoRan Inc</t>
        </is>
      </c>
      <c r="C12" t="inlineStr">
        <is>
          <t>USD</t>
        </is>
      </c>
      <c r="D12" t="n">
        <v>72.31</v>
      </c>
      <c r="E12" t="n">
        <v>72.4545</v>
      </c>
      <c r="F12" t="n">
        <v>76</v>
      </c>
      <c r="G12" t="n">
        <v>30</v>
      </c>
      <c r="H12" t="n">
        <v>85</v>
      </c>
    </row>
    <row r="13">
      <c r="A13" t="inlineStr">
        <is>
          <t>FMG.AX</t>
        </is>
      </c>
      <c r="B13" t="inlineStr">
        <is>
          <t>Fortescue Ltd</t>
        </is>
      </c>
      <c r="C13" t="inlineStr">
        <is>
          <t>AUD</t>
        </is>
      </c>
      <c r="D13" t="n">
        <v>16.37</v>
      </c>
      <c r="E13" t="n">
        <v>17.5212</v>
      </c>
      <c r="F13" t="n">
        <v>16.7831</v>
      </c>
      <c r="G13" t="n">
        <v>15.209</v>
      </c>
      <c r="H13" t="n">
        <v>22.3309</v>
      </c>
    </row>
    <row r="14">
      <c r="A14" t="inlineStr">
        <is>
          <t>FRES.L</t>
        </is>
      </c>
      <c r="B14" t="inlineStr">
        <is>
          <t>Fresnillo plc</t>
        </is>
      </c>
      <c r="C14" t="inlineStr">
        <is>
          <t>GBp</t>
        </is>
      </c>
      <c r="D14" t="n">
        <v>2890</v>
      </c>
      <c r="E14" t="n">
        <v>3297.0059</v>
      </c>
      <c r="F14" t="n">
        <v>2999.6711</v>
      </c>
      <c r="G14" t="n">
        <v>2231.8032</v>
      </c>
      <c r="H14" t="n">
        <v>4847.257</v>
      </c>
    </row>
    <row r="15">
      <c r="A15" t="inlineStr">
        <is>
          <t>GLEN.L</t>
        </is>
      </c>
      <c r="B15" t="inlineStr">
        <is>
          <t>Glencore plc</t>
        </is>
      </c>
      <c r="C15" t="inlineStr">
        <is>
          <t>GBp</t>
        </is>
      </c>
      <c r="D15" t="n">
        <v>561.1</v>
      </c>
      <c r="E15" t="n">
        <v>644.6558</v>
      </c>
      <c r="F15" t="n">
        <v>646.4965999999999</v>
      </c>
      <c r="G15" t="n">
        <v>475.0162</v>
      </c>
      <c r="H15" t="n">
        <v>796.2388999999999</v>
      </c>
    </row>
    <row r="16">
      <c r="A16" t="inlineStr">
        <is>
          <t>GMEXICOB.MX</t>
        </is>
      </c>
      <c r="B16" t="inlineStr">
        <is>
          <t>Grupo Mexico SAB de CV</t>
        </is>
      </c>
      <c r="C16" t="inlineStr">
        <is>
          <t>MXN</t>
        </is>
      </c>
      <c r="D16" t="n">
        <v>224.11</v>
      </c>
      <c r="E16" t="n">
        <v>230.7071</v>
      </c>
      <c r="F16" t="n">
        <v>233.6222</v>
      </c>
      <c r="G16" t="n">
        <v>43.0983</v>
      </c>
      <c r="H16" t="n">
        <v>309.0448</v>
      </c>
    </row>
    <row r="17">
      <c r="A17" t="inlineStr">
        <is>
          <t>INCO.JK</t>
        </is>
      </c>
      <c r="B17" t="inlineStr">
        <is>
          <t>PT Vale Indonesia Tbk</t>
        </is>
      </c>
      <c r="C17" t="inlineStr">
        <is>
          <t>IDR</t>
        </is>
      </c>
      <c r="D17" t="n">
        <v>4680</v>
      </c>
      <c r="E17" t="n">
        <v>7600.2407</v>
      </c>
      <c r="F17" t="n">
        <v>7630.512</v>
      </c>
      <c r="G17" t="n">
        <v>6305.024</v>
      </c>
      <c r="H17" t="n">
        <v>9582.921</v>
      </c>
    </row>
    <row r="18">
      <c r="A18" t="inlineStr">
        <is>
          <t>LUN.TO</t>
        </is>
      </c>
      <c r="B18" t="inlineStr">
        <is>
          <t>Lundin Mining Corp</t>
        </is>
      </c>
      <c r="C18" t="inlineStr">
        <is>
          <t>CAD</t>
        </is>
      </c>
      <c r="D18" t="n">
        <v>34.98</v>
      </c>
      <c r="E18" t="n">
        <v>42.2603</v>
      </c>
      <c r="F18" t="n">
        <v>42.4762</v>
      </c>
      <c r="G18" t="n">
        <v>31.4675</v>
      </c>
      <c r="H18" t="n">
        <v>50.69</v>
      </c>
    </row>
    <row r="19">
      <c r="A19" t="inlineStr">
        <is>
          <t>MIN.AX</t>
        </is>
      </c>
      <c r="B19" t="inlineStr">
        <is>
          <t>Mineral Resources Ltd</t>
        </is>
      </c>
      <c r="C19" t="inlineStr">
        <is>
          <t>AUD</t>
        </is>
      </c>
      <c r="D19" t="n">
        <v>52.41</v>
      </c>
      <c r="E19" t="n">
        <v>67.2214</v>
      </c>
      <c r="F19" t="n">
        <v>68</v>
      </c>
      <c r="G19" t="n">
        <v>29.2</v>
      </c>
      <c r="H19" t="n">
        <v>80</v>
      </c>
    </row>
    <row r="20">
      <c r="A20" t="inlineStr">
        <is>
          <t>MT</t>
        </is>
      </c>
      <c r="B20" t="inlineStr">
        <is>
          <t>ArcelorMittal SA</t>
        </is>
      </c>
      <c r="C20" t="inlineStr">
        <is>
          <t>USD</t>
        </is>
      </c>
      <c r="D20" t="n">
        <v>70.7</v>
      </c>
      <c r="E20" t="n">
        <v>77.8857</v>
      </c>
      <c r="F20" t="n">
        <v>81.3</v>
      </c>
      <c r="G20" t="n">
        <v>56.4</v>
      </c>
      <c r="H20" t="n">
        <v>93</v>
      </c>
    </row>
    <row r="21">
      <c r="A21" t="inlineStr">
        <is>
          <t>NEM</t>
        </is>
      </c>
      <c r="B21" t="inlineStr">
        <is>
          <t>Newmont Corp</t>
        </is>
      </c>
      <c r="C21" t="inlineStr">
        <is>
          <t>USD</t>
        </is>
      </c>
      <c r="D21" t="n">
        <v>121.43</v>
      </c>
      <c r="E21" t="n">
        <v>136.5952</v>
      </c>
      <c r="F21" t="n">
        <v>140</v>
      </c>
      <c r="G21" t="n">
        <v>67</v>
      </c>
      <c r="H21" t="n">
        <v>170</v>
      </c>
    </row>
    <row r="22">
      <c r="A22" t="inlineStr">
        <is>
          <t>NEXA</t>
        </is>
      </c>
      <c r="B22" t="inlineStr">
        <is>
          <t>Nexa Resources SA</t>
        </is>
      </c>
      <c r="C22" t="inlineStr">
        <is>
          <t>USD</t>
        </is>
      </c>
      <c r="D22" t="n">
        <v>12.44</v>
      </c>
      <c r="E22" t="n">
        <v>14.9</v>
      </c>
      <c r="F22" t="n">
        <v>15</v>
      </c>
      <c r="G22" t="n">
        <v>13.5</v>
      </c>
      <c r="H22" t="n">
        <v>16</v>
      </c>
    </row>
    <row r="23">
      <c r="A23" t="inlineStr">
        <is>
          <t>NST.AX</t>
        </is>
      </c>
      <c r="B23" t="inlineStr">
        <is>
          <t>Northern Star Resources Ltd</t>
        </is>
      </c>
      <c r="C23" t="inlineStr">
        <is>
          <t>AUD</t>
        </is>
      </c>
      <c r="D23" t="n">
        <v>22.11</v>
      </c>
      <c r="E23" t="n">
        <v>24.5067</v>
      </c>
      <c r="F23" t="n">
        <v>24.6</v>
      </c>
      <c r="G23" t="n">
        <v>14.2</v>
      </c>
      <c r="H23" t="n">
        <v>34</v>
      </c>
    </row>
    <row r="24">
      <c r="A24" t="inlineStr">
        <is>
          <t>RIO.L</t>
        </is>
      </c>
      <c r="B24" t="inlineStr">
        <is>
          <t>Rio Tinto plc</t>
        </is>
      </c>
      <c r="C24" t="inlineStr">
        <is>
          <t>GBp</t>
        </is>
      </c>
      <c r="D24" t="n">
        <v>7088</v>
      </c>
      <c r="E24" t="n">
        <v>7729.558</v>
      </c>
      <c r="F24" t="n">
        <v>7569.673</v>
      </c>
      <c r="G24" t="n">
        <v>6525.275</v>
      </c>
      <c r="H24" t="n">
        <v>9450.022000000001</v>
      </c>
    </row>
    <row r="25">
      <c r="A25" t="inlineStr">
        <is>
          <t>SCCO</t>
        </is>
      </c>
      <c r="B25" t="inlineStr">
        <is>
          <t>Southern Copper Corp</t>
        </is>
      </c>
      <c r="C25" t="inlineStr">
        <is>
          <t>USD</t>
        </is>
      </c>
      <c r="D25" t="n">
        <v>203.92</v>
      </c>
      <c r="E25" t="n">
        <v>171.4404</v>
      </c>
      <c r="F25" t="n">
        <v>164.0316</v>
      </c>
      <c r="G25" t="n">
        <v>138.3399</v>
      </c>
      <c r="H25" t="n">
        <v>275</v>
      </c>
    </row>
    <row r="26">
      <c r="A26" t="inlineStr">
        <is>
          <t>VALE3.SA</t>
        </is>
      </c>
      <c r="B26" t="inlineStr">
        <is>
          <t>Vale SA</t>
        </is>
      </c>
      <c r="C26" t="inlineStr">
        <is>
          <t>BRL</t>
        </is>
      </c>
      <c r="D26" t="n">
        <v>70.77</v>
      </c>
      <c r="E26" t="n">
        <v>88.7375</v>
      </c>
      <c r="F26" t="n">
        <v>86.2651</v>
      </c>
      <c r="G26" t="n">
        <v>65.238</v>
      </c>
      <c r="H26" t="n">
        <v>109.2415</v>
      </c>
    </row>
    <row r="27"/>
    <row r="28">
      <c r="A28" s="2" t="inlineStr">
        <is>
          <t>12-month consensus price targets as of the data download date. Source: Yahoo 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2026-09-27T21:14:24Z</dcterms:created>
  <dcterms:modified xmlns:dcterms="http://purl.org/dc/terms/" xmlns:xsi="http://www.w3.org/2001/XMLSchema-instance" xsi:type="dcterms:W3CDTF">2026-09-27T21:14:24Z</dcterms:modified>
</cp:coreProperties>
</file>